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4.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5.xml" ContentType="application/vnd.openxmlformats-officedocument.drawing+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6.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drawings/drawing7.xml" ContentType="application/vnd.openxmlformats-officedocument.drawing+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DC05BD20-4804-7139-695A-D245BE01A294}"/>
  <workbookPr codeName="ThisWorkbook" defaultThemeVersion="124226"/>
  <mc:AlternateContent xmlns:mc="http://schemas.openxmlformats.org/markup-compatibility/2006">
    <mc:Choice Requires="x15">
      <x15ac:absPath xmlns:x15ac="http://schemas.microsoft.com/office/spreadsheetml/2010/11/ac" url="https://dvagov-my.sharepoint.com/personal/lori_pusey_va_gov/Documents/Documents 1/VSignals/"/>
    </mc:Choice>
  </mc:AlternateContent>
  <xr:revisionPtr revIDLastSave="98" documentId="8_{91ACBC27-FEA3-4214-B625-102E2C6C636F}" xr6:coauthVersionLast="47" xr6:coauthVersionMax="47" xr10:uidLastSave="{468E172D-FC6C-4593-B8A6-DACBC9558EF5}"/>
  <bookViews>
    <workbookView xWindow="-120" yWindow="-120" windowWidth="29040" windowHeight="15840" tabRatio="780" firstSheet="9" activeTab="9" xr2:uid="{00000000-000D-0000-FFFF-FFFF00000000}"/>
  </bookViews>
  <sheets>
    <sheet name="Outpatient (Old)" sheetId="1" state="hidden" r:id="rId1"/>
    <sheet name="Tags" sheetId="8" state="hidden" r:id="rId2"/>
    <sheet name="Categories" sheetId="9" state="hidden" r:id="rId3"/>
    <sheet name="Feedback" sheetId="10" state="hidden" r:id="rId4"/>
    <sheet name="12-13-2022Trends" sheetId="11" state="hidden" r:id="rId5"/>
    <sheet name="12-23-2022Trends" sheetId="12" state="hidden" r:id="rId6"/>
    <sheet name="12-27-2022Trends" sheetId="13" state="hidden" r:id="rId7"/>
    <sheet name="12-27-2022Trends Weekly" sheetId="14" state="hidden" r:id="rId8"/>
    <sheet name="1-16-2023 Trends Weekly" sheetId="15" state="hidden" r:id="rId9"/>
    <sheet name="Mobile-General Trends Weekly" sheetId="16" r:id="rId10"/>
  </sheets>
  <definedNames>
    <definedName name="_xlnm._FilterDatabase" localSheetId="0" hidden="1">'Outpatient (Old)'!$A$1:$K$627</definedName>
    <definedName name="I2478M2977">'Outpatient (Old)'!$I$2478:$Y$2478</definedName>
    <definedName name="I24M78M2977">'Outpatient (Old)'!$I$2478:$Y$2478</definedName>
    <definedName name="Ｍ7480">#REF!</definedName>
    <definedName name="Z2483M2997">'Outpatient (Old)'!$Z$2483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43" i="16" l="1"/>
  <c r="D43" i="16"/>
  <c r="C43" i="16"/>
  <c r="B43" i="16"/>
  <c r="E31" i="16"/>
  <c r="D31" i="16"/>
  <c r="C31" i="16"/>
  <c r="B31" i="16"/>
  <c r="N3785" i="1"/>
  <c r="N3786" i="1" s="1"/>
  <c r="O3785" i="1"/>
  <c r="O3786" i="1" s="1"/>
  <c r="P3785" i="1"/>
  <c r="P3786" i="1" s="1"/>
  <c r="Q3785" i="1"/>
  <c r="Q3786" i="1" s="1"/>
  <c r="R3785" i="1"/>
  <c r="R3786" i="1" s="1"/>
  <c r="S3785" i="1"/>
  <c r="S3786" i="1" s="1"/>
  <c r="T3785" i="1"/>
  <c r="T3786" i="1" s="1"/>
  <c r="U3785" i="1"/>
  <c r="U3786" i="1" s="1"/>
  <c r="V3785" i="1"/>
  <c r="V3786" i="1" s="1"/>
  <c r="W3785" i="1"/>
  <c r="W3786" i="1" s="1"/>
  <c r="X3785" i="1"/>
  <c r="X3786" i="1" s="1"/>
  <c r="Y3785" i="1"/>
  <c r="Y3786" i="1" s="1"/>
  <c r="M3785" i="1"/>
  <c r="M3786" i="1" s="1"/>
  <c r="Y3800" i="1"/>
  <c r="X3800" i="1"/>
  <c r="W3800" i="1"/>
  <c r="V3800" i="1"/>
  <c r="U3800" i="1"/>
  <c r="T3800" i="1"/>
  <c r="S3800" i="1"/>
  <c r="R3800" i="1"/>
  <c r="Q3800" i="1"/>
  <c r="P3800" i="1"/>
  <c r="O3800" i="1"/>
  <c r="N3800" i="1"/>
  <c r="M3800" i="1"/>
  <c r="Y3799" i="1"/>
  <c r="X3799" i="1"/>
  <c r="W3799" i="1"/>
  <c r="V3799" i="1"/>
  <c r="U3799" i="1"/>
  <c r="T3799" i="1"/>
  <c r="S3799" i="1"/>
  <c r="R3799" i="1"/>
  <c r="Q3799" i="1"/>
  <c r="P3799" i="1"/>
  <c r="O3799" i="1"/>
  <c r="N3799" i="1"/>
  <c r="M3799" i="1"/>
  <c r="Y3798" i="1"/>
  <c r="X3798" i="1"/>
  <c r="W3798" i="1"/>
  <c r="V3798" i="1"/>
  <c r="U3798" i="1"/>
  <c r="T3798" i="1"/>
  <c r="S3798" i="1"/>
  <c r="R3798" i="1"/>
  <c r="Q3798" i="1"/>
  <c r="P3798" i="1"/>
  <c r="O3798" i="1"/>
  <c r="N3798" i="1"/>
  <c r="M3798" i="1"/>
  <c r="Y3797" i="1"/>
  <c r="X3797" i="1"/>
  <c r="W3797" i="1"/>
  <c r="V3797" i="1"/>
  <c r="U3797" i="1"/>
  <c r="T3797" i="1"/>
  <c r="S3797" i="1"/>
  <c r="R3797" i="1"/>
  <c r="Q3797" i="1"/>
  <c r="P3797" i="1"/>
  <c r="O3797" i="1"/>
  <c r="N3797" i="1"/>
  <c r="M3797" i="1"/>
  <c r="Y3796" i="1"/>
  <c r="X3796" i="1"/>
  <c r="W3796" i="1"/>
  <c r="V3796" i="1"/>
  <c r="U3796" i="1"/>
  <c r="T3796" i="1"/>
  <c r="S3796" i="1"/>
  <c r="R3796" i="1"/>
  <c r="Q3796" i="1"/>
  <c r="P3796" i="1"/>
  <c r="O3796" i="1"/>
  <c r="N3796" i="1"/>
  <c r="M3796" i="1"/>
  <c r="Y3795" i="1"/>
  <c r="X3795" i="1"/>
  <c r="W3795" i="1"/>
  <c r="V3795" i="1"/>
  <c r="U3795" i="1"/>
  <c r="T3795" i="1"/>
  <c r="S3795" i="1"/>
  <c r="R3795" i="1"/>
  <c r="Q3795" i="1"/>
  <c r="P3795" i="1"/>
  <c r="O3795" i="1"/>
  <c r="N3795" i="1"/>
  <c r="M3795" i="1"/>
  <c r="Y3794" i="1"/>
  <c r="X3794" i="1"/>
  <c r="W3794" i="1"/>
  <c r="V3794" i="1"/>
  <c r="U3794" i="1"/>
  <c r="T3794" i="1"/>
  <c r="S3794" i="1"/>
  <c r="R3794" i="1"/>
  <c r="Q3794" i="1"/>
  <c r="P3794" i="1"/>
  <c r="O3794" i="1"/>
  <c r="N3794" i="1"/>
  <c r="M3794" i="1"/>
  <c r="Y3793" i="1"/>
  <c r="X3793" i="1"/>
  <c r="W3793" i="1"/>
  <c r="V3793" i="1"/>
  <c r="U3793" i="1"/>
  <c r="T3793" i="1"/>
  <c r="S3793" i="1"/>
  <c r="R3793" i="1"/>
  <c r="Q3793" i="1"/>
  <c r="P3793" i="1"/>
  <c r="O3793" i="1"/>
  <c r="N3793" i="1"/>
  <c r="M3793" i="1"/>
  <c r="Y3792" i="1"/>
  <c r="X3792" i="1"/>
  <c r="W3792" i="1"/>
  <c r="V3792" i="1"/>
  <c r="U3792" i="1"/>
  <c r="T3792" i="1"/>
  <c r="S3792" i="1"/>
  <c r="R3792" i="1"/>
  <c r="Q3792" i="1"/>
  <c r="P3792" i="1"/>
  <c r="O3792" i="1"/>
  <c r="N3792" i="1"/>
  <c r="M3792" i="1"/>
  <c r="Y3791" i="1"/>
  <c r="X3791" i="1"/>
  <c r="W3791" i="1"/>
  <c r="V3791" i="1"/>
  <c r="U3791" i="1"/>
  <c r="T3791" i="1"/>
  <c r="S3791" i="1"/>
  <c r="R3791" i="1"/>
  <c r="Q3791" i="1"/>
  <c r="P3791" i="1"/>
  <c r="O3791" i="1"/>
  <c r="N3791" i="1"/>
  <c r="M3791" i="1"/>
  <c r="Y3790" i="1"/>
  <c r="X3790" i="1"/>
  <c r="W3790" i="1"/>
  <c r="V3790" i="1"/>
  <c r="U3790" i="1"/>
  <c r="T3790" i="1"/>
  <c r="S3790" i="1"/>
  <c r="R3790" i="1"/>
  <c r="Q3790" i="1"/>
  <c r="P3790" i="1"/>
  <c r="O3790" i="1"/>
  <c r="N3790" i="1"/>
  <c r="M3790" i="1"/>
  <c r="Y3789" i="1"/>
  <c r="X3789" i="1"/>
  <c r="W3789" i="1"/>
  <c r="V3789" i="1"/>
  <c r="U3789" i="1"/>
  <c r="T3789" i="1"/>
  <c r="S3789" i="1"/>
  <c r="R3789" i="1"/>
  <c r="Q3789" i="1"/>
  <c r="P3789" i="1"/>
  <c r="O3789" i="1"/>
  <c r="N3789" i="1"/>
  <c r="M3789" i="1"/>
  <c r="Y3788" i="1"/>
  <c r="X3788" i="1"/>
  <c r="W3788" i="1"/>
  <c r="V3788" i="1"/>
  <c r="U3788" i="1"/>
  <c r="T3788" i="1"/>
  <c r="S3788" i="1"/>
  <c r="R3788" i="1"/>
  <c r="Q3788" i="1"/>
  <c r="P3788" i="1"/>
  <c r="O3788" i="1"/>
  <c r="N3788" i="1"/>
  <c r="M3788" i="1"/>
  <c r="Y3787" i="1"/>
  <c r="X3787" i="1"/>
  <c r="W3787" i="1"/>
  <c r="V3787" i="1"/>
  <c r="U3787" i="1"/>
  <c r="T3787" i="1"/>
  <c r="S3787" i="1"/>
  <c r="R3787" i="1"/>
  <c r="Q3787" i="1"/>
  <c r="P3787" i="1"/>
  <c r="O3787" i="1"/>
  <c r="N3787" i="1"/>
  <c r="M3787" i="1"/>
  <c r="N3407" i="1"/>
  <c r="O3407" i="1"/>
  <c r="P3407" i="1"/>
  <c r="Q3407" i="1"/>
  <c r="R3407" i="1"/>
  <c r="S3407" i="1"/>
  <c r="T3407" i="1"/>
  <c r="U3407" i="1"/>
  <c r="V3407" i="1"/>
  <c r="W3407" i="1"/>
  <c r="X3407" i="1"/>
  <c r="Y3407" i="1"/>
  <c r="M3407" i="1"/>
  <c r="N3406" i="1"/>
  <c r="O3406" i="1"/>
  <c r="P3406" i="1"/>
  <c r="Q3406" i="1"/>
  <c r="R3406" i="1"/>
  <c r="S3406" i="1"/>
  <c r="T3406" i="1"/>
  <c r="U3406" i="1"/>
  <c r="V3406" i="1"/>
  <c r="W3406" i="1"/>
  <c r="X3406" i="1"/>
  <c r="Y3406" i="1"/>
  <c r="M3406" i="1"/>
  <c r="M3409" i="1"/>
  <c r="N3409" i="1"/>
  <c r="O3409" i="1"/>
  <c r="P3409" i="1"/>
  <c r="Q3409" i="1"/>
  <c r="R3409" i="1"/>
  <c r="S3409" i="1"/>
  <c r="T3409" i="1"/>
  <c r="U3409" i="1"/>
  <c r="V3409" i="1"/>
  <c r="W3409" i="1"/>
  <c r="X3409" i="1"/>
  <c r="Y3409" i="1"/>
  <c r="M3410" i="1"/>
  <c r="N3410" i="1"/>
  <c r="O3410" i="1"/>
  <c r="P3410" i="1"/>
  <c r="Q3410" i="1"/>
  <c r="R3410" i="1"/>
  <c r="S3410" i="1"/>
  <c r="T3410" i="1"/>
  <c r="U3410" i="1"/>
  <c r="V3410" i="1"/>
  <c r="W3410" i="1"/>
  <c r="X3410" i="1"/>
  <c r="Y3410" i="1"/>
  <c r="M3411" i="1"/>
  <c r="N3411" i="1"/>
  <c r="O3411" i="1"/>
  <c r="P3411" i="1"/>
  <c r="Q3411" i="1"/>
  <c r="R3411" i="1"/>
  <c r="S3411" i="1"/>
  <c r="T3411" i="1"/>
  <c r="U3411" i="1"/>
  <c r="V3411" i="1"/>
  <c r="W3411" i="1"/>
  <c r="X3411" i="1"/>
  <c r="Y3411" i="1"/>
  <c r="M3412" i="1"/>
  <c r="N3412" i="1"/>
  <c r="O3412" i="1"/>
  <c r="P3412" i="1"/>
  <c r="Q3412" i="1"/>
  <c r="R3412" i="1"/>
  <c r="S3412" i="1"/>
  <c r="T3412" i="1"/>
  <c r="U3412" i="1"/>
  <c r="V3412" i="1"/>
  <c r="W3412" i="1"/>
  <c r="X3412" i="1"/>
  <c r="Y3412" i="1"/>
  <c r="M3413" i="1"/>
  <c r="N3413" i="1"/>
  <c r="O3413" i="1"/>
  <c r="P3413" i="1"/>
  <c r="Q3413" i="1"/>
  <c r="R3413" i="1"/>
  <c r="S3413" i="1"/>
  <c r="T3413" i="1"/>
  <c r="U3413" i="1"/>
  <c r="V3413" i="1"/>
  <c r="W3413" i="1"/>
  <c r="X3413" i="1"/>
  <c r="Y3413" i="1"/>
  <c r="M3414" i="1"/>
  <c r="N3414" i="1"/>
  <c r="O3414" i="1"/>
  <c r="P3414" i="1"/>
  <c r="Q3414" i="1"/>
  <c r="R3414" i="1"/>
  <c r="S3414" i="1"/>
  <c r="T3414" i="1"/>
  <c r="U3414" i="1"/>
  <c r="V3414" i="1"/>
  <c r="W3414" i="1"/>
  <c r="X3414" i="1"/>
  <c r="Y3414" i="1"/>
  <c r="M3415" i="1"/>
  <c r="N3415" i="1"/>
  <c r="O3415" i="1"/>
  <c r="P3415" i="1"/>
  <c r="Q3415" i="1"/>
  <c r="R3415" i="1"/>
  <c r="S3415" i="1"/>
  <c r="T3415" i="1"/>
  <c r="U3415" i="1"/>
  <c r="V3415" i="1"/>
  <c r="W3415" i="1"/>
  <c r="X3415" i="1"/>
  <c r="Y3415" i="1"/>
  <c r="M3416" i="1"/>
  <c r="N3416" i="1"/>
  <c r="O3416" i="1"/>
  <c r="P3416" i="1"/>
  <c r="Q3416" i="1"/>
  <c r="R3416" i="1"/>
  <c r="S3416" i="1"/>
  <c r="T3416" i="1"/>
  <c r="U3416" i="1"/>
  <c r="V3416" i="1"/>
  <c r="W3416" i="1"/>
  <c r="X3416" i="1"/>
  <c r="Y3416" i="1"/>
  <c r="M3417" i="1"/>
  <c r="N3417" i="1"/>
  <c r="O3417" i="1"/>
  <c r="P3417" i="1"/>
  <c r="Q3417" i="1"/>
  <c r="R3417" i="1"/>
  <c r="S3417" i="1"/>
  <c r="T3417" i="1"/>
  <c r="U3417" i="1"/>
  <c r="V3417" i="1"/>
  <c r="W3417" i="1"/>
  <c r="X3417" i="1"/>
  <c r="Y3417" i="1"/>
  <c r="M3418" i="1"/>
  <c r="N3418" i="1"/>
  <c r="O3418" i="1"/>
  <c r="P3418" i="1"/>
  <c r="Q3418" i="1"/>
  <c r="R3418" i="1"/>
  <c r="S3418" i="1"/>
  <c r="T3418" i="1"/>
  <c r="U3418" i="1"/>
  <c r="V3418" i="1"/>
  <c r="W3418" i="1"/>
  <c r="X3418" i="1"/>
  <c r="Y3418" i="1"/>
  <c r="M3419" i="1"/>
  <c r="N3419" i="1"/>
  <c r="O3419" i="1"/>
  <c r="P3419" i="1"/>
  <c r="Q3419" i="1"/>
  <c r="R3419" i="1"/>
  <c r="S3419" i="1"/>
  <c r="T3419" i="1"/>
  <c r="U3419" i="1"/>
  <c r="V3419" i="1"/>
  <c r="W3419" i="1"/>
  <c r="X3419" i="1"/>
  <c r="Y3419" i="1"/>
  <c r="M3420" i="1"/>
  <c r="N3420" i="1"/>
  <c r="O3420" i="1"/>
  <c r="P3420" i="1"/>
  <c r="Q3420" i="1"/>
  <c r="R3420" i="1"/>
  <c r="S3420" i="1"/>
  <c r="T3420" i="1"/>
  <c r="U3420" i="1"/>
  <c r="V3420" i="1"/>
  <c r="W3420" i="1"/>
  <c r="X3420" i="1"/>
  <c r="Y3420" i="1"/>
  <c r="M3421" i="1"/>
  <c r="N3421" i="1"/>
  <c r="O3421" i="1"/>
  <c r="P3421" i="1"/>
  <c r="Q3421" i="1"/>
  <c r="R3421" i="1"/>
  <c r="S3421" i="1"/>
  <c r="T3421" i="1"/>
  <c r="U3421" i="1"/>
  <c r="V3421" i="1"/>
  <c r="W3421" i="1"/>
  <c r="X3421" i="1"/>
  <c r="Y3421" i="1"/>
  <c r="N3408" i="1"/>
  <c r="O3408" i="1"/>
  <c r="P3408" i="1"/>
  <c r="Q3408" i="1"/>
  <c r="R3408" i="1"/>
  <c r="S3408" i="1"/>
  <c r="T3408" i="1"/>
  <c r="U3408" i="1"/>
  <c r="V3408" i="1"/>
  <c r="W3408" i="1"/>
  <c r="X3408" i="1"/>
  <c r="Y3408" i="1"/>
  <c r="M3408" i="1"/>
  <c r="Y3404" i="1"/>
  <c r="Y3405" i="1" s="1"/>
  <c r="X3404" i="1"/>
  <c r="X3405" i="1" s="1"/>
  <c r="W3404" i="1"/>
  <c r="W3405" i="1" s="1"/>
  <c r="V3404" i="1"/>
  <c r="V3405" i="1" s="1"/>
  <c r="U3404" i="1"/>
  <c r="U3405" i="1" s="1"/>
  <c r="T3404" i="1"/>
  <c r="T3405" i="1" s="1"/>
  <c r="S3404" i="1"/>
  <c r="S3405" i="1" s="1"/>
  <c r="R3404" i="1"/>
  <c r="R3405" i="1" s="1"/>
  <c r="Q3404" i="1"/>
  <c r="Q3405" i="1" s="1"/>
  <c r="P3404" i="1"/>
  <c r="P3405" i="1" s="1"/>
  <c r="O3404" i="1"/>
  <c r="O3405" i="1" s="1"/>
  <c r="N3404" i="1"/>
  <c r="N3405" i="1" s="1"/>
  <c r="M3404" i="1"/>
  <c r="M3405" i="1" s="1"/>
  <c r="M2979" i="1"/>
  <c r="Y2994" i="1"/>
  <c r="X2994" i="1"/>
  <c r="W2994" i="1"/>
  <c r="V2994" i="1"/>
  <c r="U2994" i="1"/>
  <c r="T2994" i="1"/>
  <c r="S2994" i="1"/>
  <c r="R2994" i="1"/>
  <c r="Q2994" i="1"/>
  <c r="P2994" i="1"/>
  <c r="O2994" i="1"/>
  <c r="Y2993" i="1"/>
  <c r="X2993" i="1"/>
  <c r="W2993" i="1"/>
  <c r="V2993" i="1"/>
  <c r="U2993" i="1"/>
  <c r="T2993" i="1"/>
  <c r="S2993" i="1"/>
  <c r="R2993" i="1"/>
  <c r="Q2993" i="1"/>
  <c r="P2993" i="1"/>
  <c r="O2993" i="1"/>
  <c r="Y2992" i="1"/>
  <c r="X2992" i="1"/>
  <c r="W2992" i="1"/>
  <c r="V2992" i="1"/>
  <c r="U2992" i="1"/>
  <c r="T2992" i="1"/>
  <c r="S2992" i="1"/>
  <c r="R2992" i="1"/>
  <c r="Q2992" i="1"/>
  <c r="P2992" i="1"/>
  <c r="O2992" i="1"/>
  <c r="Y2991" i="1"/>
  <c r="X2991" i="1"/>
  <c r="W2991" i="1"/>
  <c r="V2991" i="1"/>
  <c r="U2991" i="1"/>
  <c r="T2991" i="1"/>
  <c r="S2991" i="1"/>
  <c r="R2991" i="1"/>
  <c r="Q2991" i="1"/>
  <c r="P2991" i="1"/>
  <c r="O2991" i="1"/>
  <c r="Y2990" i="1"/>
  <c r="X2990" i="1"/>
  <c r="W2990" i="1"/>
  <c r="V2990" i="1"/>
  <c r="U2990" i="1"/>
  <c r="T2990" i="1"/>
  <c r="S2990" i="1"/>
  <c r="R2990" i="1"/>
  <c r="Q2990" i="1"/>
  <c r="P2990" i="1"/>
  <c r="O2990" i="1"/>
  <c r="Y2989" i="1"/>
  <c r="X2989" i="1"/>
  <c r="W2989" i="1"/>
  <c r="V2989" i="1"/>
  <c r="U2989" i="1"/>
  <c r="T2989" i="1"/>
  <c r="S2989" i="1"/>
  <c r="R2989" i="1"/>
  <c r="Q2989" i="1"/>
  <c r="P2989" i="1"/>
  <c r="O2989" i="1"/>
  <c r="Y2988" i="1"/>
  <c r="X2988" i="1"/>
  <c r="W2988" i="1"/>
  <c r="V2988" i="1"/>
  <c r="U2988" i="1"/>
  <c r="T2988" i="1"/>
  <c r="S2988" i="1"/>
  <c r="R2988" i="1"/>
  <c r="Q2988" i="1"/>
  <c r="P2988" i="1"/>
  <c r="O2988" i="1"/>
  <c r="Y2987" i="1"/>
  <c r="X2987" i="1"/>
  <c r="W2987" i="1"/>
  <c r="V2987" i="1"/>
  <c r="U2987" i="1"/>
  <c r="T2987" i="1"/>
  <c r="S2987" i="1"/>
  <c r="R2987" i="1"/>
  <c r="Q2987" i="1"/>
  <c r="P2987" i="1"/>
  <c r="O2987" i="1"/>
  <c r="Y2986" i="1"/>
  <c r="X2986" i="1"/>
  <c r="W2986" i="1"/>
  <c r="V2986" i="1"/>
  <c r="U2986" i="1"/>
  <c r="T2986" i="1"/>
  <c r="S2986" i="1"/>
  <c r="R2986" i="1"/>
  <c r="Q2986" i="1"/>
  <c r="P2986" i="1"/>
  <c r="O2986" i="1"/>
  <c r="Y2985" i="1"/>
  <c r="X2985" i="1"/>
  <c r="W2985" i="1"/>
  <c r="V2985" i="1"/>
  <c r="U2985" i="1"/>
  <c r="T2985" i="1"/>
  <c r="S2985" i="1"/>
  <c r="R2985" i="1"/>
  <c r="Q2985" i="1"/>
  <c r="P2985" i="1"/>
  <c r="O2985" i="1"/>
  <c r="Y2984" i="1"/>
  <c r="X2984" i="1"/>
  <c r="W2984" i="1"/>
  <c r="V2984" i="1"/>
  <c r="U2984" i="1"/>
  <c r="T2984" i="1"/>
  <c r="S2984" i="1"/>
  <c r="R2984" i="1"/>
  <c r="Q2984" i="1"/>
  <c r="P2984" i="1"/>
  <c r="Y2983" i="1"/>
  <c r="X2983" i="1"/>
  <c r="W2983" i="1"/>
  <c r="V2983" i="1"/>
  <c r="U2983" i="1"/>
  <c r="T2983" i="1"/>
  <c r="S2983" i="1"/>
  <c r="R2983" i="1"/>
  <c r="Q2983" i="1"/>
  <c r="P2983" i="1"/>
  <c r="O2983" i="1"/>
  <c r="Y2982" i="1"/>
  <c r="X2982" i="1"/>
  <c r="W2982" i="1"/>
  <c r="V2982" i="1"/>
  <c r="U2982" i="1"/>
  <c r="T2982" i="1"/>
  <c r="S2982" i="1"/>
  <c r="R2982" i="1"/>
  <c r="Q2982" i="1"/>
  <c r="P2982" i="1"/>
  <c r="O2982" i="1"/>
  <c r="Y2981" i="1"/>
  <c r="X2981" i="1"/>
  <c r="W2981" i="1"/>
  <c r="V2981" i="1"/>
  <c r="U2981" i="1"/>
  <c r="T2981" i="1"/>
  <c r="S2981" i="1"/>
  <c r="R2981" i="1"/>
  <c r="Q2981" i="1"/>
  <c r="P2981" i="1"/>
  <c r="O2981" i="1"/>
  <c r="Y2980" i="1"/>
  <c r="X2980" i="1"/>
  <c r="W2980" i="1"/>
  <c r="V2980" i="1"/>
  <c r="U2980" i="1"/>
  <c r="T2980" i="1"/>
  <c r="S2980" i="1"/>
  <c r="R2980" i="1"/>
  <c r="Q2980" i="1"/>
  <c r="P2980" i="1"/>
  <c r="O2980" i="1"/>
  <c r="O2984" i="1"/>
  <c r="N2980" i="1"/>
  <c r="O2979" i="1"/>
  <c r="N2994" i="1"/>
  <c r="N2993" i="1"/>
  <c r="N2992" i="1"/>
  <c r="N2991" i="1"/>
  <c r="N2990" i="1"/>
  <c r="N2989" i="1"/>
  <c r="N2988" i="1"/>
  <c r="N2987" i="1"/>
  <c r="N2986" i="1"/>
  <c r="N2985" i="1"/>
  <c r="N2984" i="1"/>
  <c r="N2983" i="1"/>
  <c r="N2982" i="1"/>
  <c r="N2981" i="1"/>
  <c r="N2979" i="1"/>
  <c r="M2993" i="1"/>
  <c r="M2994" i="1"/>
  <c r="M2992" i="1"/>
  <c r="M2991" i="1"/>
  <c r="M2990" i="1"/>
  <c r="M2989" i="1"/>
  <c r="M2988" i="1"/>
  <c r="M2987" i="1"/>
  <c r="M2986" i="1"/>
  <c r="M2985" i="1"/>
  <c r="M2984" i="1"/>
  <c r="M2983" i="1"/>
  <c r="M2982" i="1"/>
  <c r="M2981" i="1"/>
  <c r="M2980" i="1"/>
  <c r="Y2979" i="1"/>
  <c r="X2979" i="1"/>
  <c r="W2979" i="1"/>
  <c r="V2979" i="1"/>
  <c r="U2979" i="1"/>
  <c r="T2979" i="1"/>
  <c r="S2979" i="1"/>
  <c r="R2979" i="1"/>
  <c r="Q2979" i="1"/>
  <c r="P2979" i="1"/>
  <c r="Y2977" i="1"/>
  <c r="Y2978" i="1" s="1"/>
  <c r="X2977" i="1"/>
  <c r="X2978" i="1" s="1"/>
  <c r="W2977" i="1"/>
  <c r="W2978" i="1" s="1"/>
  <c r="M2479" i="1"/>
  <c r="S2977" i="1"/>
  <c r="S2978" i="1" s="1"/>
  <c r="V2977" i="1"/>
  <c r="V2978" i="1" s="1"/>
  <c r="U2977" i="1"/>
  <c r="U2978" i="1" s="1"/>
  <c r="T2977" i="1"/>
  <c r="T2978" i="1" s="1"/>
  <c r="R2977" i="1"/>
  <c r="R2978" i="1" s="1"/>
  <c r="Q2977" i="1"/>
  <c r="Q2978" i="1" s="1"/>
  <c r="P2977" i="1"/>
  <c r="P2978" i="1" s="1"/>
  <c r="O2977" i="1"/>
  <c r="O2978" i="1" s="1"/>
  <c r="N2977" i="1"/>
  <c r="N2978" i="1" s="1"/>
  <c r="M2977" i="1"/>
  <c r="M2978" i="1" s="1"/>
  <c r="M2477" i="1"/>
  <c r="M2478" i="1" s="1"/>
  <c r="M2483" i="1"/>
  <c r="M2482" i="1"/>
  <c r="M2481" i="1"/>
  <c r="Y2494" i="1"/>
  <c r="Y2493" i="1"/>
  <c r="Y2492" i="1"/>
  <c r="Y2491" i="1"/>
  <c r="Y2490" i="1"/>
  <c r="Y2489" i="1"/>
  <c r="Y2488" i="1"/>
  <c r="Y2487" i="1"/>
  <c r="Y2486" i="1"/>
  <c r="Y2485" i="1"/>
  <c r="Y2484" i="1"/>
  <c r="Y2483" i="1"/>
  <c r="Y2482" i="1"/>
  <c r="Y2481" i="1"/>
  <c r="Y2480" i="1"/>
  <c r="Y2479" i="1"/>
  <c r="X2494" i="1"/>
  <c r="X2493" i="1"/>
  <c r="X2492" i="1"/>
  <c r="X2491" i="1"/>
  <c r="X2490" i="1"/>
  <c r="X2489" i="1"/>
  <c r="X2488" i="1"/>
  <c r="X2487" i="1"/>
  <c r="X2486" i="1"/>
  <c r="X2485" i="1"/>
  <c r="X2484" i="1"/>
  <c r="X2483" i="1"/>
  <c r="X2482" i="1"/>
  <c r="X2481" i="1"/>
  <c r="X2480" i="1"/>
  <c r="X2479" i="1"/>
  <c r="V2494" i="1"/>
  <c r="V2493" i="1"/>
  <c r="V2492" i="1"/>
  <c r="V2491" i="1"/>
  <c r="V2490" i="1"/>
  <c r="V2489" i="1"/>
  <c r="V2488" i="1"/>
  <c r="V2487" i="1"/>
  <c r="V2486" i="1"/>
  <c r="V2485" i="1"/>
  <c r="V2484" i="1"/>
  <c r="V2483" i="1"/>
  <c r="V2482" i="1"/>
  <c r="V2481" i="1"/>
  <c r="V2480" i="1"/>
  <c r="V2479" i="1"/>
  <c r="U2494" i="1"/>
  <c r="U2493" i="1"/>
  <c r="U2492" i="1"/>
  <c r="U2491" i="1"/>
  <c r="U2490" i="1"/>
  <c r="U2489" i="1"/>
  <c r="U2488" i="1"/>
  <c r="U2487" i="1"/>
  <c r="U2486" i="1"/>
  <c r="U2485" i="1"/>
  <c r="U2484" i="1"/>
  <c r="U2483" i="1"/>
  <c r="U2482" i="1"/>
  <c r="U2481" i="1"/>
  <c r="U2480" i="1"/>
  <c r="U2479" i="1"/>
  <c r="T2494" i="1"/>
  <c r="T2493" i="1"/>
  <c r="T2492" i="1"/>
  <c r="T2491" i="1"/>
  <c r="T2490" i="1"/>
  <c r="T2489" i="1"/>
  <c r="T2488" i="1"/>
  <c r="T2487" i="1"/>
  <c r="T2486" i="1"/>
  <c r="T2485" i="1"/>
  <c r="T2484" i="1"/>
  <c r="T2483" i="1"/>
  <c r="T2482" i="1"/>
  <c r="T2481" i="1"/>
  <c r="T2480" i="1"/>
  <c r="T2479" i="1"/>
  <c r="S2494" i="1"/>
  <c r="S2493" i="1"/>
  <c r="S2492" i="1"/>
  <c r="S2490" i="1"/>
  <c r="S2491" i="1"/>
  <c r="S2489" i="1"/>
  <c r="S2488" i="1"/>
  <c r="S2487" i="1"/>
  <c r="S2486" i="1"/>
  <c r="S2485" i="1"/>
  <c r="S2484" i="1"/>
  <c r="S2483" i="1"/>
  <c r="S2482" i="1"/>
  <c r="S2481" i="1"/>
  <c r="S2480" i="1"/>
  <c r="S2479" i="1"/>
  <c r="R2480" i="1"/>
  <c r="R2494" i="1"/>
  <c r="R2493" i="1"/>
  <c r="R2492" i="1"/>
  <c r="R2491" i="1"/>
  <c r="R2490" i="1"/>
  <c r="R2489" i="1"/>
  <c r="R2488" i="1"/>
  <c r="R2487" i="1"/>
  <c r="Q2486" i="1"/>
  <c r="R2486" i="1"/>
  <c r="R2485" i="1"/>
  <c r="R2484" i="1"/>
  <c r="R2483" i="1"/>
  <c r="R2482" i="1"/>
  <c r="R2481" i="1"/>
  <c r="R2479" i="1"/>
  <c r="Q2494" i="1"/>
  <c r="Q2493" i="1"/>
  <c r="Q2492" i="1"/>
  <c r="Q2491" i="1"/>
  <c r="Q2490" i="1"/>
  <c r="Q2489" i="1"/>
  <c r="Q2488" i="1"/>
  <c r="Q2487" i="1"/>
  <c r="Q2485" i="1"/>
  <c r="Q2484" i="1"/>
  <c r="Q2483" i="1"/>
  <c r="Q2482" i="1"/>
  <c r="Q2481" i="1"/>
  <c r="Q2480" i="1"/>
  <c r="Q2479" i="1"/>
  <c r="P2494" i="1"/>
  <c r="P2493" i="1"/>
  <c r="P2492" i="1"/>
  <c r="P2491" i="1"/>
  <c r="P2490" i="1"/>
  <c r="P2489" i="1"/>
  <c r="P2488" i="1"/>
  <c r="P2487" i="1"/>
  <c r="P2486" i="1"/>
  <c r="P2484" i="1"/>
  <c r="P2485" i="1"/>
  <c r="P2483" i="1"/>
  <c r="P2482" i="1"/>
  <c r="P2481" i="1"/>
  <c r="P2480" i="1"/>
  <c r="P2479" i="1"/>
  <c r="O2494" i="1"/>
  <c r="O2493" i="1"/>
  <c r="O2492" i="1"/>
  <c r="O2491" i="1"/>
  <c r="O2490" i="1"/>
  <c r="O2489" i="1"/>
  <c r="O2488" i="1"/>
  <c r="O2487" i="1"/>
  <c r="O2486" i="1"/>
  <c r="N2486" i="1"/>
  <c r="O2485" i="1"/>
  <c r="O2484" i="1"/>
  <c r="O2483" i="1"/>
  <c r="O2482" i="1"/>
  <c r="O2481" i="1"/>
  <c r="O2480" i="1"/>
  <c r="O2479" i="1"/>
  <c r="N2479" i="1"/>
  <c r="N2494" i="1"/>
  <c r="N2493" i="1"/>
  <c r="N2492" i="1"/>
  <c r="N2491" i="1"/>
  <c r="N2490" i="1"/>
  <c r="N2489" i="1"/>
  <c r="N2488" i="1"/>
  <c r="N2487" i="1"/>
  <c r="N2485" i="1"/>
  <c r="N2484" i="1"/>
  <c r="N2483" i="1"/>
  <c r="N2482" i="1"/>
  <c r="N2481" i="1"/>
  <c r="N2480" i="1"/>
  <c r="M2494" i="1"/>
  <c r="M2493" i="1"/>
  <c r="M2492" i="1"/>
  <c r="M2491" i="1"/>
  <c r="M2490" i="1"/>
  <c r="M2489" i="1"/>
  <c r="M2488" i="1"/>
  <c r="M2487" i="1"/>
  <c r="M2486" i="1"/>
  <c r="M2485" i="1"/>
  <c r="M2484" i="1"/>
  <c r="M2480" i="1"/>
  <c r="U2477" i="1"/>
  <c r="U2478" i="1" s="1"/>
  <c r="Y2477" i="1"/>
  <c r="Y2478" i="1" s="1"/>
  <c r="X2477" i="1"/>
  <c r="X2478" i="1" s="1"/>
  <c r="W2477" i="1"/>
  <c r="W2478" i="1" s="1"/>
  <c r="V2477" i="1"/>
  <c r="V2478" i="1" s="1"/>
  <c r="T2477" i="1"/>
  <c r="T2478" i="1" s="1"/>
  <c r="S2477" i="1"/>
  <c r="S2478" i="1" s="1"/>
  <c r="R2477" i="1"/>
  <c r="R2478" i="1" s="1"/>
  <c r="Q2477" i="1"/>
  <c r="Q2478" i="1" s="1"/>
  <c r="N2477" i="1"/>
  <c r="N2478" i="1" s="1"/>
  <c r="O2477" i="1"/>
  <c r="O2478" i="1" s="1"/>
  <c r="P2477" i="1"/>
  <c r="P2478" i="1" s="1"/>
  <c r="L310" i="1"/>
  <c r="L309" i="1"/>
  <c r="L308" i="1"/>
  <c r="L307" i="1"/>
  <c r="L306" i="1"/>
  <c r="L305" i="1"/>
  <c r="L304" i="1"/>
  <c r="L303" i="1"/>
  <c r="L302" i="1"/>
  <c r="L301" i="1"/>
  <c r="L300" i="1"/>
  <c r="L299" i="1"/>
  <c r="L298" i="1"/>
  <c r="L297" i="1"/>
  <c r="L296" i="1"/>
  <c r="L295" i="1"/>
  <c r="L294" i="1"/>
  <c r="L293" i="1"/>
  <c r="L292" i="1"/>
  <c r="L291" i="1"/>
  <c r="L290" i="1"/>
  <c r="L289" i="1"/>
  <c r="L288" i="1"/>
  <c r="L287" i="1"/>
  <c r="L286" i="1"/>
  <c r="L285" i="1"/>
  <c r="L284" i="1"/>
  <c r="L283" i="1"/>
  <c r="L282" i="1"/>
  <c r="L281" i="1"/>
  <c r="L280" i="1"/>
  <c r="L279" i="1"/>
  <c r="L278" i="1"/>
  <c r="L277" i="1"/>
  <c r="L276" i="1"/>
  <c r="L275" i="1"/>
  <c r="L274" i="1"/>
  <c r="L273" i="1"/>
  <c r="L272" i="1"/>
  <c r="L271" i="1"/>
  <c r="L270" i="1"/>
  <c r="L269" i="1"/>
  <c r="L268" i="1"/>
  <c r="L267" i="1"/>
  <c r="L266" i="1"/>
  <c r="L265" i="1"/>
  <c r="L264" i="1"/>
  <c r="L263" i="1"/>
  <c r="L262" i="1"/>
  <c r="L261" i="1"/>
  <c r="L260" i="1"/>
  <c r="L259" i="1"/>
  <c r="L258" i="1"/>
  <c r="L257" i="1"/>
  <c r="L256" i="1"/>
  <c r="L255" i="1"/>
  <c r="L254" i="1"/>
  <c r="L253" i="1"/>
  <c r="L252" i="1"/>
  <c r="L251" i="1"/>
  <c r="L250" i="1"/>
  <c r="L249" i="1"/>
  <c r="L248" i="1"/>
  <c r="L247" i="1"/>
  <c r="L246" i="1"/>
  <c r="L245" i="1"/>
  <c r="L244" i="1"/>
  <c r="L243" i="1"/>
  <c r="L242" i="1"/>
  <c r="L241" i="1"/>
  <c r="L240" i="1"/>
  <c r="L239" i="1"/>
  <c r="L238" i="1"/>
  <c r="L237" i="1"/>
  <c r="L236" i="1"/>
  <c r="L235" i="1"/>
  <c r="L234" i="1"/>
  <c r="L233" i="1"/>
  <c r="L232" i="1"/>
  <c r="L231" i="1"/>
  <c r="L230" i="1"/>
  <c r="L229" i="1"/>
  <c r="L228" i="1"/>
  <c r="L227" i="1"/>
  <c r="L226" i="1"/>
  <c r="L225" i="1"/>
  <c r="L224" i="1"/>
  <c r="L223" i="1"/>
  <c r="L222" i="1"/>
  <c r="L221" i="1"/>
  <c r="L220" i="1"/>
  <c r="L219" i="1"/>
  <c r="L218" i="1"/>
  <c r="L217" i="1"/>
  <c r="L216" i="1"/>
  <c r="L215" i="1"/>
  <c r="L214" i="1"/>
  <c r="L213" i="1"/>
  <c r="L212" i="1"/>
  <c r="L211" i="1"/>
  <c r="L210" i="1"/>
  <c r="L209" i="1"/>
  <c r="L208" i="1"/>
  <c r="L207" i="1"/>
  <c r="L206" i="1"/>
  <c r="L205" i="1"/>
  <c r="L204" i="1"/>
  <c r="L203" i="1"/>
  <c r="L202" i="1"/>
  <c r="L201" i="1"/>
  <c r="L200" i="1"/>
  <c r="L199" i="1"/>
  <c r="L198" i="1"/>
  <c r="L197" i="1"/>
  <c r="L196" i="1"/>
  <c r="L195" i="1"/>
  <c r="L194" i="1"/>
  <c r="L193" i="1"/>
  <c r="L192" i="1"/>
  <c r="L191" i="1"/>
  <c r="L190" i="1"/>
  <c r="L189" i="1"/>
  <c r="L188" i="1"/>
  <c r="L187" i="1"/>
  <c r="L186" i="1"/>
  <c r="L185" i="1"/>
  <c r="L184" i="1"/>
  <c r="L183" i="1"/>
  <c r="L182" i="1"/>
  <c r="L181" i="1"/>
  <c r="L180" i="1"/>
  <c r="L179" i="1"/>
  <c r="L178" i="1"/>
  <c r="L177" i="1"/>
  <c r="L176" i="1"/>
  <c r="L175" i="1"/>
  <c r="L174" i="1"/>
  <c r="L173" i="1"/>
  <c r="L172" i="1"/>
  <c r="L171" i="1"/>
  <c r="L170" i="1"/>
  <c r="L169" i="1"/>
  <c r="L168" i="1"/>
  <c r="L167" i="1"/>
  <c r="L166" i="1"/>
  <c r="L165" i="1"/>
  <c r="L164" i="1"/>
  <c r="L163" i="1"/>
  <c r="L162" i="1"/>
  <c r="L161" i="1"/>
  <c r="L160" i="1"/>
  <c r="L159" i="1"/>
  <c r="L158" i="1"/>
  <c r="L157" i="1"/>
  <c r="L156" i="1"/>
  <c r="L155" i="1"/>
  <c r="L154" i="1"/>
  <c r="L153" i="1"/>
  <c r="L152" i="1"/>
  <c r="L151" i="1"/>
  <c r="L150" i="1"/>
  <c r="L149" i="1"/>
  <c r="L148" i="1"/>
  <c r="L147" i="1"/>
  <c r="L146" i="1"/>
  <c r="L145" i="1"/>
  <c r="L144" i="1"/>
  <c r="L143" i="1"/>
  <c r="L142" i="1"/>
  <c r="L141" i="1"/>
  <c r="L140" i="1"/>
  <c r="L139" i="1"/>
  <c r="L138" i="1"/>
  <c r="L137" i="1"/>
  <c r="L136" i="1"/>
  <c r="L135" i="1"/>
  <c r="L134" i="1"/>
  <c r="L133" i="1"/>
  <c r="L132" i="1"/>
  <c r="L131" i="1"/>
  <c r="L130" i="1"/>
  <c r="L129" i="1"/>
  <c r="L128" i="1"/>
  <c r="L127" i="1"/>
  <c r="L126" i="1"/>
  <c r="L125" i="1"/>
  <c r="L124" i="1"/>
  <c r="L123" i="1"/>
  <c r="L122" i="1"/>
  <c r="L121" i="1"/>
  <c r="L120" i="1"/>
  <c r="L119" i="1"/>
  <c r="L118" i="1"/>
  <c r="L117" i="1"/>
  <c r="L116" i="1"/>
  <c r="L115" i="1"/>
  <c r="L114" i="1"/>
  <c r="L113" i="1"/>
  <c r="L112" i="1"/>
  <c r="L111" i="1"/>
  <c r="L110" i="1"/>
  <c r="L109" i="1"/>
  <c r="L108" i="1"/>
  <c r="L107" i="1"/>
  <c r="L106" i="1"/>
  <c r="L105" i="1"/>
  <c r="L104" i="1"/>
  <c r="L103" i="1"/>
  <c r="L102" i="1"/>
  <c r="L101" i="1"/>
  <c r="L100" i="1"/>
  <c r="L99" i="1"/>
  <c r="L98" i="1"/>
  <c r="L97" i="1"/>
  <c r="L96" i="1"/>
  <c r="L95" i="1"/>
  <c r="L94" i="1"/>
  <c r="L93" i="1"/>
  <c r="L92" i="1"/>
  <c r="L91" i="1"/>
  <c r="L90" i="1"/>
  <c r="L89" i="1"/>
  <c r="L88" i="1"/>
  <c r="L87" i="1"/>
  <c r="L86" i="1"/>
  <c r="L85" i="1"/>
  <c r="L84" i="1"/>
  <c r="L83" i="1"/>
  <c r="L82" i="1"/>
  <c r="L81" i="1"/>
  <c r="L80" i="1"/>
  <c r="L79" i="1"/>
  <c r="L78" i="1"/>
  <c r="L77" i="1"/>
  <c r="L76" i="1"/>
  <c r="L75" i="1"/>
  <c r="L74" i="1"/>
  <c r="L73" i="1"/>
  <c r="L72" i="1"/>
  <c r="L71" i="1"/>
  <c r="L70" i="1"/>
  <c r="L69" i="1"/>
  <c r="L68" i="1"/>
  <c r="L67" i="1"/>
  <c r="L66" i="1"/>
  <c r="L65" i="1"/>
  <c r="L64" i="1"/>
  <c r="L63" i="1"/>
  <c r="L62" i="1"/>
  <c r="L61" i="1"/>
  <c r="L60" i="1"/>
  <c r="L59" i="1"/>
  <c r="L58" i="1"/>
  <c r="L57" i="1"/>
  <c r="L56" i="1"/>
  <c r="L55" i="1"/>
  <c r="L54" i="1"/>
  <c r="L53" i="1"/>
  <c r="L52" i="1"/>
  <c r="L51" i="1"/>
  <c r="L50" i="1"/>
  <c r="L49" i="1"/>
  <c r="L48" i="1"/>
  <c r="L47" i="1"/>
  <c r="L46" i="1"/>
  <c r="L45" i="1"/>
  <c r="L44" i="1"/>
  <c r="L43" i="1"/>
  <c r="L42" i="1"/>
  <c r="L41" i="1"/>
  <c r="L40" i="1"/>
  <c r="L39" i="1"/>
  <c r="L38" i="1"/>
  <c r="L37" i="1"/>
  <c r="L36" i="1"/>
  <c r="L35" i="1"/>
  <c r="L34" i="1"/>
  <c r="L33" i="1"/>
  <c r="L32" i="1"/>
  <c r="L31" i="1"/>
  <c r="L30" i="1"/>
  <c r="L29" i="1"/>
  <c r="L28" i="1"/>
  <c r="L27" i="1"/>
  <c r="L26" i="1"/>
  <c r="L25" i="1"/>
  <c r="L24" i="1"/>
  <c r="L23" i="1"/>
  <c r="L22" i="1"/>
  <c r="L21" i="1"/>
  <c r="L20" i="1"/>
  <c r="L19" i="1"/>
  <c r="L18" i="1"/>
  <c r="L17" i="1"/>
  <c r="L16" i="1"/>
  <c r="L15" i="1"/>
  <c r="L14" i="1"/>
  <c r="L13" i="1"/>
  <c r="L12" i="1"/>
  <c r="L11" i="1"/>
  <c r="L10" i="1"/>
  <c r="L9" i="1"/>
  <c r="L8" i="1"/>
  <c r="L7" i="1"/>
  <c r="L6" i="1"/>
  <c r="L5" i="1"/>
  <c r="L4" i="1"/>
  <c r="L3" i="1"/>
  <c r="L2" i="1"/>
  <c r="L467" i="1"/>
  <c r="L466" i="1"/>
  <c r="L465" i="1"/>
  <c r="L464" i="1"/>
  <c r="L463" i="1"/>
  <c r="L462" i="1"/>
  <c r="L461" i="1"/>
  <c r="L460" i="1"/>
  <c r="L459" i="1"/>
  <c r="L458" i="1"/>
  <c r="L457" i="1"/>
  <c r="L456" i="1"/>
  <c r="L455" i="1"/>
  <c r="L454" i="1"/>
  <c r="L453" i="1"/>
  <c r="L452" i="1"/>
  <c r="L451" i="1"/>
  <c r="L450" i="1"/>
  <c r="L449" i="1"/>
  <c r="L448" i="1"/>
  <c r="L447" i="1"/>
  <c r="L446" i="1"/>
  <c r="L445" i="1"/>
  <c r="L444" i="1"/>
  <c r="L443" i="1"/>
  <c r="L442" i="1"/>
  <c r="L441" i="1"/>
  <c r="L440" i="1"/>
  <c r="L439" i="1"/>
  <c r="L438" i="1"/>
  <c r="L437" i="1"/>
  <c r="L436" i="1"/>
  <c r="L435" i="1"/>
  <c r="L434" i="1"/>
  <c r="L433" i="1"/>
  <c r="L432" i="1"/>
  <c r="L431" i="1"/>
  <c r="L430" i="1"/>
  <c r="L429" i="1"/>
  <c r="L428" i="1"/>
  <c r="L427" i="1"/>
  <c r="L426" i="1"/>
  <c r="L425" i="1"/>
  <c r="L424" i="1"/>
  <c r="L423" i="1"/>
  <c r="L422" i="1"/>
  <c r="L421" i="1"/>
  <c r="L420" i="1"/>
  <c r="L419" i="1"/>
  <c r="L418" i="1"/>
  <c r="L417" i="1"/>
  <c r="L416" i="1"/>
  <c r="L415" i="1"/>
  <c r="L414" i="1"/>
  <c r="L413" i="1"/>
  <c r="L412" i="1"/>
  <c r="L411" i="1"/>
  <c r="L410" i="1"/>
  <c r="L409" i="1"/>
  <c r="L408" i="1"/>
  <c r="L407" i="1"/>
  <c r="L406" i="1"/>
  <c r="L405" i="1"/>
  <c r="L404" i="1"/>
  <c r="L403" i="1"/>
  <c r="L402" i="1"/>
  <c r="L401" i="1"/>
  <c r="L400" i="1"/>
  <c r="L399" i="1"/>
  <c r="L398" i="1"/>
  <c r="L397" i="1"/>
  <c r="L396" i="1"/>
  <c r="L395" i="1"/>
  <c r="L394" i="1"/>
  <c r="L393" i="1"/>
  <c r="L392" i="1"/>
  <c r="L391" i="1"/>
  <c r="L390" i="1"/>
  <c r="L389" i="1"/>
  <c r="L388" i="1"/>
  <c r="L387" i="1"/>
  <c r="L386" i="1"/>
  <c r="L385" i="1"/>
  <c r="L384" i="1"/>
  <c r="L383" i="1"/>
  <c r="L382" i="1"/>
  <c r="L381" i="1"/>
  <c r="L380" i="1"/>
  <c r="L379" i="1"/>
  <c r="L378" i="1"/>
  <c r="L377" i="1"/>
  <c r="L376" i="1"/>
  <c r="L375" i="1"/>
  <c r="L374" i="1"/>
  <c r="L373" i="1"/>
  <c r="L372" i="1"/>
  <c r="L371" i="1"/>
  <c r="L370" i="1"/>
  <c r="L369" i="1"/>
  <c r="L368" i="1"/>
  <c r="L367" i="1"/>
  <c r="L366" i="1"/>
  <c r="L365" i="1"/>
  <c r="L364" i="1"/>
  <c r="L363" i="1"/>
  <c r="L362" i="1"/>
  <c r="L361" i="1"/>
  <c r="L360" i="1"/>
  <c r="L359" i="1"/>
  <c r="L358" i="1"/>
  <c r="L357" i="1"/>
  <c r="L356" i="1"/>
  <c r="L355" i="1"/>
  <c r="L354" i="1"/>
  <c r="L353" i="1"/>
  <c r="L352" i="1"/>
  <c r="L351" i="1"/>
  <c r="L350" i="1"/>
  <c r="L349" i="1"/>
  <c r="L348" i="1"/>
  <c r="L347" i="1"/>
  <c r="L346" i="1"/>
  <c r="L345" i="1"/>
  <c r="L344" i="1"/>
  <c r="L343" i="1"/>
  <c r="L342" i="1"/>
  <c r="L341" i="1"/>
  <c r="L340" i="1"/>
  <c r="L339" i="1"/>
  <c r="L338" i="1"/>
  <c r="L337" i="1"/>
  <c r="L336" i="1"/>
  <c r="L335" i="1"/>
  <c r="L334" i="1"/>
  <c r="L333" i="1"/>
  <c r="L332" i="1"/>
  <c r="L331" i="1"/>
  <c r="L330" i="1"/>
  <c r="L329" i="1"/>
  <c r="L328" i="1"/>
  <c r="L327" i="1"/>
  <c r="L326" i="1"/>
  <c r="L325" i="1"/>
  <c r="L324" i="1"/>
  <c r="L323" i="1"/>
  <c r="L322" i="1"/>
  <c r="L321" i="1"/>
  <c r="L320" i="1"/>
  <c r="L319" i="1"/>
  <c r="L318" i="1"/>
  <c r="L317" i="1"/>
  <c r="L316" i="1"/>
  <c r="L315" i="1"/>
  <c r="L314" i="1"/>
  <c r="L313" i="1"/>
  <c r="L312" i="1"/>
  <c r="L311" i="1"/>
</calcChain>
</file>

<file path=xl/sharedStrings.xml><?xml version="1.0" encoding="utf-8"?>
<sst xmlns="http://schemas.openxmlformats.org/spreadsheetml/2006/main" count="31513" uniqueCount="5291">
  <si>
    <t>SurveyType</t>
  </si>
  <si>
    <t>ResponseDate</t>
  </si>
  <si>
    <t>VISN</t>
  </si>
  <si>
    <t>Division</t>
  </si>
  <si>
    <t>Gender</t>
  </si>
  <si>
    <t>Age</t>
  </si>
  <si>
    <t>Trust</t>
  </si>
  <si>
    <t>FeedbackType</t>
  </si>
  <si>
    <t>Comments</t>
  </si>
  <si>
    <t>Tags</t>
  </si>
  <si>
    <t>Notes</t>
  </si>
  <si>
    <t>Date</t>
  </si>
  <si>
    <t>Mobile CI - Good</t>
  </si>
  <si>
    <t>Mobile CI - Bad</t>
  </si>
  <si>
    <t>General Check-in - Good</t>
  </si>
  <si>
    <t>General Check-in - Bad</t>
  </si>
  <si>
    <t>Kiosk - Good</t>
  </si>
  <si>
    <t>Kiosk - Bad</t>
  </si>
  <si>
    <t>Staff Attitude/ Interaction - Good</t>
  </si>
  <si>
    <t>Staff Attitude/ Interaction - Bad</t>
  </si>
  <si>
    <t>Travel Pay - Good</t>
  </si>
  <si>
    <t>Travel Pay - Bad</t>
  </si>
  <si>
    <t>General Appointment Feedback</t>
  </si>
  <si>
    <t>Wait times - Good</t>
  </si>
  <si>
    <t>Wait times - Bad</t>
  </si>
  <si>
    <t>Feedback Type</t>
  </si>
  <si>
    <t>OUTPATIENT - HEALTHCARE VISIT</t>
  </si>
  <si>
    <t>2022-09-15</t>
  </si>
  <si>
    <t>8</t>
  </si>
  <si>
    <t>Leo C. Chase Jr. VA Clinic</t>
  </si>
  <si>
    <t>M</t>
  </si>
  <si>
    <t>89</t>
  </si>
  <si>
    <t>5</t>
  </si>
  <si>
    <t>Compliment</t>
  </si>
  <si>
    <t>Check in was prompt. I was called for my appointment within 5 minutes</t>
  </si>
  <si>
    <t>Wait time (arrival to check-out),Travel Pay - Bad</t>
  </si>
  <si>
    <t>Good wait time</t>
  </si>
  <si>
    <t>OUTPATIENT - SCHEDULING AN APPOINTMENT</t>
  </si>
  <si>
    <t>2</t>
  </si>
  <si>
    <t>Rochester Calkins VA Clinic</t>
  </si>
  <si>
    <t>66</t>
  </si>
  <si>
    <t>My initial check in was quick and easy. While waiting for screening I had an emergency call from work and had to leave. Some time later, I came back and we were back on track. Quick and easy. 
Thank you for the support and the questions.</t>
  </si>
  <si>
    <t>Easy</t>
  </si>
  <si>
    <t>2022-09-14</t>
  </si>
  <si>
    <t>6</t>
  </si>
  <si>
    <t>Hunter Holmes McGuire Hospital</t>
  </si>
  <si>
    <t>63</t>
  </si>
  <si>
    <t>Efficient: check in, vitals taken, and short wait to see primary care physician. We went over prior test and discussed future medical plan putting my worries at ease to include recommend contacting with any immediate medical concerns.</t>
  </si>
  <si>
    <t>General Check-in - Bad,General Check-in - Bad,General Check-in - Bad,General Check-in - Bad,General Check-in - Bad,General Check-in - Bad,General Check-in - Bad,General Check-in - Bad,General Check-in - Bad,General Check-in - Bad,General Check-in - Bad,General Check-in - Bad,General Check-in - Bad,General Check-in - Bad,General Check-in - Bad,General Check-in - Bad,General Check-in - Bad,General Check-in - Bad,General Check-in - Bad,General Check-in - Bad,General Check-in - Bad,General Check-in - Bad,General Check-in - Bad,General Check-in - Bad,General Check-in - Bad,General Check-in - Bad,General Check-in - Bad,General Check-in - Bad,General Check-in - Bad,General Check-in - Bad,General Check-in - Bad,General Check-in - Bad</t>
  </si>
  <si>
    <t>OUTPATIENT - LABS/IMAGING</t>
  </si>
  <si>
    <t>22</t>
  </si>
  <si>
    <t>Green Valley VA Clinic</t>
  </si>
  <si>
    <t>58</t>
  </si>
  <si>
    <t>Easy check in and great care.</t>
  </si>
  <si>
    <t>2022-09-13</t>
  </si>
  <si>
    <t>9</t>
  </si>
  <si>
    <t>Clarksville VA Clinic</t>
  </si>
  <si>
    <t>Check in was great, with little wait time.</t>
  </si>
  <si>
    <t>Great</t>
  </si>
  <si>
    <t>OUTPATIENT - PHARMACY (MAIL)</t>
  </si>
  <si>
    <t>Tibor Rubin VA Medical Center</t>
  </si>
  <si>
    <t>75</t>
  </si>
  <si>
    <t>VA has come a long way in the past few years, but has made one major step backwards. Taking the mileage reimbursement out of the KIOSK is a major set back for Veterans with disabilities and low income hurting minorities who donâ€™t have access to computers. PLEASE return it back to the old (and more efficient) way.</t>
  </si>
  <si>
    <t>Wants travel pay on kiosks</t>
  </si>
  <si>
    <t>Veteran Safety</t>
  </si>
  <si>
    <t>Anaheim VA Clinic</t>
  </si>
  <si>
    <t>I was there for labs for my appointment this week. Everyone was masked and there were only a few veterans waiting for their appointments at any time. Check in was fast and efficient.</t>
  </si>
  <si>
    <t>Fast</t>
  </si>
  <si>
    <t>Cumberland County VA Clinic</t>
  </si>
  <si>
    <t>4</t>
  </si>
  <si>
    <t>VA system (computer) needs to use EPIC Health care computer Program, so doctors can talk about use VA patients to outside doctors that treat use. EPIC is very secure system .
VA needs to cut back on the Policyâ€™s , like when you check-in stop asking the same question ie, who am I after you sign into clinic they know who you are and you have to be in computer system to see doctors .</t>
  </si>
  <si>
    <t>eCheck-in Bad</t>
  </si>
  <si>
    <t>Wants EPIC as EHR, so it connecst to outside doctors. Don't ask so many questions during check-in, because they expect the VA to know this information already</t>
  </si>
  <si>
    <t>12</t>
  </si>
  <si>
    <t>Marquette VA Clinic</t>
  </si>
  <si>
    <t>With the new check in system I was  in and out of lab in minutes how much safer could it be</t>
  </si>
  <si>
    <t>Staff,General Check-in - Bad</t>
  </si>
  <si>
    <t>New check-in(no method specified) led to quick appt</t>
  </si>
  <si>
    <t>Downtown West VA Clinic</t>
  </si>
  <si>
    <t>F</t>
  </si>
  <si>
    <t>27</t>
  </si>
  <si>
    <t>3</t>
  </si>
  <si>
    <t>Very hard to do the check in on phones when you used to the keyosk and then caint get the travel pay to work.</t>
  </si>
  <si>
    <t>eCheck-in Bad,Kiosk - Bad,Travel Pay - Bad</t>
  </si>
  <si>
    <t>PCI hard to get used to. Knew the kiosk. Travel pay isn't working.</t>
  </si>
  <si>
    <t>7</t>
  </si>
  <si>
    <t>Lawrenceville VA Clinic</t>
  </si>
  <si>
    <t>Concern</t>
  </si>
  <si>
    <t>I waited 45 minutes after checking in before going back to the check-in desk and was told to sit down, that someone would be with me shortly. A few minutes later, a nurse took me in the back, introduced herself and ask who I had an appointment with. I told her that I didn't know. She checked my record and finally said I needed a Shot.  After the shot I left, over two hours after arriving.</t>
  </si>
  <si>
    <t>Staff Attitude - Bad,Wait time (arrival to check-out)</t>
  </si>
  <si>
    <t>Long wait time after checking in. Staff didn't seem to know why they were there.</t>
  </si>
  <si>
    <t>OUTPATIENT - PHARMACY (IN-PERSON)</t>
  </si>
  <si>
    <t>15</t>
  </si>
  <si>
    <t>Kansas City VA Medical Center</t>
  </si>
  <si>
    <t>74</t>
  </si>
  <si>
    <t>One of my prescriptions had a pill that hadto be cut in half. The pharmacist at Check-In said she would include a pill cutter. Left without checking bag until I got home. Oops, no pill cutter. 
If one can be sent to my address on record, that would be perfect. Thanks</t>
  </si>
  <si>
    <t>19</t>
  </si>
  <si>
    <t>Rocky Mountain Regional VA Medical Center</t>
  </si>
  <si>
    <t>71</t>
  </si>
  <si>
    <t>My only problem is the little bit of confusion about how to "get in line" for a prescription.  You check in and pull a number and I'm never sure how those two things are connected and what I'm looking for on the TV screen.  Is the first trip to the window to ask for a refill or drop off the Rx?  Then there's a second time I get called up by that same TV screen?  It's not straight forward.</t>
  </si>
  <si>
    <t>Confused about pharmacy check-in process</t>
  </si>
  <si>
    <t>Washington VA Medical Center</t>
  </si>
  <si>
    <t>65</t>
  </si>
  <si>
    <t>although the sign stated that we can check in 15 minutes before the appointment time, my husband (the veteran) and I  waited more than 15 minutes standing in the line just to be checked in. after checking in, we waited for another 45 minutes before my husband was seen. the delay was true for the rest of us waiting in the waiting lounge. also the medical procedure was again delayed for another hour</t>
  </si>
  <si>
    <t>Wait time (arrival to check-out)</t>
  </si>
  <si>
    <t>Long wait times</t>
  </si>
  <si>
    <t>17</t>
  </si>
  <si>
    <t>Audie L. Murphy Memorial Veterans' Hospital</t>
  </si>
  <si>
    <t>56</t>
  </si>
  <si>
    <t>Apparently I need to get address changed and I have a few questions because I travels,I do have an address or a p.o.box and I check in on it but I need to have a prescription directly to my address while Iâ€™m on the road ,but I tried to contact the pharmacy itâ€™s not easy especially since a computer canâ€™t answer my questions</t>
  </si>
  <si>
    <t>PCI didn't cover their address change.</t>
  </si>
  <si>
    <t>John J. Cochran Veterans Hospital</t>
  </si>
  <si>
    <t>72</t>
  </si>
  <si>
    <t>The current check in procedure in use has many flaws. The link used by veterans to check in for myself and other elderly patients is difficult to navigate. The signal throughout the  facility is weak. You have to move around to connect. Many elderly veterans don't have smart phones. Wouldn't it be easier to issue a veterans ID card that has maybe a chip to use for check in. Instead of using cellph</t>
  </si>
  <si>
    <t>PCI link is difficult to navigate. Connectvity is a problem. Some Veterans don't have smartphones</t>
  </si>
  <si>
    <t>They make us use are phones to check in. Most of us don't have phones that will let us check in by phone and the ones who do have phones to check in and don't know how to do it. Most of us are elderly and don't function well in the technical arena very well. The clerks who have to help us get frustrated at people because we don't know how to check in on the phone. They act like we are stupid.</t>
  </si>
  <si>
    <t>eCheck-in Bad,Staff Attitude - Good</t>
  </si>
  <si>
    <t>Some Veterans don't have smartphones or aren't tech-savvy. Staff attidtude - frustrated with help Veterans with PCI</t>
  </si>
  <si>
    <t>Las Cruces VA Clinic</t>
  </si>
  <si>
    <t>64</t>
  </si>
  <si>
    <t>Highly upset about the waste of money changing the check in system again. Every dime spent on the old one sitting in a room collecting dust. Particularly liked the notice that using the new system could cost veterans money just for checking in.</t>
  </si>
  <si>
    <t>PCI is waste of money; wonders what happened with kiosk hardware investment. Didn't like the notice that PCI might cost Veterans money.</t>
  </si>
  <si>
    <t>Casa Grande VA Clinic</t>
  </si>
  <si>
    <t>New check in did not work.</t>
  </si>
  <si>
    <t>PCI did not work.</t>
  </si>
  <si>
    <t>Lynchburg VA Clinic</t>
  </si>
  <si>
    <t>46</t>
  </si>
  <si>
    <t>I do not agree with having to use my phone to scan an app to check in.  When I tried, there errors.  Very frustrating.</t>
  </si>
  <si>
    <t>tride PCI and got errors, so frustrated</t>
  </si>
  <si>
    <t>Orlando VA Medical Center</t>
  </si>
  <si>
    <t>69</t>
  </si>
  <si>
    <t>Staffing is an issue/ was scheduled for video connect appt but was told right before it was a phone appointment. Cancer patients appointments should be done in person not by phone. The new check-in procedure with QR code does not work.</t>
  </si>
  <si>
    <t>PCI doesn't work. Virtual appt switch from video to phone at last minute.</t>
  </si>
  <si>
    <t>Don't like using my Cel phone to check in.
Also don't like using my computer for travel pay.</t>
  </si>
  <si>
    <t>eCheck-in Bad,Travel Pay - Bad</t>
  </si>
  <si>
    <t>Doesn't like using cellphone or computer to complete check-in or travel pay</t>
  </si>
  <si>
    <t>61</t>
  </si>
  <si>
    <t>Not a fan of the new smartphone check-in procedure.  For the older Veterans, using a smartphone to text or QR scan for check-in is difficult. Many of these patients rarely use text messaging or never use the QR scan.  I understand the procedure, but the connection was so poor, it was easier to just walk-up to the desk and check-in.  It was also easier to process my travel reimbursement.</t>
  </si>
  <si>
    <t>Texting and QR code is hard. Connection is poor, which impacts PCI.</t>
  </si>
  <si>
    <t>Ernest Childers Department of Veterans Affairs Outpatient Clinic</t>
  </si>
  <si>
    <t>70</t>
  </si>
  <si>
    <t>Wish you would return the check-in kiosks. Used to take a minute now you have to wait in line for 10 minutes to do the same. Going backwards on your service</t>
  </si>
  <si>
    <t>Wants the kiosk. Don't like waiting in line.</t>
  </si>
  <si>
    <t>Northport VA Medical Center</t>
  </si>
  <si>
    <t>When will we return to using the kiosk system for checking in.</t>
  </si>
  <si>
    <t>Wants the kiosk</t>
  </si>
  <si>
    <t>Durham VA Medical Center</t>
  </si>
  <si>
    <t>38</t>
  </si>
  <si>
    <t>After I checked in for my appointment, I waited in the waiting room for an hour and a half. When I asked at the desk what was taking so long, they said the kiosk didn't check me in. A different doctor volunteered to squeeze me into their schedule, and reported that my appointment was supposed to have been canceled, but no one contacted me. I wasted three hours that I could have been at work.</t>
  </si>
  <si>
    <t>Kiosk didn't get them in, so they waited unnecessarily. Didn't know their appointment was canceled.</t>
  </si>
  <si>
    <t>North Central Federal VA Clinic</t>
  </si>
  <si>
    <t>The pharmacy checkin machines/kiosks would not read my VA Card.  Was able to check in but just letting you know.</t>
  </si>
  <si>
    <t>Kiosks wouldn't read their card.</t>
  </si>
  <si>
    <t>The Villages VA Clinic</t>
  </si>
  <si>
    <t>76</t>
  </si>
  <si>
    <t>Getting rid of the electronic check in stations was just plain stupid. Old vets fighting with each other about who was trying to check in first yesterday was a bit much.</t>
  </si>
  <si>
    <t>Wants kiosk. Veterans fighting about who was in line first.</t>
  </si>
  <si>
    <t>Edward Hines Junior Hospital</t>
  </si>
  <si>
    <t>Was not able to submit a travel claim at the time of my visit as none of the Kiosks had travel claim available.</t>
  </si>
  <si>
    <t>Kiosk didn't have travel pay</t>
  </si>
  <si>
    <t>Abie Abraham VA Clinic</t>
  </si>
  <si>
    <t>57</t>
  </si>
  <si>
    <t>Why did you get rid of the check in Kiosks?  That methood was SO EASY!!!   Now, it is confusing and complicated and a WASTE of time!!   Go back to the old way!  I am sure hiring humans to do this is WAY more expensive than some machines...</t>
  </si>
  <si>
    <t>eCheck-in Bad,Kiosk - Bad</t>
  </si>
  <si>
    <t>Wants the kiosk. PCI is confusing, complicated, and a waste of time</t>
  </si>
  <si>
    <t>Charles George Department of Veterans Affairs Medical Center</t>
  </si>
  <si>
    <t>67</t>
  </si>
  <si>
    <t>new check in system sucks.Should have left it alone the kiosk worked great</t>
  </si>
  <si>
    <t>PCI sucks. Wants kiosk.</t>
  </si>
  <si>
    <t>Laredo VA Clinic</t>
  </si>
  <si>
    <t>The old kiosk check-in system was great. The new text system is not a good system. I was called to go in early because the doctor was free but the text check-in system didnt allow me to check in earlier than 30 min. When I tried again within the 30 min window, I was sent a msg that I couldnt check in because my personal insurance info wasnt updated. Ended up having to stand in line to check in ðŸ‘Ž</t>
  </si>
  <si>
    <t>Misses kiosk check-in. PCI resulted in too early message, then insurance check, which was frustrating.</t>
  </si>
  <si>
    <t>Golden VA Clinic</t>
  </si>
  <si>
    <t>Recommendation</t>
  </si>
  <si>
    <t>There was an issue being repeatedly mis-gendered at a reception/check-in desk.  It may alleviate the stress for the receptionist and veteran patient if the reception/check-in desk could ask what the veteran's pronouns are, or what the veteran's gender identity is, as part of the normal process check-in process for all veterans.</t>
  </si>
  <si>
    <t>Mis-gendered and wants  pronouns reviewed</t>
  </si>
  <si>
    <t>Oklahoma City VA Medical Center</t>
  </si>
  <si>
    <t>47</t>
  </si>
  <si>
    <t>If the nurses are running late they should notify the Patients at check in not 10 minutes after the appointment time. By the way I arrived 15 minutes prior to my appointment and was not seen until 40 minutes after my appointment time.</t>
  </si>
  <si>
    <t>Wait time upon arrival to site -too long</t>
  </si>
  <si>
    <t>23</t>
  </si>
  <si>
    <t>Lincoln VA Clinic</t>
  </si>
  <si>
    <t>62</t>
  </si>
  <si>
    <t>Fix the check in process.</t>
  </si>
  <si>
    <t>General ask to fix check-in.</t>
  </si>
  <si>
    <t>New Braunfels VA Clinic</t>
  </si>
  <si>
    <t>53</t>
  </si>
  <si>
    <t>If we have an appt for labs and we check in prior to the appt then it should mot take more than 30 mins to get seen for labs. 
Other than the wait, the experience was good.</t>
  </si>
  <si>
    <t>Wait time from arrival to seeing the clinican is too long.</t>
  </si>
  <si>
    <t>73</t>
  </si>
  <si>
    <t>Was given specific time to arrive,  where to check in , where to go after check in. But wasn't allowed to check in, sent to Lab which wasn't open or ready for my Xray due to early arrival time. Wasnt preped for Xray.   Very confusing,  back and forth, left sitting for long periods. Surgery went perfectly fine.</t>
  </si>
  <si>
    <t>Arrival instructions for surgery didn't match what happened upon arrival. Lab wasn't open and let waiting for long periods</t>
  </si>
  <si>
    <t>El Paso Eastside VA Clinic</t>
  </si>
  <si>
    <t>Since the kiosks r not being used, travel is a hassle, must fill out forms and waste gas to turn in at main VA, not get compensated for the additional distance, need to create electronic methods to submit travel information</t>
  </si>
  <si>
    <t>Travel is a hassle, since kiosk aren't used. Requests electronic travel pay feature.</t>
  </si>
  <si>
    <t>Grand Junction VA Medical Center</t>
  </si>
  <si>
    <t>59</t>
  </si>
  <si>
    <t>Would recommend when one checks in with the auto checkin machines that they add where the veteran needs to go on the screen.  Other than that, the people, response time and care is outstanding.</t>
  </si>
  <si>
    <t>Wants wayfinding directions on auto checkin machines.</t>
  </si>
  <si>
    <t>Check in was problematic. Technical issue.</t>
  </si>
  <si>
    <t>Check-in (no method specified) was problematic due to technical issue</t>
  </si>
  <si>
    <t>South Oklahoma City VA Clinic</t>
  </si>
  <si>
    <t>50</t>
  </si>
  <si>
    <t>The new signing system, is not available for lab or radiology. Placing a sign by the scan code would be extremely helpful. I waited 30 minutes after check-in because the front desk clerk failed to tell me that lab in radiology could not check in using the new method. I explain to her that a fine would surely help the rest of us there were five of us that were waiting for lab thinking weâ€™d checked</t>
  </si>
  <si>
    <t>Not understanding what appointment types are availble in PCI</t>
  </si>
  <si>
    <t>77</t>
  </si>
  <si>
    <t>Check in method with iPhone completely unsatisfactory, when I checked in with my iPhone 13 it said on my screen I was checked in. I sat two hours finally checking with the girl at the front to discover the system malfunctioned and I was reflected as a no-show. She was able to rectify the situation but you need a method on the wall, a screen indicating your name.</t>
  </si>
  <si>
    <t>Used PCI and thought they were checked in, but they weren't</t>
  </si>
  <si>
    <t>Fort Meade VA Clinic</t>
  </si>
  <si>
    <t>41</t>
  </si>
  <si>
    <t>Get WiFi in the lobby of ft. Meade. There is no cell reception and you canâ€™t check in using your phone.</t>
  </si>
  <si>
    <t>Connection is poor, which impacts PCI.</t>
  </si>
  <si>
    <t>Lawrence County VA Clinic</t>
  </si>
  <si>
    <t>Get rid of the smart phone check in. Without wifi available and not everyone having a phone it is a real pain in the butt.</t>
  </si>
  <si>
    <t>No wifi makes it "a real pain the butt"</t>
  </si>
  <si>
    <t>South Charlotte VA Clinic</t>
  </si>
  <si>
    <t>60</t>
  </si>
  <si>
    <t>The new appointment check in system using the barcode does not work.
I tried it twice this last trip and and never connected thru mt phone / check me in...</t>
  </si>
  <si>
    <t>Tired PCI twice and never connected to complete check-in</t>
  </si>
  <si>
    <t>Corpus Christi VA Clinic</t>
  </si>
  <si>
    <t>fix kiosk</t>
  </si>
  <si>
    <t>Fix kiosk</t>
  </si>
  <si>
    <t>Quad Cities VA Clinic</t>
  </si>
  <si>
    <t>44</t>
  </si>
  <si>
    <t>Would love to have the Kiosks back at the facility to check in for appointments and to file a travel voucher. That would of expedited my time there.</t>
  </si>
  <si>
    <t>Wants kiosk to expedited their time at the facility</t>
  </si>
  <si>
    <t>Carl T. Hayden Veterans' Administration Medical Center</t>
  </si>
  <si>
    <t>What idiot removed the check in kiosks? they were there they worked most of the time and removing them was a waist of tax payer's money.</t>
  </si>
  <si>
    <t>Wants kiosk. Sees their removal as a waste of money.</t>
  </si>
  <si>
    <t>Corporal Michael J. Crescenz Department of Veterans Affairs Medical Center</t>
  </si>
  <si>
    <t>When I went to my appointment there was the big sign that instructed me to send a text so that I can be checked in. I got a reply back from the system saying that it was unable to check me in. I have not been able to check in on the old-style kiosk before either so maybe there is a problem with my data or card.</t>
  </si>
  <si>
    <t>Tried PCI, but got"Unable to check in" message. Kiosk didn't work for them either</t>
  </si>
  <si>
    <t>Yukon VA Clinic</t>
  </si>
  <si>
    <t>The kiosk check in never works for me. It says they need more information. Why did they switch to a QR code? Itâ€™s not user friendly and I donâ€™t bring my phone to appointments.</t>
  </si>
  <si>
    <t>Kiosk never worked. It asked for more info. PCI isn't user friendly and doesn't bring phone to appointment.</t>
  </si>
  <si>
    <t>21</t>
  </si>
  <si>
    <t>Martinez VA Medical Center</t>
  </si>
  <si>
    <t>Need to get your kiosk boxes working in the dictionary areas so you have proof that you went there so you could submit it with your travel claim which is another issue</t>
  </si>
  <si>
    <t>Travel Pay - Bad,Kiosk - Bad</t>
  </si>
  <si>
    <t>Feature request: Add kiosk in dictionary areas as proof of visit to file travel claim</t>
  </si>
  <si>
    <t>16</t>
  </si>
  <si>
    <t>Hattiesburg VA Clinic</t>
  </si>
  <si>
    <t>All went very well. Easy check in, short wait time, friendly staff.</t>
  </si>
  <si>
    <t>Staff</t>
  </si>
  <si>
    <t>Staff interactions - friendly. Check-in (no method specified) was easy with short wait.</t>
  </si>
  <si>
    <t>Martinsburg VA Medical Center</t>
  </si>
  <si>
    <t>78</t>
  </si>
  <si>
    <t>The lab did it's usual excellent work. I do not know how you track volume of patients "Thru the door" but you may find it to be worthwhile to study the volume by day and by hour to adjust staffing with an emphasis on the check in process. I did notice a number of people grumbling and complaining to the staff at the check in window and precise staffing may mitigate some of the frustration I noticed</t>
  </si>
  <si>
    <t>Appropriate MSA staffing numbers to meet Veteran volume</t>
  </si>
  <si>
    <t>10</t>
  </si>
  <si>
    <t>St. Joseph County VA Clinic</t>
  </si>
  <si>
    <t>Check-in was a simple and fast procedure and I was seen at appointment time.  [NAME] explained everything in detail and took care of my needs expeditiously.</t>
  </si>
  <si>
    <t>Check-in (no method specified) was simple and fast.</t>
  </si>
  <si>
    <t>Milo C. Huempfner Department of Veterans Affairs Outpatient Clinic</t>
  </si>
  <si>
    <t>staff is very welcoming, site is always clean, never a problem with check in.</t>
  </si>
  <si>
    <t>Staff attitude - welcoming. No problem checking in</t>
  </si>
  <si>
    <t>Kansas City Kansas VA Clinic</t>
  </si>
  <si>
    <t>I was pleasantly surprised when I arrived at the facility.  The location was easy to find and the building was neat and clean.  Although it was a bit of a wait, the waiting area was comfortable.  The check in staff were friendly and polite.  The nurse on staff was superb.  After my bad experience at another VA facility I was not expecting much. The doctor listened and treated me with respect.</t>
  </si>
  <si>
    <t>Staff attitude - friendly and polite. Physical space - neat and clean</t>
  </si>
  <si>
    <t>Goldsboro VA Clinic</t>
  </si>
  <si>
    <t>45</t>
  </si>
  <si>
    <t>THANK YOU to Dr. [NAME] and [NAME] at the front desk. Dr. [NAME] is always kind, gracious, and hears me out. Although everyone at check in is good, [NAME] at the front desk always makes me feel welcomed and provides great customer service. Please acknowledge their value to the VA. 
Please call me with any questions. 910-336-6634</t>
  </si>
  <si>
    <t>Staff attitude - welcoming and great customer service</t>
  </si>
  <si>
    <t>1</t>
  </si>
  <si>
    <t>Togus VA Medical Center</t>
  </si>
  <si>
    <t>Both techs I interacted with (blood draw and CT) were professional and described each event prior to starting it. Made me very comfortable. 
Check in for CT was efficient. 
Excellent service!</t>
  </si>
  <si>
    <t>Staff attitude - excellent service Check-in (no method specified) was efficient</t>
  </si>
  <si>
    <t>Fayetteville VA Medical Center</t>
  </si>
  <si>
    <t>the lab is always friendly and professional and on time. The 17 nurses in the out patient area were magnificent! They were: [NAME] and [NAME] at check in, followed by [NAME] who walked me to [NAME], who treated me like her son [NAME], and many times in the next 6 hours I had check ins and many questions as to my comfort and care starting with: Student nurse [NAME], [NAME], [NAME], [NAME], [NAME], [NAME]</t>
  </si>
  <si>
    <t>Staff attitude - friendly and professional</t>
  </si>
  <si>
    <t>North Las Vegas VA Medical Center</t>
  </si>
  <si>
    <t>I should preference this by saying I hate doctor visits, and i hate hospital visits even more.  However, I have never experienced a more professional group of caretakers anywhere else -- from check-in, to nurse prep, to the doctors themselves, to the out-brief, to the follow-up phone call -- all very comprehensive and professional care.  That said, I hope I'll never have to visit again.</t>
  </si>
  <si>
    <t>Staff attitude - professional</t>
  </si>
  <si>
    <t>Port Charlotte VA Clinic</t>
  </si>
  <si>
    <t>Dr. [NAME] is an excellent phy. And [NAME] ar check in you could not get better</t>
  </si>
  <si>
    <t>Staff attitude/interactions -excellent</t>
  </si>
  <si>
    <t>Shakopee VA Clinic</t>
  </si>
  <si>
    <t>when you enter all the woman are on the phone behind their screens an
d you never know when they are done.  I have waited for as much as 10 min. to check in.</t>
  </si>
  <si>
    <t>Staff attitude - too busy on the phone to check-in Veteran</t>
  </si>
  <si>
    <t>Memphis VA Medical Center</t>
  </si>
  <si>
    <t>40</t>
  </si>
  <si>
    <t>The Doctor and nurses in the ED are amazing professional and listen and checks on you. It gets crazy and they stay professional some registration nurses just sit there but overall I really appreciate the good they do. Also the GI nurses n doctors and check in ppl are amazing even after Dr. [NAME] left I still felt cared</t>
  </si>
  <si>
    <t>Staff-attitude - Professional and amazing</t>
  </si>
  <si>
    <t>Lebanon VA Medical Center</t>
  </si>
  <si>
    <t>I totally respect the health care system at the Lebanon VA center. The appointment reminders, the check in for my clinics, the texts when I arrive and the pleasant greeting and direction to my clinic when I arrive. The staff, doctors, nurses, clinic  technicians office personnel all receive my admiration for all they do.  You rock. Thank you for every thing you do for the Veterans.</t>
  </si>
  <si>
    <t>Staff interaction - repect and admiration</t>
  </si>
  <si>
    <t>Santa Fe VA Clinic</t>
  </si>
  <si>
    <t>80</t>
  </si>
  <si>
    <t>My Primary Care Doctor and staff provide a premium service to me. Med appointments are informative, comprehensive, helpful, and supportive. Supporting staff for Lab Draws, INR tests, and any follow-up tests and procedures were performed professionally. And, of course, check-in was as well, and with a smile.</t>
  </si>
  <si>
    <t>Staff attitude - provides premium service, comprehensive, helpful, supportive</t>
  </si>
  <si>
    <t>54</t>
  </si>
  <si>
    <t>This was my first visit to my new medical team. I appreciated both the check in team (both at with my primary doctor area and Radiology department), the nurse, blood draw individual, and doctors professionalism, friendliness, knowledge, and patience rendered during my visit.</t>
  </si>
  <si>
    <t>Staff attitude - professional, friendly, knowledge, and patient</t>
  </si>
  <si>
    <t>Captain James A. Lovell Federal Health Care Center</t>
  </si>
  <si>
    <t>49</t>
  </si>
  <si>
    <t>Every time I go to the VA, everyone is polite, friendly,and professional; the people at the front asking if we have COVID symptoms, front desk people when I check into my appointment, the doctors I see and the pharmacy staff. Specifically the Family Care Staff, Bill is awesome! The PT staff is so kind and understand. 
One exception the front staff at mental health check in,they seem short and curt</t>
  </si>
  <si>
    <t>Staff atttude - Mostly polite, friendly, and professional. One dept was short and curt</t>
  </si>
  <si>
    <t>Wilmington VA Medical Center</t>
  </si>
  <si>
    <t>From the information desk, technicians, check in desk everyone was very competent, professional.  Better then the public sector.  thank you for that GREAT service.  
[NAME] : &gt; )</t>
  </si>
  <si>
    <t>Staff-attitude - compnent professional</t>
  </si>
  <si>
    <t>Raleigh VA Clinic</t>
  </si>
  <si>
    <t>When I entered the office, I was greeted by the receptionist. She assisted me with my check in and travel reimbursement because the online processing wasn't functioning properly. My attending nurse retrieved me prior to my appointment time so all of the preliminary details were completed. My nurse was courteous, professional and easy to talk with. My doctor was excellent &amp; knew my case completely</t>
  </si>
  <si>
    <t>Staff attitude - helpful, courteous, professional, easy to talk to</t>
  </si>
  <si>
    <t>Defiance VA Clinic</t>
  </si>
  <si>
    <t>Everyone from check in to nurse was very kind and treated me very well</t>
  </si>
  <si>
    <t>Staff attitude - kind and treated them well</t>
  </si>
  <si>
    <t>Aleda E. Lutz Department of Veterans Affairs Medical Center</t>
  </si>
  <si>
    <t>83</t>
  </si>
  <si>
    <t>Services at Aleda Lutz has greatly improved. The time it took me to check in at various locations until the time I saw a provider was outstanding. I'm sure you will keep up the great improvements made. The facility looks very very well kept and immaculate looking.</t>
  </si>
  <si>
    <t>Wait time from arrival to seeing the clinican was outstanding. Physical space is well kept and immaculate looking</t>
  </si>
  <si>
    <t>Lowell VA Clinic</t>
  </si>
  <si>
    <t>Check in very smooth and she was very polite   "to everyone"
Blood test.  Another great area and I have hard veins to get "she was great'  did it with two tries.  1st in right NO HIT then went straight to the left and got it perfect.  she knew her stuff
Nurse excellant the back up of the whole team.
and [NAME] my NP   she followed up this morning  we have a plane in place.  GREAT GREAT group.</t>
  </si>
  <si>
    <t>Staff attitude - Great, polite. Check-in (no method specified) very smooth</t>
  </si>
  <si>
    <t>Bloomington VA Clinic</t>
  </si>
  <si>
    <t>From the check in to the checkout we were taken care of.  Everything was explained well.  The Docs and Nurses were very good.  There was communication that was well understood.  Happy with all.</t>
  </si>
  <si>
    <t>Staff interaction - very good, communication was clear</t>
  </si>
  <si>
    <t>Olive Street VA Clinic</t>
  </si>
  <si>
    <t>Great checkin and Dr great.</t>
  </si>
  <si>
    <t>Check-in (no method specified) was great. Staff atttude - great</t>
  </si>
  <si>
    <t>Beaumont VA Clinic</t>
  </si>
  <si>
    <t>The entire staff at the Beaumont VA is amazing, helpful, and most importantly  knowledgeable. I have only been their twice but each time I did what was asked and has been taken care of in a timely manner. 
From the ladies at the front desk/checkin and out counter, the ladies at labs, and Dr. [NAME] herself and her entire team of specialists.
V/R
SFC (Retired) [NAME]
U.S. Army</t>
  </si>
  <si>
    <t>Staff attitude - amazing, helpful, and knowledgable</t>
  </si>
  <si>
    <t>West Los Angeles VA Medical Center</t>
  </si>
  <si>
    <t>I always have a pleasant experience whe I visit my local VA hospital. The entire experience from the Valet parkers, the guard at the door, the check in people, nurses and doctors all all pleasant and competent. My primary physician is [NAME]. She puts me at ease and explains everything she does. I am extremely pleased with the service and treatment that I receive from her !</t>
  </si>
  <si>
    <t>Staff attitude/interactions - pleasant, competent, extremely pleased with service</t>
  </si>
  <si>
    <t>Check in clerk was professional. Dr. [NAME] was informative and professional. Great appointment.</t>
  </si>
  <si>
    <t>Staff attitude - informative and professional</t>
  </si>
  <si>
    <t>Northwest Las Vegas VA Clinic</t>
  </si>
  <si>
    <t>I was actually quite pleased at the service I received. This was my first time at this clinic so I was a little confused on the layout of the check-in desks. The front desk personnel were extremely helpful and very nice to talk to. Told me what to do and where to go. I was very happy with the wait times and care I received.</t>
  </si>
  <si>
    <t>Staff attitude - help and nice to talk to. Was happy with wait time after arriving for an appointment</t>
  </si>
  <si>
    <t>Aberdeen VA Clinic</t>
  </si>
  <si>
    <t>94</t>
  </si>
  <si>
    <t>My Dr is [NAME], the Dr and her staff and the ladies at the front check in desk is always very friendly and treat you with a lot of care and respect. [NAME] of Redfield SD.
I am the care taker of [NAME], and Always when I take [NAME] into the VA Clinic in Aberdeen SD, the workers are always willing to help with anything we need. For that I am so grateful.</t>
  </si>
  <si>
    <t>Staff attitude - friendly, respectful, will to help</t>
  </si>
  <si>
    <t>Southeast Tucson VA Clinic</t>
  </si>
  <si>
    <t>Staff attitude - positive</t>
  </si>
  <si>
    <t>service was fast and everyone was respectful from the check in to the lab tech.</t>
  </si>
  <si>
    <t>Staff attitude - repectful</t>
  </si>
  <si>
    <t>Pike County VA Clinic</t>
  </si>
  <si>
    <t>Excellent care received by check in, nurse and health care provider.</t>
  </si>
  <si>
    <t>Staff interactions - excellent care</t>
  </si>
  <si>
    <t>Somerset VA Clinic</t>
  </si>
  <si>
    <t>Care giver was trainee, but did well. Trainer was nearby if needed she dealt well with me and trainee.  Young lady at check in courteous and helpful.</t>
  </si>
  <si>
    <t>Staff attitute - courteous and helpful</t>
  </si>
  <si>
    <t>William V. Chappell, Jr. Veterans' Outpatient Clinic</t>
  </si>
  <si>
    <t>It took more than 10 minutes to check in for my appointment. All the clerks were on the phone while I wait in line to check in. Then the clerk said the computer was running slow.</t>
  </si>
  <si>
    <t>Check-in with staff was slow due to computer problem.</t>
  </si>
  <si>
    <t>Every time I am seen at this location, everyone is so nice and respectful. From the moment I check in to the moment I check out. I have had nothing but great experiences.</t>
  </si>
  <si>
    <t>Staff attitude - nice and respectful. Has great experiences</t>
  </si>
  <si>
    <t>Indiana County VA Clinic</t>
  </si>
  <si>
    <t>Greeted and processed in a timely and cheerful manner by check-in staff.  About 5 minutes later, was called back for bloodwork.  The technician (nurse?) drawing blood was professional (including a zero pain "stick"!), a great sense of humor, and friendly.  Culdn't ask for better service.  Thanks, ladies - one and all!</t>
  </si>
  <si>
    <t>Staff attitude - friednly, can't sk fo better service. Was seen quickly.</t>
  </si>
  <si>
    <t>Sebring VA Clinic</t>
  </si>
  <si>
    <t>I was greeted pleasantly when I arrived by the person who screened for Covid symptoms. Check-in was fast and went smoothly. My wait time was short and the woman who drew my blood was very nice. Also, I didn't even feel a stick when she drew my blood; she is very good at her job.</t>
  </si>
  <si>
    <t>Staff attitude - pleasant. Short wait time upon arrival.</t>
  </si>
  <si>
    <t>Lieutenant Colonel Charles S. Kettles VA Medical Center</t>
  </si>
  <si>
    <t>Pharmacy representative was very thorough and detailed about explaining my prescription. Every person from check in to check out was respectful and pleasant. Thank you</t>
  </si>
  <si>
    <t>Staff attitude - respectful and pleasant</t>
  </si>
  <si>
    <t>Fort Detrick VA Clinic</t>
  </si>
  <si>
    <t>I was on time and the Ft Detrick team was on time as scheduled and checking in at the front desk before as opposed to the kiosk check in also saved time and was a more personable patient experience. Well done Ft Detrick team!
Thank you &amp; Great day!
Will Sheffield</t>
  </si>
  <si>
    <t>Staff,Kiosk - Bad</t>
  </si>
  <si>
    <t>Preferred personable check-in experience with staff over kiosk</t>
  </si>
  <si>
    <t>Kearny Mesa VA Clinic</t>
  </si>
  <si>
    <t>Nicely upgraded modern facility. Staff were very knowledgeable and the patient kiosk was easy to navigate.</t>
  </si>
  <si>
    <t>kosk eay to navigate. Staff attitude - knowledgable</t>
  </si>
  <si>
    <t>81</t>
  </si>
  <si>
    <t>checkin clerk was napping said you are check in waited 20 min went back ? wasnt check in    scramble  clerk could hardly keep eyes open .</t>
  </si>
  <si>
    <t>Staff attitude - negative</t>
  </si>
  <si>
    <t>The check in person was a little unfriendly when I checked in but when I was leaving and had to schedule another appointment, they were very friendly and helpful. Maybe they just had a bad start. The doctor was very wonderful and extremely helpful. Overall, it was a good visti.</t>
  </si>
  <si>
    <t>Staff attitude - negative with some and friendly/helpful with others</t>
  </si>
  <si>
    <t>Austin VA Clinic</t>
  </si>
  <si>
    <t>The check in and check out people are consistently rude and aggressive regardless of the fact that I am overly nice and appreciative.
The same goes for the people that answer the phone. They are rude, aggressive and dismissive.</t>
  </si>
  <si>
    <t>Staff attitude - rude and aggressive</t>
  </si>
  <si>
    <t>Florence VA Clinic</t>
  </si>
  <si>
    <t>I was not pleased with the receptionist at check in. Borderline RUDE!</t>
  </si>
  <si>
    <t>Staff attitude - rude</t>
  </si>
  <si>
    <t>Perry Point VA Medical Center</t>
  </si>
  <si>
    <t>I was not greeted when I entered building 80H, despite 5 people in the check in office I had to wait for someone to finish their story. I was given a mask and when I removed it (because we couldn't understand each other) I was told I wouldn't be helped unless I put it back on even though 2 individuals had their masks pulled down. While in the office with my provider I could clearly hear laughing a</t>
  </si>
  <si>
    <t>Wm. Jennings Bryan Dorn Department of Veterans Affairs Medical Center</t>
  </si>
  <si>
    <t>A lot of times the clerks at check in desks are very rude,which makes one feel very discouraged. They treat you like you are just a number not a veteran. I have been going to va for years and feel like the clerks need training.</t>
  </si>
  <si>
    <t>Youâ€™ve changed the check-in procedure. Instead of people at the table, now thereâ€™s a guy interrogating us &amp; a uniformed guard. I needed to talk to Melnarikâ€™s clerks, but I didnâ€™t have an Appt, so he detained me for almost an hour! Iâ€™m fully vaxxed, so whatâ€™s the point? Eventually I convinced him I also needed to update my meds at Pharma, &amp; finally spoke to a clerk just before closing. Infuriating!</t>
  </si>
  <si>
    <t>Staff interaction - interrogated and detained by staff and uniformed guard upon entrance, so it took almost an hour to be able to enter and complete their task.</t>
  </si>
  <si>
    <t>William C. Tallent Department of Veterans Affairs Outpatient Clinic</t>
  </si>
  <si>
    <t>I checked in for a urine analysis with the front desk.  Waited an hour and one half before speaking with lab person. She told me I did not check in!
 I told her I did check in.  She said she did not see my check in on her computer.  I then went back to the front desk.  She said she did not see 
me checked in either.  
She checked me in and told me to return to the lab.  I did. It was now 2 hours!</t>
  </si>
  <si>
    <t>Checked in with staff, but the check-in never showed up in the computer, so waited 2 hours</t>
  </si>
  <si>
    <t>Westside (Chicago)</t>
  </si>
  <si>
    <t>In person check in should be treated with respect. Clerks with bad demeanor should stay home.</t>
  </si>
  <si>
    <t>Staff attitude - not treated with respect</t>
  </si>
  <si>
    <t>C.W. Bill Young Department of Veterans Affairs Medical Center</t>
  </si>
  <si>
    <t>55</t>
  </si>
  <si>
    <t>The provider was great.   In both departments the people are check in couldn't care less about the dway they treated the patients.  Rude, discourteous and didn't care how long they kept people waiting</t>
  </si>
  <si>
    <t>Staff attitude - rude, discourteous, and kept people waiting at check-in</t>
  </si>
  <si>
    <t>Nashville VA Medical Center</t>
  </si>
  <si>
    <t>In audiology, the front desk clerk was not helpful. I note he was busy, but he did not acknowledge myself or any other veteran as they stood to check in.</t>
  </si>
  <si>
    <t>Staff attitude - not helpful and didn't acknowledge presence at check-in</t>
  </si>
  <si>
    <t>Checking in for appointments is a joke. We have to use a smart phone to check in and the system can never find my appointment so I have to go to the window and the two women in the office are busy taking calls and handling other things and at times they get a little upset having to check me in. I don't think they're upset with me but the check in system that doesn't work.</t>
  </si>
  <si>
    <t>eCheck-in Bad,Staff</t>
  </si>
  <si>
    <t>PCI results in messages to see staff, so frustrated. Staff attitude - busy, so upset about checking in</t>
  </si>
  <si>
    <t>Williamsport VA Clinic</t>
  </si>
  <si>
    <t>The staff at the clinic were very nice and truly professional however due to the changes in certain services it was harder to check in and appointments had been cancelled while I was still receiving notification that they were still scheduled as original. This was difficult for the employees and puts strain on the veteran</t>
  </si>
  <si>
    <t>Staff attitude - nice and professional. Check-in is harder. Receives notifications about canceled appointment, so didn't know they were canceled.</t>
  </si>
  <si>
    <t>John D. Dingell Department of Veterans Affairs Medical Center</t>
  </si>
  <si>
    <t>I feel the people at the check-in could use some training on communication there attitudes are bad not professional or respectful needs to be better</t>
  </si>
  <si>
    <t>McClellan VA Clinic</t>
  </si>
  <si>
    <t>Optometry dept clerks where rude snappy check in girl had an attitude  ! Lady who ordered my glasses was rude !  Doctor was completely professional but zero personality seemed rushed ? The experience was uncomfortable ...</t>
  </si>
  <si>
    <t>North Charleston VA Clinic</t>
  </si>
  <si>
    <t>Easy to check in for Lab Appt and was seen in a timely manner. No Issues and great professional greeting and treatment.</t>
  </si>
  <si>
    <t>Staff attitude - professional. Check-in (no method specified) was easy</t>
  </si>
  <si>
    <t>Wisconsin Rapids VA Clinic</t>
  </si>
  <si>
    <t>The staff was friendly, starting with the greeter and the check in employees. The mood was positive, everyone was busy getting the veterans their care needs covered. Keep up the good work.</t>
  </si>
  <si>
    <t>Staff attitude - friendly and positive</t>
  </si>
  <si>
    <t>Saginaw North VA Clinic</t>
  </si>
  <si>
    <t>A better Way to Check In. I almost passed out waiting on staff to check me in. Their system slowed them down way too much.  Very frustrating. They should have had 1 person checking people in and 1 person answering the phones. I do not know what the 3rd person was doing but not a good use of time or people.</t>
  </si>
  <si>
    <t>Staff check-in process too slow and frustrating</t>
  </si>
  <si>
    <t>Give the doctors more time if needed with their patients. Get the check-in tech and the VR tech to use your phone to speak to your doctor fixed. Thanks.</t>
  </si>
  <si>
    <t>Staff interactions - give doctors more time with patients. Fix cehck-in and virtual appt tech</t>
  </si>
  <si>
    <t>Sheridan VA Medical Center</t>
  </si>
  <si>
    <t>84</t>
  </si>
  <si>
    <t>The check-in was very cordial and quick, very minimal wait to get started, the testing was very thorough and done with the utmost professionalism.</t>
  </si>
  <si>
    <t>Staff check-in was quick. Staff attitude - professional.</t>
  </si>
  <si>
    <t>Toledo VA Clinic</t>
  </si>
  <si>
    <t>The check in process is very efficient!! Everyone is very friendly!! Dr [NAME] is absolutely amazing!! She is patient and kind. She explains things very well so it is easy to understand. She nevwr makes me feel rushed.</t>
  </si>
  <si>
    <t>Staff attitude - friendly, patient, kind, easy to understand, don't feel rushed. Check-in (no method specified) - very efficient</t>
  </si>
  <si>
    <t>2022-09-25</t>
  </si>
  <si>
    <t>Wyoming VA Clinic</t>
  </si>
  <si>
    <t>The Dental staff front desk check in &amp;out always helpful to find best follow-up option. Hygienists helpful, efficient, and ensure service with comfort. Dentists: [NAME] and [NAME] excellent care and explanations.</t>
  </si>
  <si>
    <t>Staff Attitude - Good</t>
  </si>
  <si>
    <t>Spark M. Matsunaga Department of Veterans Affairs Medical Center</t>
  </si>
  <si>
    <t>The services I receive from check-in to check-out has been outstanding. Friendly atmosphere...</t>
  </si>
  <si>
    <t>I stayed away from VA for a long time. Reason. Nightmare stories of past...Today simply amazed how well VA has it together. Labs I was checked in and out before scheduled time, maybe 15 minutes check in to departure. Drs appointment smooth in early. Dr and medical person pleasant, helpful. Other medical services should follow the VA</t>
  </si>
  <si>
    <t>Love the new location and buildings for New Braunfels. Very professional. Everyone there from check in personnel, to LVN pre screener, to my primary NP was professional, personable, and helpful. Great visit. It takes a special crew to have the patience to professionally deal with the older cohort of clients. Thank you for what you do for our Vets.</t>
  </si>
  <si>
    <t>Fort Worth VA Clinic</t>
  </si>
  <si>
    <t>Optometry appointment - prompt, efficient and courteous service from check-in to eye exam to eyeglasses selection.</t>
  </si>
  <si>
    <t>Since they changed the check in procedure , its been terrible in getting checked in......</t>
  </si>
  <si>
    <t>Sumter VA Clinic</t>
  </si>
  <si>
    <t>The lab always seems distracted or occupied doing things other than lab work. The staff are less than cordial. I came it at my Drs request for a urine lab at 9 am checked in, sat there for an hour and a half while a lab staff called 4 ppl at a time several that checked in after me. I asked the guy in the check in and he said yeah I checked you in.</t>
  </si>
  <si>
    <t>Staff Attitude - Bad</t>
  </si>
  <si>
    <t>Northeast Cobb County VA Clinic</t>
  </si>
  <si>
    <t>There was no one available at the checkin station but the back personnel worked as a team to get everyone checked in.</t>
  </si>
  <si>
    <t>Omaha VA Medical Center</t>
  </si>
  <si>
    <t>Blood lab check-in machine is in the wrong location and hard for people to check-in. As I was waiting 5 people know to use it, inserted card wrong, couldn't find paper for their number and/or didn't know how to get it started when they didn't have the VA card.
Also, finding a person for help is VERY HARD to find.
Leaving to go home at the end of the wall way, no sign tells one which way is out.</t>
  </si>
  <si>
    <t>Kiosk - Bad, Staff</t>
  </si>
  <si>
    <t>very professional people at the checkin desk and the Drs are very knowledgeable of help issues</t>
  </si>
  <si>
    <t>State College VA Clinic</t>
  </si>
  <si>
    <t>I visited the State College VA Lab for a blood draw. The entire visit was handled professionally and in a friendly fashion from check in, blood draw, to check out.</t>
  </si>
  <si>
    <t>Clayton-East Raleigh VA Clinic</t>
  </si>
  <si>
    <t>68</t>
  </si>
  <si>
    <t>While I really like Ms. [name] and feel she is genuinely concerned about my needs with annual check-ins and appointments for things like mammograms and specialty doctors, it is extremely difficult to get seen for anything else that occurs in-between semi-annual visits. We must go to an urgent care, and they rarely offer more than a couple of minutes -- I'm assuming because they only receive $50+.</t>
  </si>
  <si>
    <t>General appointment feedback, Staff Attitude - Good</t>
  </si>
  <si>
    <t>Travel pay is really a hassle online.  There are travel offices at both VA centers in Fayetteville NC.  The people that work in both offices are extremely rude and of NO assistance. Please return to the ability to fill out a paper travel voucher or I tiate an automated system that we can fill out our applications when we check in for each appointment.</t>
  </si>
  <si>
    <t>Staff Attitude - Bad, Travel Pay - Bad</t>
  </si>
  <si>
    <t>2022-09-24</t>
  </si>
  <si>
    <t>Colmery-O'Neil Veterans' Administration Medical Center</t>
  </si>
  <si>
    <t>Bring back the kiosks to file for travel reimbursements. I don't trust online submission. I haven't received any travel reimbursements for the past 6 months.</t>
  </si>
  <si>
    <t>Travel Pay - Bad, Kiosk - Bad</t>
  </si>
  <si>
    <t>Bob Michel Department of Veterans Affairs Outpatient Clinic</t>
  </si>
  <si>
    <t>Appears that more help is needed for Veterans when they arrive to sign in for appointments. To many veterans standing in line to check in and not enough people helping to expedite. New Veterans to Bob Michael need a walk through of the facility and a briefing of what to do during their first visits.</t>
  </si>
  <si>
    <t>Jamaica Plain VA Medical Center</t>
  </si>
  <si>
    <t>I felt that I was the focus of this appointment. From check in to release I felt they were in charge and had my back. The procedure went really well and felt entire staff was there for me.</t>
  </si>
  <si>
    <t>When l check in they took me to the office soon I did not to wait that long they did a great job</t>
  </si>
  <si>
    <t>Dr. [NAME] was thorough and friendly, as was the check-in nurse (sorry, don't recall her name). I felt welcomed and respected.
Concern - I wish the VA would discontinue the mask requirement. I don't think I'm alone in saying we old vets with hearing issue have a hard time understanding the staff, medical and administrative. Seems to be enough evidence to prove the paper masks make no difference.</t>
  </si>
  <si>
    <t>please bring back the travel pay kiosk. i d not have a smart phone to request travel pay as it is now set up. there were 4 people doing the paper request/drop in the box procedure when i was there. with the price of gas and inflation it is important i receive travel pay.</t>
  </si>
  <si>
    <t>West Roxbury VA Medical Center</t>
  </si>
  <si>
    <t>While visit and care was great, trying to get my travel benefits is very difficult. Instead of taking away the kiosk method, you should punish those that abuse it. Not make it more difficult for the rest of us honest folks.
With this difficulty, I'm sure the VA is saving a lot of money.</t>
  </si>
  <si>
    <t>Everything went well and efficient.   I am very pleased with VA Healthcare.  I do have concerns about mileage reimbursement.  I've tried to check in person but, no one has been there when I was there.</t>
  </si>
  <si>
    <t>When getting blood work it would be good to know ahead of time that they need to take  your VA card when you check in. I waited a half hrs and then had to ask when I would be called. Only then I was told they needed my VA card to call me back. After that I was finally back.</t>
  </si>
  <si>
    <t>Syracuse VA Medical Center</t>
  </si>
  <si>
    <t>I shouldn't have to wait 40 minutes from my scheduled appointment before I see the doctor.  I followed the instructions posted on the check in window and notified them when 20 minutes had passed. It still took an additional 20 minutes before I was called in.</t>
  </si>
  <si>
    <t>Check in was attempted and failed using texts messaging. The first failure was because I attempted  sign in too early.  The second error was because the system became slow due to everyone signing in at once. I finally just signed in at the service window. Not everyone has a smart phone either with them or own one.</t>
  </si>
  <si>
    <t>1. At Entrance several people were told to go ahead of me, I was in an electric wheelchair and person told others I am slow moving.  I was not pleased with this.  2. Upon checking into the Eye Clinic I was told to use my cell phone to check in.  I do not have nor carry a cell phone with me and told the check-in person. The person told me to wait 1/2 half hour then reluntantly checked me in.</t>
  </si>
  <si>
    <t>Lakeland VA Clinic</t>
  </si>
  <si>
    <t>Dr [NAME] has been seeing me for over 18 years. She and her staff have always made me seem like her only patient. I honor all the workers at the facility including check in and check out personnel.</t>
  </si>
  <si>
    <t>20</t>
  </si>
  <si>
    <t>American Lake VA Medical Center</t>
  </si>
  <si>
    <t>We went to check in for an EKG that had been ordered. The order had expired.  The receptionist and the EKG tech worked together to get a new order, and the service was done! While waiting ,I watched the receptionist as she checked in and dealt with a problem here and there with an upbeat attitude and a willingness to help. I wish I could remember her name. She deserves recognition.</t>
  </si>
  <si>
    <t>Harlingen VA Clinic</t>
  </si>
  <si>
    <t>Have check in on the first floor as veterans enter the bld.</t>
  </si>
  <si>
    <t>St. Louis VA Medical Center-Jefferson Barracks</t>
  </si>
  <si>
    <t>The check-in system needs work. When the system first came out about checking in on our phones it caught us all off guard and we had to be shown how to use it. Then somehow it changed and we found out that when you signed in on your phone that it was just a waste of time because you had to sign in 24 hours before your appointment. Now we found out that that has changed again and it doesn't matter</t>
  </si>
  <si>
    <t>Cookeville VA Clinic</t>
  </si>
  <si>
    <t>For my LAB appt a week earlier, check-in I was asked for the last 4 of my Social. From the last conversation with Ms [NAME],privacy office, they shouldn't be asking that unless other means don't work. In the Lab where the Social is completely shown on lab labels, when placing my urine sample in the box, there was another one already in there. Possible ID theft.</t>
  </si>
  <si>
    <t>General appointment feedback</t>
  </si>
  <si>
    <t>Go back to card check-ins</t>
  </si>
  <si>
    <t>Everything went well.  I did have one issue.  My appointment place was moved n got sent to wrong area to check in.  But, after a 30 minute wait I asked about it and the nurses quickly corrected it n I got to my appointment n got seen.  No harm no foul.</t>
  </si>
  <si>
    <t>North West San Antonio VA Clinic</t>
  </si>
  <si>
    <t>It is a beautiful new facility, still finding its way, I think.  I had called before coming for an ortho appointment to see if COVID boosters were being given there, and was told yes.   But on arrival I found out this was not true.   Also, the reception/check in desk at Specialty was not staffed when I arrived, only a sign saying OUT TO LUNCH.  I went next door to Dental check in, which worked.</t>
  </si>
  <si>
    <t>Sarasota VA Clinic</t>
  </si>
  <si>
    <t>The check-in keeps changing. From kiosk, which was easy, to the window, to the other window and wait in line. The kiosk was easy and fast.</t>
  </si>
  <si>
    <t>I found out that the kiosk was somewhat difficult to use and hard to understand.  It had too many questions, which to me was unnecessary.</t>
  </si>
  <si>
    <t>James J. Howard Veterans' Outpatient Clinic</t>
  </si>
  <si>
    <t>The kiosk machines are not working using these machines are better then standing in line. I get travel pay but could not use the machines to get it.They gave me a link to access a form on my computer which was a nightmare to try to navigate I tried several times and it was not processed. What do I do known?.</t>
  </si>
  <si>
    <t>Kiosk - Bad, Travel Pay - Bad</t>
  </si>
  <si>
    <t>52</t>
  </si>
  <si>
    <t>1) labs in the bottom floor- staff needs to be increased. I did not see anyone not doing their job. But standing room only in waiting room. Wait times so long people leaving. Including myself to make other appts.
2) put the kiosks back in to stream line travel pay. I personally have made several trips to appts &amp; have not been able to file for travel pay. Adds up when it cost 80$-95$
for g</t>
  </si>
  <si>
    <t>Staff Attitude - Good, Travel Pay - Bad, wait time (arrival to check-out)</t>
  </si>
  <si>
    <t>Cincinnati VA Medical Center</t>
  </si>
  <si>
    <t>Transportation Department is not organized. Takes from 2 to 3 hours to get a ride back to home.  When I come in I check in at Transportation office and tell them the time appointment takes.  It doesn't make any difference.</t>
  </si>
  <si>
    <t>Colonel Demas T. Craw VA Clinic</t>
  </si>
  <si>
    <t>Why did they get rid of the kiosk system for check in and travel pay! The web application is very hard to use!</t>
  </si>
  <si>
    <t>Kiosk - Bad, eCheck-in Bad</t>
  </si>
  <si>
    <t>Allentown VA Clinic</t>
  </si>
  <si>
    <t>It took a lot longer to check in. It was much easier with the kiosk machines check in. These kiosks' always seem to be down or not working.</t>
  </si>
  <si>
    <t>Virginia Beach VA Clinic</t>
  </si>
  <si>
    <t>your System is Broken
I arrived for an appointment that was no longer in the system due to my team being changed. 
Check-in also changed to Phone camera system to go to link.  also automated and no human knowledge of issues stated above.   After 15 minutes past my time i had to go to desk and start over.    The Nurse who Finally showed up did a fantastic job of correcting 
the issue.</t>
  </si>
  <si>
    <t>Conroe VA Clinic</t>
  </si>
  <si>
    <t>From the employee who initially took my phone call, to the employee at the check-in desk, to the nurse and doctor, no one was on the same sheet of music. Each admitting that the information I was given from the person before was wrong, and I left the facility just as confused if not more than when I walked in.</t>
  </si>
  <si>
    <t>Bring back the Kiosk's. Checking in on  phone has not worked for me</t>
  </si>
  <si>
    <t>Wilkes-Barre VA Medical Center</t>
  </si>
  <si>
    <t>I don't use a cell phone to check in and making it harder to fill travel forms</t>
  </si>
  <si>
    <t>eCheck-in Bad, Travel Pay - Bad</t>
  </si>
  <si>
    <t>Myrtle Beach VA Clinic</t>
  </si>
  <si>
    <t>The new Myrtle Beach Clinic is great. Love the ample parking and easy check in process.</t>
  </si>
  <si>
    <t>My visit was to get hearing aid repair.  I had never been to the location of the hearing aid repair clinic.  It was easy to find and to check in.  The technician who repaired my hearing aid was very pleasant and personable.  She went above and beyond to also include preventative maintenance. Her service and support are greatly appreciated.</t>
  </si>
  <si>
    <t>From check in to my nurse and doctor, the entire experience was excellent. They all went above and beyond to take care of my needs. Felt like they really cared about my well being.</t>
  </si>
  <si>
    <t>Hickory VA Clinic</t>
  </si>
  <si>
    <t>I wish You would go back to the original check in  The way it is now is not good years ago it was like it is I have sat waiting too do travel 30 minutes or longer I hope this will help</t>
  </si>
  <si>
    <t>General Check-in - Bad, Travel Pay - Bad</t>
  </si>
  <si>
    <t>Bruce B. Downs Boulevard VA Clinic</t>
  </si>
  <si>
    <t>The reception staff needs to act more professional. It's not clear who is handling check in and check out. With the plastic barriers and facemasks worn by the staff it's very difficult to understand what they are asking and there's allot of yelling back and forth.</t>
  </si>
  <si>
    <t>Ralph H. Johnson Department of Veterans Affairs Medical Center</t>
  </si>
  <si>
    <t>48</t>
  </si>
  <si>
    <t>The first contact after checking in the kiosk was unfriendly and disrespectful. I waited for the three administrators in the Podiatry area to assist me.I waited and an older gentleman walked straight up to the counter to which he was assisted with first. No wait, he just walked up. DR [NAME] needs a course on attitude awareness and being personable.</t>
  </si>
  <si>
    <t>Hidden River VA Clinic</t>
  </si>
  <si>
    <t>After being scheduled, I drove 40 miles went to check in.  They told me my appointment was cancelled and forgot to to let me know.  They told me no travel pay was allowed and I drove 40 miles for nothing.  I was on the list at the door as having an appointment and still they said no appointment and I should call and make a different appointment.  I was very frustrated after driving 80 mi total.</t>
  </si>
  <si>
    <t>When first entered building an individual right away asked us if we needed help finding our way. Check in was done with no wait and with a very friendly individual. Medical staff was caring and understanding to my needs.</t>
  </si>
  <si>
    <t>I did not feel 100% comfortable at check in.  I felt I was bothering the clerks. They were less than friendly.</t>
  </si>
  <si>
    <t>James A. Haley Veterans' Hospital</t>
  </si>
  <si>
    <t>Professional and caring check in at the Orthopedic Clinic!</t>
  </si>
  <si>
    <t>Lee County VA Clinic</t>
  </si>
  <si>
    <t>65 minute wait is a bit too long.  12 minutes to check in using phone completed only to be told there is a problem, see counter.  What a B.S. waste and frustration driver.</t>
  </si>
  <si>
    <t>Wait time (arrival to check-out), eCheck-in Bad</t>
  </si>
  <si>
    <t>The Kiosk was so easy to submit travel pay. Iâ€™m concerned that many of out older Veterans will not be able to maneuver through the layers of minutia on a computer. I myself have given up on the frustration. There has to be a better way.</t>
  </si>
  <si>
    <t>No kiosk for older vets in area of care is very inconvenient please bring back kiosk having to go from parking place to main building bad planning.</t>
  </si>
  <si>
    <t>Watertown VA Clinic</t>
  </si>
  <si>
    <t>Great new clinic.   Excellent service at the check in counter. Great treatment by [NAME] my medical provider. She shows great knowledge and and concern for her patients.</t>
  </si>
  <si>
    <t>Dannie A. Carr Veterans Outpatient Clinic</t>
  </si>
  <si>
    <t>Nurse that drew blood was very good.
Check in and out person was efficient, kind, and friendly.</t>
  </si>
  <si>
    <t>Sacramento VA Medical Center</t>
  </si>
  <si>
    <t>Wasnâ€™t clear that I had to check in first after being seen in the ER.</t>
  </si>
  <si>
    <t>Dallas VA Medical Center</t>
  </si>
  <si>
    <t>They changed the sistem for check in  u have 2 use kiosk no one told me i sat there 2 hours be for i figure ed it out</t>
  </si>
  <si>
    <t>Mayfield VA Clinic</t>
  </si>
  <si>
    <t>I have a bad signal. They know this. I waited on hold forever to speak with someone. They hung up on me and never tried to redial. I honestly feel they are there to draw a check instead of serve people.
Unfortunately this 1 and Marion are the best 2 I have been to.
Thereâ€™s signs hanging everywhere stating how they help vets but I havenâ€™t had any yet other than medical. They donâ€™t listen to me</t>
  </si>
  <si>
    <t>51</t>
  </si>
  <si>
    <t>I went to the preoperative appts...the people are nice but are understaffed.  an hour wait at the lab, they are VERY understaffed.  7 people in line for 1 tech at the EKG, 8 waiting for xray.  Why are the kiosks still off?  The kiosks were great way to check in !!   Bring them back online and staff the lab.</t>
  </si>
  <si>
    <t>2022-09-23</t>
  </si>
  <si>
    <t>Casper VA Clinic</t>
  </si>
  <si>
    <t>From the staff up front during check-in, to the staff and team in the back, everyone is courteous and professional and friendly.</t>
  </si>
  <si>
    <t>Oakland VA Clinic</t>
  </si>
  <si>
    <t>Several of the people working at the reception/check in area need some training in how to deal with veterans checking in or just asking question. They lack people skills and have poor attitudes. They don't realize what their job is! I went through VA training back in the mid 70's during my 40 year career in business, I taught employees what was expected of them in customer service!</t>
  </si>
  <si>
    <t>The check in system sucks. Many vets get there early because of the parking. Not being able to check in early us stupid. I also have a difficult time with the check in. You got Kiock to work, then get rid of it. Maybe you need a management change, starting at the top.</t>
  </si>
  <si>
    <t>The new travel voucher system is definitely not user friendly. I am computer and internet literate and every time I try to do a travel voucher it is a great challenge and definitely stressful. The previous system using the kiosk at VA was so much easier and user friendly.</t>
  </si>
  <si>
    <t>Jamestown VA Clinic</t>
  </si>
  <si>
    <t>Always a great experience from check in to check out!</t>
  </si>
  <si>
    <t>eCheck-in Bad Errors</t>
  </si>
  <si>
    <t>Everyone was great, from the volunteers at the front door, to the check in person and the doctor</t>
  </si>
  <si>
    <t>I felt almost I was treated like "cattle".  Very impersonal, and more of a statistic - another one done, check the box.
The initial screening person did well, as did the tech in X-ray.  The reception/check in desk needs work, as does the doc.</t>
  </si>
  <si>
    <t>Victor J. Saracini Department of Veterans Affairs Outpatient Clinic</t>
  </si>
  <si>
    <t>The last question about Telehealth, as this was a visit for lab tests, telehealth is not appropriate.  I do use telehealth for other visits and they work well, and save travel time.
The kiosks are gone, and using the cell phone should work just as well, but the barcode scan did not work, on my Samsung Note 20. It opened the text with the words expected but could not send. I closed and entered ok.</t>
  </si>
  <si>
    <t>WHY were the "sign in" kiosks removed?  I do NOT have a smart phone (Do NOT want one OR believe in them.) and neither did another vet [that I spoke with].</t>
  </si>
  <si>
    <t>eCheck-in Bad, Kiosk - Bad</t>
  </si>
  <si>
    <t>82</t>
  </si>
  <si>
    <t>All Vet due not have cell phones and to check in was hard</t>
  </si>
  <si>
    <t>Bob Stump Department of Veterans Affairs Medical Center</t>
  </si>
  <si>
    <t>I had an appt for a covid shot.   It seems like all of us stabs in line for a covid shot had the same appt time.   We all stood in line to check in and then we all waited for the shot.   When I left,  there were 3 folks waiting for a shot.   You should make appts so that we don't have to wait so long not 25 folks for a13:15 appt.</t>
  </si>
  <si>
    <t>Clean, fast check in.</t>
  </si>
  <si>
    <t>Guntersville VA Clinic</t>
  </si>
  <si>
    <t>Kiosk scanners do not seem to work. Had to manually input all my info both times I visited the facility.</t>
  </si>
  <si>
    <t>I believe the new travei reimbursement is very 
Difficult to use,. especially for veterans ,like me,
Who are over 80 . There is a resnonse to questions -watch the video -follow these instructions.not very helpful. The old kiosky was very easy to use.</t>
  </si>
  <si>
    <t>Jerry L. Pettis Memorial Veterans' Hospital</t>
  </si>
  <si>
    <t>Most Civilian Hospitals and maybe not the VA, must adhere to "HIPAA" rules.  As not just some old Grunt as sometimes noted at the VA (Medic, EMT, RN 25+ years), I note "all the time" violations.  An example when bringing in a patient for their appointment, Check-In Clerk then "nurse" with other patient's, etc. present your health ?'s, etc.  "Many" Clerks treat old Vets with DISRESPECT.    EDUCATE</t>
  </si>
  <si>
    <t>West Palm Beach VA Medical Center</t>
  </si>
  <si>
    <t>Travel should be done automatically ones you are check in this way the veteran does not have to worry about  Filling out any forms</t>
  </si>
  <si>
    <t>I was pleased with the check in and procedures of this state VA because I was used to New Jersey VA, was a little different after the follow up and pleasant person explaining things might differ but the VA has your best  interests.</t>
  </si>
  <si>
    <t>Muskegon VA Clinic</t>
  </si>
  <si>
    <t>easy to check in, and great care</t>
  </si>
  <si>
    <t>Chippewa Valley VA Clinic</t>
  </si>
  <si>
    <t>Outstanding service from check-in to departure. NP [NAME] provided excellent information and explanations. Support staff (nurses, techs, front desk) all very professional.</t>
  </si>
  <si>
    <t>General appointment feedback, Staff</t>
  </si>
  <si>
    <t>Robley Rex Department of Veterans Affairs Medical Center</t>
  </si>
  <si>
    <t>I super appreciate the Hematology/Oncology departments staff.  My check in person ([NAME]? I'm bad at remembering names), [NAME], [NAME], and the sweet ladies who have inserted my IV's and monitored my iron infusion.  They have a process worked out that runs very well.</t>
  </si>
  <si>
    <t>Excellent check in/out clerk! Dr. attentive, professional and made me feel comfortable and informed.</t>
  </si>
  <si>
    <t>Everyone was very helpful &amp; kind.  The lady at the front desk was able to assist me with the new text checkin process.  The wait was a little long, I wasnâ€™t seen until about 20 min after my appointment time, but the phlebotomist was so friendly and professional once I was able to meet with her.  Overall, kudos to the GV CBOC - youâ€™re doing a great job!!!</t>
  </si>
  <si>
    <t>Wait time (arrival to check-out), Staff Attitude - Good</t>
  </si>
  <si>
    <t>The staff at the eye clinic is top notch and very professional from the check into the scheduling off my next appointment, great service.</t>
  </si>
  <si>
    <t>Fix the check in kiosk for labs</t>
  </si>
  <si>
    <t>The nutritionist was very helpful and seemed very knowledgeable. 
The young man at check in was also very helpful.
The attitude at that hospital is amazing, everyone is so nice and helpful</t>
  </si>
  <si>
    <t>43</t>
  </si>
  <si>
    <t>The electronic check in was not working properly, thus forcing behind the desk to check patients in manually. This delayed the process and created long lines that frustrated some individuals. Also, the lab appeared to be short staffed and individuals were waiting to be called an hour and a fee minutes. I personally was called one hour and 12 minutes past my appointment time. Hope this can be fixed</t>
  </si>
  <si>
    <t>General appointment feedback, eCheck-in Bad</t>
  </si>
  <si>
    <t>Sayre VA Clinic</t>
  </si>
  <si>
    <t>Check in kiosks we're deactivated, but the new text message check in process is broken. You have to wait for someone to go in and manually check you in.</t>
  </si>
  <si>
    <t>The check in was extremely quick, the wait time to be seen for labs was minimal. The time for the lab work to be done was quick. Very pleased with the service at the Florence facility.</t>
  </si>
  <si>
    <t>When I checked in with the green team i was redirected to check in it the hall desk.  I was told to stay there and 20 minutes after my appt I went to the desk and they told me to go back to the green team office.  I did get</t>
  </si>
  <si>
    <t>Malcom Randall Department of Veterans Affairs Medical Center</t>
  </si>
  <si>
    <t>Was very impressed with how fast an efficient the check in process was and how fast I had my blood work done that whole process was done in less than 5 minutes from start to finish and everyone was very friendly 
Very good experience</t>
  </si>
  <si>
    <t>Wait time (arrival to check-out), No method specifed</t>
  </si>
  <si>
    <t>Tomball VA Clinic</t>
  </si>
  <si>
    <t>With the 10 check-in windows that were open, only 6 were checking in patients and the other 4 windows ignored the line that was 10 deep with patients waiting to check in. The check in kiosk was not working and the online check in service was not working also.  This made me late for my appointment by 20 minutes.</t>
  </si>
  <si>
    <t>Kiosk - Bad eCheck-in Bad, Wait time (arrival to check-out)</t>
  </si>
  <si>
    <t>Had to get my prescription filled quick cause I forgot to order it last week and went in person to get it because I was going out of town the following day.  They were great, friendly check in, and I had my prescription filled in less than 15 minutes and was out the door!</t>
  </si>
  <si>
    <t>Staff, Wait time (arrival to check-out)</t>
  </si>
  <si>
    <t>79</t>
  </si>
  <si>
    <t>We need to know ahead of time whether we need to check in up front or at the lab window.  In the past, we checked in at the lab window, now we had to check in up front first.  There were several veterans that sat for a long time before they realized they had to go up front to check in.</t>
  </si>
  <si>
    <t>Lena from the pharmacy is great. Martha at the check-in counter is always helpful. Dr. [NAME] is very good.</t>
  </si>
  <si>
    <t>South Enterprize VA Clinic</t>
  </si>
  <si>
    <t>35</t>
  </si>
  <si>
    <t>Have someone helping check in at the kiosk for the older veterans</t>
  </si>
  <si>
    <t>The Doctor is excellent, took the time to explain treatment options. Reception staff could be nicer, the lady that helped me check in seemed bothered I was there. She sat on the left as you look at the counter.</t>
  </si>
  <si>
    <t>Staff Attitude - Good Staff Attitude - Bad</t>
  </si>
  <si>
    <t>Garland VA Medical Center</t>
  </si>
  <si>
    <t>have always appreciated the personability of the people at the front desk at the garland facility . I mentioned at checkin that i had just returned from germany and my luggage containing my HP meds did not arrive with me. (lost) . The gentlemen prepared a form for me to pickup replacements even w/o me asking. The Indian lady drawing blood was very accomodating and seemed to enjoy what she was doi</t>
  </si>
  <si>
    <t>My check in was very quick and easy with the high tech machine.  Waiting for my turn with the pharmacist was also fast.  And, waiting for the medication to be ready was also very fast.  This was the best, time wise, for all of my pharmacy visits!  Thank you very much!</t>
  </si>
  <si>
    <t>Middleburg VA Clinic</t>
  </si>
  <si>
    <t>92</t>
  </si>
  <si>
    <t>The only problem was lack of communication. It needs to be apparent that patients who are there for blood work need to check in at desk. There was a sign but it is not located where it can be easily seen. Patient who was there and had checked in because his caregiver asked had to wait for all those whoâ€™s appointments were ahead of him checked in and were treated.</t>
  </si>
  <si>
    <t>Greenville VA Clinic</t>
  </si>
  <si>
    <t>My experience at Greenville, NC was great. Information staff pointed me to the correct department, check in staff were polite and very helpful ( my first time @ Greenville), LPN [NAME], that checked vitals and collected and updated my information was helpful and friendly. Dr. [NAME] was a professional, caring physician and was knowledgeable about VA program.</t>
  </si>
  <si>
    <t>West Seneca VA Clinic</t>
  </si>
  <si>
    <t>Either fix the checkin kiosk or get rid of it. It hasn't been used for probably a year or more.
It just makes a bad impression to have something like that that hasn't worked in a long time.
Other than that I think the clinic is run well by great people.</t>
  </si>
  <si>
    <t>Clare VA Clinic</t>
  </si>
  <si>
    <t>Put the Kiosk back. Everytime I go to this clinic, thereâ€™s a different way to check in.</t>
  </si>
  <si>
    <t>Kernersville VA Clinic</t>
  </si>
  <si>
    <t>When vets were at the window to check in to pick up meds, that the technician requested vets to state the drugs they were there to pick up. Due to the nature of the pickup window they had to speak loudly,  this is not only unnecessary, but is a privacy violation. It felt awkward to say and to hear others' requests. Please stop this practice.</t>
  </si>
  <si>
    <t>Loveland VA Clinic</t>
  </si>
  <si>
    <t>I think organization could be implemented. There was a lot of people, veterans and spouses alike, didn't know who to check in with. One guy was hidden around the corner. Two desks faced away from the door. Nobody greeting as people came in. Nobody directing traffic. Chaos at it's best.</t>
  </si>
  <si>
    <t>Huntingdon County VA Clinic</t>
  </si>
  <si>
    <t>90</t>
  </si>
  <si>
    <t>very quick, friendly check-in
labs person friendly, answered all my questions
Definately a good experience</t>
  </si>
  <si>
    <t>Harry S. Truman Memorial Veterans' Hospital</t>
  </si>
  <si>
    <t>Have had several tests done recently that I was not notified of results. 
The recent change in applying for travel pay sucks. The kiosks were convient and easy to use.  The current method has slowed the travel pay system down. I guess the intent is to frustrate older vets and discourage them from applying for travel pay, saving money for the VA.  Shame on you!</t>
  </si>
  <si>
    <t>28</t>
  </si>
  <si>
    <t>I waited a month to attend my first appointment just for it to be canceled three days beforehand. No one called me to reschedule the second appointment. I rescheduled the second appointment and when I arrived to check in I was told it was canceled also. I wasn't notified that the appointment was canceled and was told I would have to wait an additional 2 months to see another doctor.</t>
  </si>
  <si>
    <t>36</t>
  </si>
  <si>
    <t>The lady at the window told me â€˜ you canâ€™t check in at the machines. I tried to check in the though the online QR code and it did not work. I continued to stand waiting to check in and the lady never asked if she could help me. She was wearing a mask behind a completely closed check-in window and I felt like a complete idiot waiting for almost 8-10 minutes with not a single interaction from her.</t>
  </si>
  <si>
    <t>26</t>
  </si>
  <si>
    <t>The person at the check-in desk was very knowledgeable with the prescription I was getting and answered all my questions thoroughly</t>
  </si>
  <si>
    <t>I would like to compliment the nurses and check-in/check-out staff at the Allergy Clinic, they do a great job. 
I went to re-schedule my allergy shot appointment, I was told that I could only re-schedule one appointment. The check-out/scheduling clerks were able to re-schedule all the appointments, but they are no longer authorized/allowed to do so. It feels that we're paying for other's mistakes.</t>
  </si>
  <si>
    <t>My concern is this....On that date I was in the X-Ray department at the main hospital and while waiting to be called up to check-in at the main counter I heard (5) African American women standing by a door behind the counter talking and laughing so loud that I didn't even hear the clerk calling me up to check-in.  Their behavior was totally inappropriate and certainly unprofessional.</t>
  </si>
  <si>
    <t>Middletown VA Clinic</t>
  </si>
  <si>
    <t>From the moment I checked in (even though the new check in on my phone didn't work) through my appointment, to when I left, I felt like I was a valued patient. Everyone was extremely courteous, polite and helpful. The Doctor was excellent and answered all questions I had and I left feeling really good.</t>
  </si>
  <si>
    <t>eCheck-in Bad, Staff Attitude - Good</t>
  </si>
  <si>
    <t>I do not understand why it takes so long from the time you get your ticket to get to the window.... there were a few times when the people at the check in window are sitting ldle.....you have 3 check in windows,  use three check in windows.......</t>
  </si>
  <si>
    <t>Hillandale Road VA Clinic</t>
  </si>
  <si>
    <t>Use Kiosk vs I Phone, kiosk is not complicated . Trying to use cell phone was complicated to check in.</t>
  </si>
  <si>
    <t>The new system to check in is a little confusing especially for the elderly which is a high amount of patients.</t>
  </si>
  <si>
    <t>Wytheville VA Clinic</t>
  </si>
  <si>
    <t>Check-in, LPN and Doctor Hall are great people here at Wytheville CBOC.</t>
  </si>
  <si>
    <t>2022-09-22</t>
  </si>
  <si>
    <t>Get rid of the unnecessary check in procedures and masks</t>
  </si>
  <si>
    <t>Newington VA Clinic</t>
  </si>
  <si>
    <t>Kiosks for check in where not working which created a back up at windows.</t>
  </si>
  <si>
    <t>Iâ€™m concerned with the attitude of some clerks.  The one I met at the urology clinic acted like I was bothering her by checking in 45 minutes BEFORE my appointment.  I canâ€™t only imagine what happens when someone checks in late.  
After my appointment, I went to get my booster shot.  At the COVID clinic the check in clerk wasnâ€™t present; so, I waited for her to come back.</t>
  </si>
  <si>
    <t>Beaver Dam VA Clinic</t>
  </si>
  <si>
    <t>From check-in to blood work to meeting with the nurse, everyone was friendly and made me feel at ease.</t>
  </si>
  <si>
    <t>Hampton VA Medical Center</t>
  </si>
  <si>
    <t>Not sure about now checking in via my phone or texting. Also how do you claim travel now. What if I have no service in the building which happens in a lot of areas in the building how do i check in now?</t>
  </si>
  <si>
    <t>Dayton VA Medical Center</t>
  </si>
  <si>
    <t>37</t>
  </si>
  <si>
    <t>The ability to check in, in certain areas are pain.</t>
  </si>
  <si>
    <t>San Luis Obispo VA Clinic</t>
  </si>
  <si>
    <t>I Presently find that the VA personnel are friendlier than their equivalent position in the private sector, especially in the check in section of my local clinic in the last year or two. My primary and the supporting medical staff always have acted professional and friendly in SLO.</t>
  </si>
  <si>
    <t>Filing for travel expenses used to take less than 2 minutes at the kiosk in the hospital.  Now it takes me about 15 minutes at home and I'm never quite sure if the claim was actually filed.  Let us file at the hospital again or simplify the filing process.  (It would further help if I can click on the filing button right in my health page rather than having to search for the page to file.)</t>
  </si>
  <si>
    <t>I want to thank the pharmacy staff for always being respectful and pleasant. I also want to thank the Team 4 staff for their continued care they provide. I understand they are busy but they do their best to take care of my specific medical needs. Finally, the lab staff is excellent from check in to blood draw. Iâ€™ve never received anything but excellent care from them.</t>
  </si>
  <si>
    <t>Coatesville VA Medical Center</t>
  </si>
  <si>
    <t>I was well pleased with the care I received from the provider. I was treated with respect by all the staff.  Easy to check-in and clean facility.</t>
  </si>
  <si>
    <t>Staff Attitude - Good, General Check-in - Bad</t>
  </si>
  <si>
    <t>Anderson VA Clinic</t>
  </si>
  <si>
    <t>I was concerned that I had to walk downstairs through an empty building to find a young man with papers for mileage reimbursement. I am upset that the VA has taken this function off the kiosks and gone back to paper. But, the Anderson VA is so empty that it is unnerving. My care by Dr [NAME] was excellent, but where are the rest of the employees? there wasn't anyone there to make my return apt.</t>
  </si>
  <si>
    <t>Travel Pay - Bad,Staff Attitude - Good</t>
  </si>
  <si>
    <t>Beneficiary Travel is more difficult than ever to accommodate me. I have yet to apply for 9/16 travel benefit for that date.  I used the Kiosk and that worked great.</t>
  </si>
  <si>
    <t>2022-09-21</t>
  </si>
  <si>
    <t>Very professional and extremely helpful staff.l  The idiots who opted to pull the kiosks for mileage reimbursement need to be terminated.....</t>
  </si>
  <si>
    <t>Staff Attitude - Good,Travel Pay - Bad</t>
  </si>
  <si>
    <t>Battle Creek VA Medical Center</t>
  </si>
  <si>
    <t>[NAME] WHO ALWAYS CHECKS US IN AT TEAM B HAS HELPED US ALOT AS WE ARE NEWBIES TO THE BCVA!!! SHE IS RESPECTFUL, KIND AND INFORMATIVE...WE ALWAYS GO TO 'HER' WINDOW FOR OUR CHECK-IN...
THUMBS UP [NAME]!!! SHE HAS VALUE ON YOUR TEAM!!!! AND SHOULD KNOW!!</t>
  </si>
  <si>
    <t>George E. Wahlen Department of Veterans Affairs Medical Center</t>
  </si>
  <si>
    <t>Claiming travel reimbursement without the kiosk is real pain.
Hopefully you have something planned to it expedite it?</t>
  </si>
  <si>
    <t>Clement J. Zablocki Veterans' Administration Medical Center</t>
  </si>
  <si>
    <t>After I checked in, l waited an hour, then I went to a different window to ask if I was in the line up get called, the woman said there was a glitch in the computer. I was callled by my Doctor two minutes later. She said that I never slowed up on her screen and thought that I was a â€œno showâ€. She was sorry for the mistake, and would check into it.  There used to be a sign that said â€œIf you have 15</t>
  </si>
  <si>
    <t>The staff at the check in counter for Clinic 14 are fairly unprofessional and do not show respect to the patients (Veterans) to be served.  You are directed to check in 30 minutes prior to appoint.  However, the person behind (unopened) window will not even talk to you until she appears to "good and ready" to, just says "Sit down, I get to you when ready."  Maybe try a smile, Good Morning?</t>
  </si>
  <si>
    <t>85</t>
  </si>
  <si>
    <t>Everyone was most helpful, from check in until the end of my appointment. Everyone made me feel they were concerned about my health and covered my labs in detail for my understanding.</t>
  </si>
  <si>
    <t>After my check in i saw a nurse who did a first check of my eyes. Then I waited for over an hour to see the doctor who finished my exam. There needs to be a quicker way to get to the doctor. This sitting around to see the doctor is a waste of my time</t>
  </si>
  <si>
    <t>General Check-in - Bad,Wait time (arrival to check-out)</t>
  </si>
  <si>
    <t>1.  Non-medical personal running check-in desks are not friendly, they act as though I work 
     for them, and they make me feel lie they are ignoring me.
2.  Eye Clinic is spread between three locations.  Very confusing. 
3. There seems to be very little handicap parking.  Parking areas are too far from main 
    tower.</t>
  </si>
  <si>
    <t>Staff Attitude - Bad,General appointment feedback</t>
  </si>
  <si>
    <t>The Personnel at the check-in window for the emergency room we're very relaxed days ago rude and disrespectful. I would totally love can't you the check in personnel in the emergency room.</t>
  </si>
  <si>
    <t>I showed up for my appointment and had to wait to check in. you have four (4) check in/out stations but but only two were working one on the phone the other doing both in/out. The doctor and nurses are caring and I trust them, the support staff is questionable in the service given Bad days, mean, rude and don't want to be bothered. If Iam their, I don't feel like putting up with staff attitude.</t>
  </si>
  <si>
    <t>Staff Attitude - Good,Staff Attitude - Bad</t>
  </si>
  <si>
    <t>Mount Vernon VA Clinic</t>
  </si>
  <si>
    <t>Kiosks for self service checkin and travel reimbursement would be nice. The only I saw in use was for the lab.  When I lived elsewhere the clinic I used had several of them. Floor space might be the issueâ€” prior clinic I used had much more space while this one does not although I believe it serves a larger population.</t>
  </si>
  <si>
    <t>Evansville VA Clinic</t>
  </si>
  <si>
    <t>I'm still new to this hospital so finding where I need to go is daunting. If the floors were painted a different color it would be easier to figure out where I need to go as I have multi doctors on each floor. If the AUTO DETAILS were clearer would make it easier like: 2nd floor check in with the OPAL registration clerk booth #3. Something like that.</t>
  </si>
  <si>
    <t>I waited over an hour after check-in to be seen.</t>
  </si>
  <si>
    <t>Manchester Avenue VA Clinic</t>
  </si>
  <si>
    <t>The Text/SMS based â€œAppointment Check-Inâ€ procedure, in its present form, is unnecessarily burdensome to those with poor/failing eyesight, fee based text messaging and basic cellular phones that do not offer text/sms services. Based on responses I have personally witnessed, the process has not been well received by veterans arriving for their clinic appointments.</t>
  </si>
  <si>
    <t>eCheck-in - Bad</t>
  </si>
  <si>
    <t>Sioux City VA Clinic</t>
  </si>
  <si>
    <t>Please understand that this survey only about the SC office, I still have problems with the lack of response from care in the community and with who ever thought it was a good idea to remove the travel pay kiosk and replace it with a website</t>
  </si>
  <si>
    <t>The check-in process for my appointment was directed by the receptionist personnel to use a text message from my cell phone.  I don't text all that much, but I tried it and nothing happened.  She then tried using my phone to do it and got a message that this service was not available from my phone.  I think you should use the reception personnel to check people in, or use the kiosks that you had.</t>
  </si>
  <si>
    <t>eCheck-in - Bad,Kiosk - Good</t>
  </si>
  <si>
    <t>I arrived 20 minutes before and thought I checked in at the front desk because a receptionist took my ID and private health insurance to make photocopies. However, at 20 minutes after my scheduled appointment I went back up since I wasnâ€™t called. The nurse came to get me and said my visit would be short because I arrived late. That is frustrating. Checkin should be a basic skill for a receptionist</t>
  </si>
  <si>
    <t>Pensacola VA Clinic</t>
  </si>
  <si>
    <t>Pensacola VA clinic staff are friendly and knowledgeable. Never wait more than 5 minutes after check in for my appointment, very organized. Best run health care system I've seen</t>
  </si>
  <si>
    <t>Staff Attitude - Good,Wait time (arrival to check-out)</t>
  </si>
  <si>
    <t>Why were the kiosk discontinued?  The new check in method was not working the day of my appointment.  Some veterans do not have smart phones so this adds to the workload of the staff.  How was this suppose to help veterans checking in for appointments?</t>
  </si>
  <si>
    <t>Kiosk - Bad,eCheck-in - Bad</t>
  </si>
  <si>
    <t>Check in very smooth,  PT facility top notch.  All PT therapist exceptionally polite, professional and concerned about my well being!  Love getting care at ALM</t>
  </si>
  <si>
    <t>I have a concern with the check in process.  So many older vets do not have a smart phone, so the process has been hindered by the need to have a smart phone.  I wasn't able to check in with my smart phone as apparently the phone was not recognized by the system.  I wasn't able to scan the code with my phone.  Very frustrating and took up too much time.  I finally checked in at the clinic.</t>
  </si>
  <si>
    <t>Not sure why the kiosk are not tuned for check in any longer but my phone does not check me in half the time. And I've seen the Sam thing happen with other patients</t>
  </si>
  <si>
    <t>The new check in process is slow and a few times my cell phone lost signal and I had to check in on site.  It may sound like a good idea but some of my older veterans don't have phones and would rather check in at the hospital.</t>
  </si>
  <si>
    <t>New City VA Clinic</t>
  </si>
  <si>
    <t>Return to use of the checkin robot and relieve the front desk of having checkin all who walk through the door.  That would provide the receptionist Annie the time to answer phone calls from vets calling for a variety of important reasons</t>
  </si>
  <si>
    <t>Kiosk - Good,General appointment feedback</t>
  </si>
  <si>
    <t>Jacksonville 1 VA Clinic</t>
  </si>
  <si>
    <t>check in was easy,  very short wait time to see the nurse, and then the Dr.  my eyes were checked, I was given my prescription, went to eye clinic, and ordered my lens and glasses, and had them shipped to my address.    all was easy and quick.</t>
  </si>
  <si>
    <t>General appointment feedback,Wait time (arrival to check-out)</t>
  </si>
  <si>
    <t>Margaret Cochran Corbin VA Campus</t>
  </si>
  <si>
    <t>34</t>
  </si>
  <si>
    <t>Before my appointment I went to check into the walk-in clinic to see a doctor for blood work. The receptionist denied me that opportunity and said I was not able to get blood work without my primary care doctors authorization. The receptionist was rude, unprofessional and not willing to help. Fortunately, I was able to see the walk- in doctor and get my blood work as someone else assisted me.</t>
  </si>
  <si>
    <t>Morehead City VA Clinic</t>
  </si>
  <si>
    <t>return the kiosk for speedy check in.</t>
  </si>
  <si>
    <t>South Des Moines VA Clinic</t>
  </si>
  <si>
    <t>There are always quirks in a new facility. Like the check in for the blood work did not work so I had to poke my head in and tell someone I was there. The techs told me the machine for check in was working early in the day and just quit later.</t>
  </si>
  <si>
    <t>We are asked to show up ATLEAST 30 minutes earlier...which is very reasonable! Then when you use the "machine" to check in &amp; get a number it tells you "too early" for the appointment???? Whose bright idea is that?...Had to wait another 11 minutes to check in and a now FIVE numbers later!!!</t>
  </si>
  <si>
    <t>Brainerd VA Clinic</t>
  </si>
  <si>
    <t>32</t>
  </si>
  <si>
    <t>It took more then an hour to get to my first appointment after check in, the visit with my doctor took less then 10 minutes and I didn't feel like I had an opportunity to voice concerns before being seen out of the office</t>
  </si>
  <si>
    <t>Franklin R. Sousley Campus</t>
  </si>
  <si>
    <t>I was very impressed by my first appt at the VA. From the check in desk to the nurse and finally the doctor. They were very thorough and made me feel very welcome. I couldnâ€™t be more pleased.</t>
  </si>
  <si>
    <t>checking in with phone doesnt work was on time for my app. and the computer didnt let them know i was there sat for over an hour watting had to go to the desk to check in again</t>
  </si>
  <si>
    <t>Everything  so smooth. I had never been to this location, and once I entered I was greeted by a helpful veteran who showed me how to check in on my phone, and where to go.</t>
  </si>
  <si>
    <t>Why did you take away the kiosk??? They made it soooo much easier for check in &amp; travel reimbursement. To go back to filling out papers is ridiculous!!!!!!!!!! Dumb dumb decision!!!!!</t>
  </si>
  <si>
    <t>Fort Wayne VA Medical Center</t>
  </si>
  <si>
    <t>I was treated very well from check in to the test</t>
  </si>
  <si>
    <t>I recommend going back to the kiosk checking in system.  I have tried the new check in system  4 times and hasn't worked yet.</t>
  </si>
  <si>
    <t>When they checked in I was sent to the wrong clinic office for the wrong appointment. The pharmacy kiosk was down for awhile. Then the ordered it out of East Orange and I had to wait for them to fix it. The X ray people acted like they didn't know I was coming. Everybody was nice enough though.</t>
  </si>
  <si>
    <t>Kiosk - Bad,General Check-in - Bad</t>
  </si>
  <si>
    <t>Some vets donâ€™t know about the new tecnolgy used to check in. Put in place some one to help if we are to use new tecnolgy.</t>
  </si>
  <si>
    <t>Travel payment: Many of us are not very computer knowledgeable and some of us do not even have a computer. You used to have travel on the kiosk and that worked well. There are a lot of problems getting through to the right specific claims. You might try some class on line or at the VA.</t>
  </si>
  <si>
    <t>Jacksonville VA Clinic</t>
  </si>
  <si>
    <t>On this appointment I received several text messages instructing me to check in with the facility via text message. I complied with the instruction however, the system did not allow me to use it because it did not recognize me. How did the system not recognize me when it has been communicating with me?</t>
  </si>
  <si>
    <t>Madison West VA Clinic</t>
  </si>
  <si>
    <t>Fix the dental/eye clinic self-check-in kiosk.  It hasn't been able to optically scan the ID card for at least six months.</t>
  </si>
  <si>
    <t>Orangeburg VA Clinic</t>
  </si>
  <si>
    <t>The check in answer was due to the check in app not working at all. I followed the instructions and at the end of my appointment there was still no response.  I wrote in a note to the app and the app told me i could not do that.  However I did see a nurse that I knew and they got me in by telling the nurse I was here and it seemed like they were interacting with the waiting area when I was leaving</t>
  </si>
  <si>
    <t>The new check-in policy is a bit cumbersome, but the folks who helped me check in for my appointment were courteous, friendly and helpful. I prefer the previous kiosk check-in system, but am resigned to the fact that in order to survive in this modern world, a smart phone is a necessity.</t>
  </si>
  <si>
    <t>eCheck-in - Bad,Staff Attitude - Good,Kiosk - Good</t>
  </si>
  <si>
    <t>Out of multiple windows to check in at lobby, only 2 open and they both had people standing in front.  Entirely too long to get a window open just to get in to lab to give blood and checking at lab window?!!</t>
  </si>
  <si>
    <t>From check in to the actual procedure was treated in a very caring and professional manner.  I have always received the best of care at this facility.  Thank you.</t>
  </si>
  <si>
    <t>Ocala VA Clinic</t>
  </si>
  <si>
    <t>No windows. PTSD causes me to have panic attacks when closed in. Clinic did try to provide me with an exam room close to exit. Confusion with check in because my telehealth appointment that was cancelled and changed to in person appointment and not in the system. Check in person not friendly.</t>
  </si>
  <si>
    <t>General Check-in - Bad,Staff Attitude - Bad</t>
  </si>
  <si>
    <t>Salem VA Medical Center</t>
  </si>
  <si>
    <t>I appreciate all the help my primary clinic team gave me, starting with the check-in representatives, nurses and my team doctor</t>
  </si>
  <si>
    <t>Lake Baldwin VA Clinic</t>
  </si>
  <si>
    <t>Everyone from the check in desk to the nurses and doctors are professional and show that they are welcoming and concerned.</t>
  </si>
  <si>
    <t>Muncie VA Clinic</t>
  </si>
  <si>
    <t>For the first time, I was not offered a flu shot and I forgot to ask. I miss my precious provider. 
The new check in method is something I do not like.  Have to text a number  and then wait. After all was said and done and waiting I still had to see receptionist</t>
  </si>
  <si>
    <t>Opticians,  Dr and Student were very friendly and professional.  Can't beat Eyewear prices and great service again. Check in person was seated at the farthest end of the room, had to repeat my info 3 times.  Had insurance questions but no patient advocate working that day.</t>
  </si>
  <si>
    <t>I donâ€™t think itâ€™s a good idea for the computer monitorâ€™s facing where you canâ€™t see the Veterans at the service window.
I feel that they are ignoring the Veterans that are trying to check in for there appointment.</t>
  </si>
  <si>
    <t>Why is it that the cubicle clerks act so put out when you walk up to them? Do they really have that much to do that they cannot be friendly to people coming up to them to check in?</t>
  </si>
  <si>
    <t>Naples VA Clinic</t>
  </si>
  <si>
    <t>The male check in clerk is somewhat rude and abrupt. He NEVER smiles. He NEVER responds to courteous small talk. He is Not friendly. He is Not polite. I have dealt with him for over a year or two. He us a horrible person. He should Not be working at the VA. He should Not be working with the public.</t>
  </si>
  <si>
    <t>Berks County VA Clinic</t>
  </si>
  <si>
    <t>Do not like the new check-in process.</t>
  </si>
  <si>
    <t>Texas City VA Clinic</t>
  </si>
  <si>
    <t>I CALL FOR APPOINTMENT THEN WHEN I FINALLY GET THRU I AM TOLD THEY WILL CALL ME BACK  IF I AM NOT HOME THE MESSAGE SAYS CALL US BACK 
I THEN GO THRU THE SAME PROCESS WHEN I WALKED INTO THE CLINIC FOR ANOTHER PROBLEM THE CHECK IN PERSON CALL AND WE WERE FINALLY ABLE TO GET APPOINTMENT 3 WEEKS LATER</t>
  </si>
  <si>
    <t>PFC Floyd K. Lindstrom Department of Veterans Affairs Clinic</t>
  </si>
  <si>
    <t>This appointment never happened, although it now says it was canceled by myself!?  I checked in on time, and was to my provider was few minutes late. I acknowledged the delay,, saying I was running late too, then waited 55 minutes with neither my provider showing up or the check in desk telling me that there had been a change. At 10am, 60 minutes after my scheduled appointment, I left.</t>
  </si>
  <si>
    <t>The remval of the travel kiosk machine, now we have to fillput and long form....</t>
  </si>
  <si>
    <t>Angela was very nice-professional,really knows her products and fitting of glasses to make them work for the patient. The check in person was also knowledgeable and informative.</t>
  </si>
  <si>
    <t>2022-09-20</t>
  </si>
  <si>
    <t>Highland Avenue VA Clinic</t>
  </si>
  <si>
    <t>Everyone at the VA eye clinic has been exceptional - from check in to departure.   Dr [NAME], particularly, has been tremendous as she explains everything and really cares.</t>
  </si>
  <si>
    <t>Richard L. Roudebush Veterans' Administration Medical Center</t>
  </si>
  <si>
    <t>9 check in early and it is 30 - 45 min after my appoint time befor i aee the nurse then another 30 - 45 min to see the dr.  I wont go to the eye clinic any more</t>
  </si>
  <si>
    <t>I would recommend when veterans check in at the kiosk 10-15 minutes prior to their appointment that the physical therapist is on time. The kiosk didnâ€™t prompt any one and another physical therapist happened to see me after 15 minutes to check me in, even though I did at the kiosk.</t>
  </si>
  <si>
    <t>El Paso VA Clinic</t>
  </si>
  <si>
    <t>COMPLIMENT:  thanks for Dr. [NAME], DDS
RECOMMENDATION: I am 80. I am not a tech guy. The kiosks you used for check in was easy to use. Now that you have replaced them with a QR code, you have taken me out of the game of tech. I read email. I use a phone. I donâ€™t text. I donâ€™t do QR code. What next are you going to hit us with?  What a waste of money you must have squandered, one way or the other</t>
  </si>
  <si>
    <t>eCheck-in - Bad,Staff Attitude - Good</t>
  </si>
  <si>
    <t>Problem #1 you ALWAYS send these surveys when I have had more than one appointment on the day mentioned. The massage therapy appointment went very well and the above response doesn't apply to that appointment.
I HAD NO FREAKING CLUE WHAT TO EXPECT FROM ENT/SPEECH THERAPY. They were over a half hour late. I went to the check-in desk to make sure they didn't forget me. NOT ENUF ROOM TO LIST PROBLEMS</t>
  </si>
  <si>
    <t>More kiosks are needed, only one was working properly..!</t>
  </si>
  <si>
    <t>Kiosk - Bad,Kiosk - Good</t>
  </si>
  <si>
    <t>The check in process STINKS. I do not have a 'smart' phone and don't want one. I certainly won't get one just to deal with this. I had to stand in line at the desk for almost 15 minutes waiting to get checked in. The kiosks weren't the best, but they were OK. The new system isn't. It is awful-- almost a deal breaker.</t>
  </si>
  <si>
    <t>86</t>
  </si>
  <si>
    <t>Check in was very hard not having a smart phone, took way to long just to get checked in. Old fashion ways are still very good.</t>
  </si>
  <si>
    <t>I was told to arrive 15 min early to check in for my appointment, but there was no one available to check me in. The Dr came out and got me. She was phenomenal. Great caring service. I only point out the check in because there were other vets waiting who werenâ€™t as lucky as me to have someone come and get me.</t>
  </si>
  <si>
    <t>Sam Rayburn Memorial Veterans Center</t>
  </si>
  <si>
    <t>First time visitors have no directory to refer to for locations of labs, or where to check in for which services.</t>
  </si>
  <si>
    <t>New check in, via text, did not work. Never received a return text for the check in link.</t>
  </si>
  <si>
    <t>Tompkins County VA Clinic</t>
  </si>
  <si>
    <t>Great, friendly staff. The doctor was very attentive and very understandable. He really cared about my concerns and was able to create a plan of action for me. Check in staff and support staff were also great!</t>
  </si>
  <si>
    <t>Lubbock VA Clinic</t>
  </si>
  <si>
    <t>I was able to check in without any problems. The person was very helpful and had me checked in in a very short time.
Within a few minutes, [NAME] called me in and treated me with complete respect, and was genuinely concerned about my wellbeing. She was able to diagnose my problem and convey that to the NP. He was able to proscribe the appropriate medication which helped my issues.</t>
  </si>
  <si>
    <t>Staff Attitude - Good,General Check-in - Good</t>
  </si>
  <si>
    <t>It is difficult, if not impossible to apply for or receive travel reimbursement.  This is a broken program.  It worked much better when we could apply at the kiosk.</t>
  </si>
  <si>
    <t>Jesse Brown Department of Veterans Affairs Medical Center</t>
  </si>
  <si>
    <t>I was unable to access the 4 kiosks that were available because they were inoperable. Maybe a sign should have been posted to inform veterans that they needed to go to the desks to check-in. The nurse was somewhat adversarial but that seems to be routine.</t>
  </si>
  <si>
    <t>Staff Attitude - Bad,Kiosk - Bad</t>
  </si>
  <si>
    <t>Northwest VA Clinic</t>
  </si>
  <si>
    <t>The layout of the waiting room and the way you check in for a doctor or lab is a bit awkward and not very streamlined. For example, you walk in and are told to "stand by the flag." The area eventually needs to be redesigned.</t>
  </si>
  <si>
    <t>Olin E. Teague Veterans' Center</t>
  </si>
  <si>
    <t>Check in for toe surgery. Lady behind the plastic partition was extremely rude. She was looking at a computer screen. She asked twice for a name and last 4. Since she wouldn't look at me I had to assume that she was on the phone with a wireless ear bud or ear piece or bluetooth device. The third time she asked, I asked if she was addressing me. She never looked at me - just that computer screen.</t>
  </si>
  <si>
    <t>I visited the Loma Linda Veteran Hospital to submit for health testing and the Dermatology clinic.  While I can say although I wanted for over forty five minutes for my Dermatology appointment; the provider and staff were fine.  It was in the Lab that I experienced very poor service.  There was only one individual other than myself seeking testing.  Since I hadn't check in electronically I was sen</t>
  </si>
  <si>
    <t>Staff Attitude - Bad,Wait time (arrival to check-out),Staff Attitude - Good</t>
  </si>
  <si>
    <t>Cedar Park VA Clinic</t>
  </si>
  <si>
    <t>29</t>
  </si>
  <si>
    <t>As always great experiences every time I go. With the check in staff and my doctors are all very helping and kind people</t>
  </si>
  <si>
    <t>Oceanside VA Clinic</t>
  </si>
  <si>
    <t>I arrived early at Urology, was checked in.  My appointment time came and went, another Vet who was waiting already, asked the check-in person how long he had to wait, it was was over 25 minutes.  35 min. after my appt. time, the check-in person said they would see me soon.  almost 45 min. after my appt. time, I was finally called in.  I was informed that they were behind due to double-booking.</t>
  </si>
  <si>
    <t>Anchorage VA Medical Center</t>
  </si>
  <si>
    <t>Was unable to check in
All kiosks are out of service 
Not a tech person so there still needs someone to check you in</t>
  </si>
  <si>
    <t>Eastern Baltimore County VA Clinic</t>
  </si>
  <si>
    <t>This isn't a big deal, but how I check in seems to change every time I go there.  The staff is always friendly and helpful.</t>
  </si>
  <si>
    <t>Heath care provider was not concerned about appointment time.  When I told the check in desk I was leaving after prolonged waiting, the provider was IM'd and appeared immediately. My time is important too.</t>
  </si>
  <si>
    <t>Tucson VA Medical Center</t>
  </si>
  <si>
    <t>I was 30 min early for my first appointment but was seen 30 mins after. Tech explained that there was an error in my check in and he was unaware I was there. I used the 'new &amp; improved' text message elogin.
I was 30 min early for my second appointment, was seen over a hour after my appointment. Found out I was one of 4 'overbooks'. The 4 of us were the ONLY people in the waiting room.</t>
  </si>
  <si>
    <t>Pittsburgh VA Medical Center-University Drive</t>
  </si>
  <si>
    <t>This complaint is about the 8th floor specialty unit check in (not the check in on the first floor). Only one check in attendant and a patient was taking a long time arguing at the window with this attendant. I and two other patients tried to use the cell phone check in which turned out to be out of order! You should have kept the old take a number system!</t>
  </si>
  <si>
    <t>Franklin VA Clinic</t>
  </si>
  <si>
    <t>I do not like the new check in and travel. My phone does not work with this new system.  Having to fill out paperwork for travel is time consuming.  It was easier and faster the other way.</t>
  </si>
  <si>
    <t>eCheck-in - Bad,Travel Pay - Bad</t>
  </si>
  <si>
    <t>Old Brownsville VA Clinic</t>
  </si>
  <si>
    <t>Front office personnel did not acknowledge me when I entered. After walking around looking for a kiosk to check in for my appointment and not finding one, I approached one of the clercks to check in for my appointment. First one I told that I had to check in she just told me the person next to her would do it and then the next person didn't even realize I was there till the first clerk told him.</t>
  </si>
  <si>
    <t>Being turned away by the dr for having a mild sore throat and runny nose to go get tested for covid was beyond frustrating. You have months long waitlist to see a Dr and the dr of the appointment comes around, you drive 45 min, check in at the front door, seen by the intake nurse then finally see your Dr only to be told you need to leave is absolutely wrong.</t>
  </si>
  <si>
    <t>Parma VA Clinic</t>
  </si>
  <si>
    <t>Quick, very polite upon check-in.  Lab procedure blood test went well, thanked me for my service</t>
  </si>
  <si>
    <t>Call center is terrible and unreliable. Check in is not working on time . Travel pay is not easy. Getting my medicine is terrible. Patient advocate never returns calls</t>
  </si>
  <si>
    <t>From the greeters at the door to the check in nurse that took my vitals and Mrs. [NAME] (provider) service was great and made me feel comfortable.</t>
  </si>
  <si>
    <t xml:space="preserve">	-I used the kiosk to check in for blood work.
-When I tried to checked into the eye clinic, no kiosk.  The 4 girls ignored me at first.  Told them what I needed, then she told me I need to use my smartphone.  Not a problem, but have never been told this.  I will check you in this time, but next time you need to do online.  I ask how.  She gave me a QR code card that took me to travel pay.</t>
  </si>
  <si>
    <t>Wilson and Young Medal of Honor VA Clinic</t>
  </si>
  <si>
    <t>Bring back the check in kiosks due to poor cell service in the building.  Are give us Wi-Fi so we can use the phone app to check in.</t>
  </si>
  <si>
    <t>Portland VA Clinic</t>
  </si>
  <si>
    <t>Excellent service from start to finish: greeters, check-in kiosk working, nurse or tech was fast and efficient - blood draw pain free.  Doctor visit efficient.</t>
  </si>
  <si>
    <t>Chula Vista VA Clinic</t>
  </si>
  <si>
    <t>Check-in receptionist greeted me and informed me on my next steps. James was professional and explained what he was doing and listened. Dr. [NAME] was thorough and listened to my medical concerns. She asked probing questions and also provided additional information to further promote healthy lifestyle such as online yoga classes. Overall a good experience.</t>
  </si>
  <si>
    <t>I donâ€™t like being forced to use my personal phone to check in.  I donâ€™t like the assumption everyone has a cell phone.  Keep the check in kiosk or have the front desk check everyone in</t>
  </si>
  <si>
    <t>Seattle VA Medical Center</t>
  </si>
  <si>
    <t>Very much appreciated the fact that one of the check-in personnel came out to the waiting area to explain the reason for a delay in processing patients and was very apologetic about the situation.  He also offered patients waiting the option to leave the area if they felt they needed to take care of other VA hospital appointments/commitments.  Very well done!</t>
  </si>
  <si>
    <t>West Haven VA Medical Center</t>
  </si>
  <si>
    <t>All CT VA facilities have been very good to me through all of my contact with them. My recommendation is concerning the Quest diagnostics partner. 
Check in Kiosks basically do not work. Several other Veterans were at the Mansfield location and could not get the Kiosk to work. I was able to reset the Kiosk by pressing a help icon and this summoned a technician but did not fix the scanning issue.</t>
  </si>
  <si>
    <t>Raymond G. Murphy Department of Veterans Affairs Medical Center</t>
  </si>
  <si>
    <t>The young clerk at check in very rude, short and not helpful at all!  Absolutely no customer service training or respect for his elders!  Upon leaving went to second floor ton ENT. Dept. as explained by nurse to make appointment and encountered the same disrespect rudeness from that clerk!  I realize they are govt. employees and feel the are exempt from scrutiny but they still should show respect.</t>
  </si>
  <si>
    <t>Check in and staff was excellent could not ask for better</t>
  </si>
  <si>
    <t>Fort Pierce VA Clinic</t>
  </si>
  <si>
    <t>The check-in was great and the lab technician was excellent.</t>
  </si>
  <si>
    <t>The front check in desk at labs and the phlabotomist  waa awesome and very kind.</t>
  </si>
  <si>
    <t>I AM A VETERAN SERVED BY THE MOUNT VERNON VA CLINIC.  I CONTINUE TO BE GRATEFUL, THANKFUL FOR THE MANY SERVICES I BENEFIT FROM WITHIN THE VA CLINIC/HOSPITAL.  ALL STAFF, FROM CHECK IN TO THE PROFESSIONALS TREATING ME ARE EXCEPTIONAL.  
THANK YOU!
[NAME]</t>
  </si>
  <si>
    <t>Tupelo VA Clinic</t>
  </si>
  <si>
    <t>overall my visit with tupelo Va clinic is always a great experience ,they treat their patients with upmost respect ,I'm glad that they are close by to check in on their patients .They are willing to go the extra mile to see the needs of their patients .Great job Tupelo VA Clinic .</t>
  </si>
  <si>
    <t>My experience today, 9/20/22, at the VA Mental Health Clinic (1st floor, Main bldg.) was demeaning.  At 12:15 p.m. I checked in with a receptionist in the MHC for my preschedule 2:00 p.m. appointment.  After eating lunch, I came back to the MHC at 1:35 p.m., verified my check-in, and sat in the waiting room until 2:22 p.m.  No one called me.  I had to ask and then wait for 7 more minutes.</t>
  </si>
  <si>
    <t>Easy check in and quick lab service. Great staff person!</t>
  </si>
  <si>
    <t>General Check-in - Good,Staff Attitude - Good</t>
  </si>
  <si>
    <t>We could not check in with the app because we didnâ€™t have an appointment. We were just told by Asheville VA to go by and get blood drawn for an upcoming appointment at the Asheville VA. No one at any windows wanted to help us except [NAME]. He was extremely nice, figured out what we needed to do and got us checked in. He is a credit to the clinic!</t>
  </si>
  <si>
    <t>Check in went well with initial contact (vitals,HPI) considering the number of patients. Labs and CAT scan timely. My concern is that during extremely busy times, and expecting delays with diagnosis and treatment that for me was 8 hours, the VA should provide: a way  patients can receive/buy some food (8 hours is a long time to go without food and drink) and blankets in the Triage unit. I froze.</t>
  </si>
  <si>
    <t>Oscar G. Johnson Department of Veterans Affairs Medical Facility</t>
  </si>
  <si>
    <t>The automated check in service wood not let me check in to my second appointment when they were one after another Y</t>
  </si>
  <si>
    <t>Check in gentleman very helpful and efficient</t>
  </si>
  <si>
    <t>David J. Thatcher VA Clinic</t>
  </si>
  <si>
    <t>I get text reminders about my appointment. Today a new feature of including a link so I can pre-check in was provided and I clicked on it. It didn't work. I did it again and ended up completing the dang thing 4 times and THEN it told me pre check in could not be completed.  If the link is broken, don't include it in anybody's texts or emails.</t>
  </si>
  <si>
    <t>Springfield VA Clinic</t>
  </si>
  <si>
    <t>The VA staff at Springfield arevery helpful and tries to meet your needs as best I can. The one change that I see that concerning to many veterans today I heard from or talked to is the stopping of the kiosk to turn in travel but hopefully the new method will be easy to navigate through</t>
  </si>
  <si>
    <t>Kiosk - Good,Staff Attitude - Good</t>
  </si>
  <si>
    <t>What the point you donâ€™t do anything about it.  Itâ€™s all about you looking good for the public.  You refuse to provide internet so we can check in using the QR Code.</t>
  </si>
  <si>
    <t>Hello, I recommend that the Government makes 2 fewer missles next year, and build the Sebring VA Clinic team a permanent facility... ala Melbourne, Brevard County which also grew too big, big meaning # of patients. For me, check-in to check-out in Sebring has been represented by individuals the VA medical division can be proud of... An A+ earned with me for many years, and I couldn't be happier...</t>
  </si>
  <si>
    <t>The check in should be attached to the response to "HERE" , there are still too many hoops to dive through in order to get travel pay.</t>
  </si>
  <si>
    <t>Shavano Park VA Clinic</t>
  </si>
  <si>
    <t>When I first walked in, the covid test desk was able to point me in the right direction, but I wish there was a clear sign that said where to go to check in for the first time. I was confused when I got in there and so were others. Other then that, no complaints.</t>
  </si>
  <si>
    <t>Loma Linda VA Clinic</t>
  </si>
  <si>
    <t>Nd to go back to kiosk for check in and travel pay.  More effecient less time.  To many issues with travel payand it make me work to get paid.  Older vets cant do system.</t>
  </si>
  <si>
    <t>eCheck-in - Bad,Kiosk - Good,Travel Pay - Bad</t>
  </si>
  <si>
    <t>My family and I were treated with respect and dignity from check in at the VA parking garage to the staff that checks your temperature at the front entrance to all of the ER staff then to shopping in the retail store and dining in the luncheonette and all of the medical staff.  Everyone at the VA were always on the go, we never saw them sit down, they were all dedicated to the patients.</t>
  </si>
  <si>
    <t>Very Nice facility. Very professional people when you check in and when you see the doctors.</t>
  </si>
  <si>
    <t>Lawton VA Clinic</t>
  </si>
  <si>
    <t>By taking away the kiosk stations itâ€™s hard to self check in and to get travel pay.  I have gone on the website to file my travel and it will not let me fill out the dates and times.</t>
  </si>
  <si>
    <t>Kiosk - Good,Travel Pay - Bad</t>
  </si>
  <si>
    <t>Nonconnah Boulevard VA Clinic</t>
  </si>
  <si>
    <t>I had an appointment on Friday, September 16 at the eye clinic at Nonconnah and the doctor said he wanted to see me again on Monday, September 19th. I told him 1100 was a good time again. He said he would tell the front desk. When I arrived to check in on September 19th, I was asked if I had an appointment. I explained to the lady what the doctor had told me on Friday. She was rude to me.</t>
  </si>
  <si>
    <t>Brownsburg VA Clinic</t>
  </si>
  <si>
    <t>The new clinic was very easy to check in and locate the department I was interested in. I used to go the Indpls. clinic but will now start using the Brownsburg location. Good job and thanks for all the employees.</t>
  </si>
  <si>
    <t>Michael E. DeBakey Department of Veterans Affairs Medical Center</t>
  </si>
  <si>
    <t>Eye Clinic - Receptionist at front check-in desk was wearing her mask underneath her chin for the entire time I was in the front waiting room.  She is tall, black, very short hair and appeared to be the one in charge of the other receptionists.  Wearing a mask underneath the chin is the same as refusing to wear a mask.  Two other receptionists at the front desk were wearing their masks correctly.</t>
  </si>
  <si>
    <t>2022-10-02</t>
  </si>
  <si>
    <t>From the check in to the checkout I felt very comfortable and respected. The only thing that I could complain about is that other Bettendorf do not follow what the sign tells them as far as get in the checkout / check in line after they are done with their visit and they just go and stand at the 1st desk. But that isnâ€™t a bad issue that is a veteran not following the signs problem</t>
  </si>
  <si>
    <t>My recent visit was a surgical procedure.  Every step from checkin to post OP care was handled professionally.  The nurses were fantastic in their attention to my care and comfort.</t>
  </si>
  <si>
    <t>St. Clair County VA Clinic</t>
  </si>
  <si>
    <t>There has recently been a change to to the check in procedures from a kiosk to smartphone, with a true "gatekeeper" at the entrance that prevented access until app was used.  This last time the "gatekeeper" was absent with no instruction as to what to do upon entry.  It was confusing and demonstrated that the "gatekeeper" was truly unnecessary in the first place.  Recommend reduction in force.</t>
  </si>
  <si>
    <t>It is getting more and more difficult to do simple things like check in to appointments. Itâ€™s almost impossible to apply for travel pay. I had multiple MRIâ€™s done on my back 8-10 months ago and I still canâ€™t get anyone to give me the results or get a follow up appointment. I just have to live with the pain every day without being given any options!</t>
  </si>
  <si>
    <t>Mountain Home VA Clinic</t>
  </si>
  <si>
    <t>I am always treated with respect for any service I need.  I wish VA would bring the kiosk back so I can do my travel pay.  I refuse to do it online because of mental health appointments that I would have to call someone else to release so I can ask for my travel pay.  So I fill out a form which is no problem but the kiosk would make it so much better for myself, others, and the staff.</t>
  </si>
  <si>
    <t>Attending the V.A. for all my appointments is a wonderful experience. All the entire staff  from checking in at the Kiosk or front desk, to meeting with medical specialists or my Provider definitely listen and is willing to answer all my questions or concerns. ðŸ¤—</t>
  </si>
  <si>
    <t>St. Cloud VA Medical Center</t>
  </si>
  <si>
    <t>From check-In to the preparation with the nurses and then the actual procedure, every staff member was caring, polite and kind toward me. I felt well-cared for and respected.</t>
  </si>
  <si>
    <t>Put back, or also allow, the card reader check-in!!</t>
  </si>
  <si>
    <t>the staff at the check in counter are always caring and helpful, very professional.</t>
  </si>
  <si>
    <t>Sarah @ check in/scheduling is exceptional in all areas. Amazing!! 
Technicians were fabulous. 
Calkins road location is wonderful to navigate through. 
Parking is great &amp; easy. 
Overall an excellent experience! 
Thanks</t>
  </si>
  <si>
    <t>Always professional and courteous care by all.
Was somewhat disappointed in that the kiosk has been removed in favor of smart phone check-in and mileage reimbursement since I am not tech savvy.</t>
  </si>
  <si>
    <t>Goose Creek VA Clinic</t>
  </si>
  <si>
    <t>Fix your check-in procedure. Every time you use the automated system it asks the same questions over and over and over again. Please streamline VA</t>
  </si>
  <si>
    <t>The staff from when you check in to the services you receive continue to be outstanding and the Huntingdon VA out clinic. They treat you with respect &amp; courtesy every time I visit.</t>
  </si>
  <si>
    <t>2022-10-01</t>
  </si>
  <si>
    <t>If patients are coming in until 5pm, there needs to be someone at the front information desk and someone at the check in desk until after that time. When I arrived at the specialty clinic area, there wasn't anyone at the check-in desk. To make it worse, there was a sign on the wall that said to check in on the kiosk and then a sign on the kiosk that said not to use it for check in. Seriously?!?</t>
  </si>
  <si>
    <t>Checking in with cell phone is a pain in the ass, especially when the standard kiosk is in place but taped over. There was no one at any of the windows to help. It took several attempts for me to check in with my phone. If I hadnâ€™t had one I wouldnâ€™t have been able to check in.</t>
  </si>
  <si>
    <t>Lake County VA Clinic</t>
  </si>
  <si>
    <t>Need to work on check in process, I checked in and had to wait over an hour after check in. Went to check in desk twice to get explaination.</t>
  </si>
  <si>
    <t>why the change of not having the checkin kiosk?</t>
  </si>
  <si>
    <t>I felt the receptionist was a little to unconcerned about the check in process I stood a sometime waiting to show my Va card while she was did other things almost as if I wasnâ€™t there.</t>
  </si>
  <si>
    <t>Hamilton VA Clinic</t>
  </si>
  <si>
    <t>The check in staff is always great. Very respectful and considerate. Same with my nurse, [NAME], this was the first time having her, she was also great.</t>
  </si>
  <si>
    <t>Staff was helpful and informative on check in nurse and Doctor were very informative and thorough. I was very impressed for my first visit in 45 years.</t>
  </si>
  <si>
    <t>I do not care for the new way of checking in I much prefer the kiosk</t>
  </si>
  <si>
    <t>I don't like the new check in system. I would like to see the kiosks come back. Also the travel reinbursment system sucks! Bring back the kiosk please..</t>
  </si>
  <si>
    <t>I sat in the room waiting for the pain Dr appt in Ann Arbor for over a half hour. I went out to check and the girl told me she did not know I was even there. And I did check in when I got there at the check in  they put in a call to the Dr and a different one showed up 15 minutes later if I hadnâ€™t driven 60 miles to get there I would have left</t>
  </si>
  <si>
    <t>Leeward Oahu VA Clinic</t>
  </si>
  <si>
    <t>Pls giver the vet an estimated wait time when they check in and the option to wait out of doors if it will be likely more 5 mins after scheduled appt. time.  the front dest could then send a txt and the vet could be back upstairs in less than 5 minutes.</t>
  </si>
  <si>
    <t>Both the technician and the nurse offered additional resources for me to check into to help me navigate issues dealing with my wife's Alzheimers. I was very grateful.</t>
  </si>
  <si>
    <t>Your new check in system is not very efficient I had to fill out a mileage form separate from checking in. Plus I had to go through two different checking because I arrived 1/2 hour early.</t>
  </si>
  <si>
    <t>Clinics changing systems reguarding travel pay and couldn't check in at kiosk anymore was confusing and caused me to be late.  the clinic I went to was an hour behind.</t>
  </si>
  <si>
    <t>Northeast Las Vegas VA Clinic</t>
  </si>
  <si>
    <t>My Primary care Dr. [NAME] nurse, whose name I do not know . Who is a filipina was outstandingly professional in doing her duties , she listened to my concerns about my health and noted these concerns on the check-in sheet the doctor looks at when he &amp; I  are in the examination room. She deserves a promotion .</t>
  </si>
  <si>
    <t>Thomas E. Creek Department of Veterans Affairs Medical Center</t>
  </si>
  <si>
    <t>Firstly, my video visit with my primary was canceled because I was notified that labs needed to be done for this one . Suggestion.. add (labs needed on all the notifications) thanks 
Secondly, do something with check inâ€™s and travel pay . I have watched veterans walk out because the cannot do the phone check in . I have personally tried to get my travel for months to no avail. Itâ€™s way over comp!</t>
  </si>
  <si>
    <t>When I checked in at the dental clinic I asked the young lady at the window if I could check in and she was very unpleasant borderline rude. At first did not want to talk as she had her back to the window talking to another individual, social conversation. After a few minutes turned around and I asked what I needed to do and she â€œcanâ€™t you see the kioskâ€ and turned around.</t>
  </si>
  <si>
    <t>The reception/check in area was so crowded. Patients waiting have stand against the wall.</t>
  </si>
  <si>
    <t>Check in used to be easy at the Kiosk.
You eliminated them and now you have us going to the clerk at the window,
and fill out a form.   I love the medical, but am extremely distressed by
your irresponsible, wasteful, general management, and IT  management team. 
Your managers should try signing in for Travel Reimbursement .
Yes, give it a try. Us older Vets could weave through the Kiosk, no more !</t>
  </si>
  <si>
    <t>Rochester Clinton Crossings VA Clinic</t>
  </si>
  <si>
    <t>Treated just fine from check-in thru check-out.</t>
  </si>
  <si>
    <t>Knox West VA Clinic</t>
  </si>
  <si>
    <t>Have always been treated well at any facility I've been to.From check-in to checkout and nurse and doctor in between.</t>
  </si>
  <si>
    <t>Outstanding Physical Therapy Department!  My initial appointment was very thorough with the female Physical Therapist (sorry, I forgot her name). The subsequent appointments were done by Mr. [NAME] who was very respectful and thorough. The crew makes the VA Medical team shine like a star. I forgot to mention, the folks at the check in desk were also top notch! Well done!</t>
  </si>
  <si>
    <t>It would be a great idea to add this following line to the Check In machines:
Remember To Take your  VA ID Card</t>
  </si>
  <si>
    <t>I have always had good experience with Syracuse va !,!my only gripe is I qualify go travel pay used to be simple get on this computer thing out in the hall fill in the details done got a check in the mail cost me around 50 bucks to drive there and back !! Need to learn how to work the system !,! Could use some help with that !,!!</t>
  </si>
  <si>
    <t>It was difficult to find my way around, since the paperwork gave the wrong office to check in and I had never been there before. However, the staff was amazing and so very helpful in assisting me. They explained things well and even escorted me around to where I needed to go. I was very appreciative of their time they spent making me feel welcome and valued.</t>
  </si>
  <si>
    <t>The check in and getting travel compensation are very hard to use. I have yet be able to get to travel section and complete a request.</t>
  </si>
  <si>
    <t>Check in quick, and easy. Staff very people friendly. Thanks for your service ðŸ‘</t>
  </si>
  <si>
    <t>Gloucester County VA Clinic</t>
  </si>
  <si>
    <t>Please update the check in machine.</t>
  </si>
  <si>
    <t>I was very impressed with the RMRVA. My doctor and nurses were very nice and professional. From check in to check out everyone was very nice.</t>
  </si>
  <si>
    <t>I donâ€™t understand why you did away with the KIOSK, it made checking in a disaster. Long lines, many vets donâ€™t have cell phones.  BRING BACK THE KIOSK</t>
  </si>
  <si>
    <t>Check in was very easy with the desk person using my id card.  The Lab tech was right on time and the procedure went off without a hitch.  She was very efficient.</t>
  </si>
  <si>
    <t>I am completely satisfied with the medical treatment I receive at this facility.  And the staff is always polite and helpful with the exception of an occasional check-in personnel.</t>
  </si>
  <si>
    <t>South Hillsborough VA Clinic</t>
  </si>
  <si>
    <t>Better sign in procedure, I had labs and Dr appt back to back, didn't know if I had to check-in at both locations</t>
  </si>
  <si>
    <t>Recommendation is to in place a kiosk machine for check in and travel reimbursement purposes as well as updating the physical address of the Moorehead VA clinic as it has the old location still on the letter sent to the patient and google which made it difficult to find the new location.</t>
  </si>
  <si>
    <t>Viera VA Clinic</t>
  </si>
  <si>
    <t>last appt. was confirmed yet i waited for over a half hr. to learn i somehow was not on the drs. schedule and i had another appt. that did not allow for being late. she saw me VERY briefly after i insisted. i get constant reminders of my appt. when i check in, it's noted. its a shame you can't automatically notify the dr. clerk can't notify dr.? only make appt.?</t>
  </si>
  <si>
    <t>Since I had time to kill, I got to the check in way early. 40 minutes. I like to people watch, but this wasn't a problem for me. Now get this. I didn't get to people watch because the technician called me within FIVE MINUTES. WOW.
One last item. I always try to go to this lab because the techs are excellent. I was an AF Medic in the VN War but I hate needles into me and I make sure they know it.</t>
  </si>
  <si>
    <t>Wilmington VA Clinic</t>
  </si>
  <si>
    <t>You ONLY send me surveys about the Audiology appointments. They always go well. My doctor [NAME] CRNP has notified the VA prescription service several times to stop charging me for a prescription that I don't even take. I had my doctor change all my prescriptions to Walmart. I WILL NOT pay the $15 for this medicine. Check into that! No more Audiology surveys. Mark Smith 511622749</t>
  </si>
  <si>
    <t>Hollywood VA Clinic</t>
  </si>
  <si>
    <t>I was handled with respect and professional care. Check in was easy and a short wait time. The technicians were polite and courteous. The lab work was speedy and I received a pneumonia shot. 
I visited with my doctor and several tests were being ordered and my prescriptions were renewed. A really successful visit.</t>
  </si>
  <si>
    <t>James H. Quillen Department of Veterans Affairs Medical Center</t>
  </si>
  <si>
    <t>Dr. [NAME] and the staff were excellent in taking care of me.  The check in and review staff as well were very carrying and professional.</t>
  </si>
  <si>
    <t>North Pinellas VA Clinic</t>
  </si>
  <si>
    <t>The entire team from check-in to lab work provide a very caring, settling and professional experience. Thank you for caring.</t>
  </si>
  <si>
    <t>I feel that the removal of the automatic check in with my VA card creates issues both for the client, me, and especially, the staff.  Compliments to [NAME] for helping me check in.</t>
  </si>
  <si>
    <t>Worcester VA Clinic</t>
  </si>
  <si>
    <t>My experience at the Worcester VA Clinic was outstanding. From being warmly greeted at the door and provided cheerful directions to check in, to having been received by the nurse taking my vital signs, and of course, my Dr and student observer, was exceptional. I left in a great mood and in a positive state of mind. Thank you!</t>
  </si>
  <si>
    <t>Prestonsburg VA Clinic</t>
  </si>
  <si>
    <t>Anyone who is sitting in waiting area can hear why you are there when you check in. Everytime someone checks in everybody looks up and sees who it is, I know iâ€™ve do it to. Their is no privacy.</t>
  </si>
  <si>
    <t>I want to thank Dr. [NAME] and all the staff at the Tomball VA as well as the Pharmacy Staff. The care and service I obtain from them is always first class and professional and caring. Even the Check-in folks and Operators are courteous and friendly to me. It is good to see them smile when I walk up to the window.</t>
  </si>
  <si>
    <t>The nurse I spoke to on the VA Advice Line, told me to go to the Emergency Room.  I was dreading going because itâ€™s a long drive (30 min) and I was afraid I would have to wait for hours to be seen.  But, I had a wonderful experience!!!  Check-in, triage, visit with NP Greenawalt, and prescription pick-up at pharmacy in under 2 hrs!!!!  And, prescribed treatment has been effective!!!</t>
  </si>
  <si>
    <t>I have used a number of VA Clinics in various states and Franklin, NC is the absolute best. In every way from check-in to medical personnel and to check-out I rate this an A+ experience. Thank you all for YOUR service to us.</t>
  </si>
  <si>
    <t>Chattanooga VA Clinic</t>
  </si>
  <si>
    <t>Make it easier to check in to appointments.</t>
  </si>
  <si>
    <t>Wakeman VA Clinic</t>
  </si>
  <si>
    <t>We were warmly welcome at the check in office and [NAME] would be with us shortly. She picked us up on time, explained what she was doing fixing the hearing aids, she was very professional and very polite! Our only problem was it was very difficult to find the office even after she had given us great directions but after a call to the office we found it!</t>
  </si>
  <si>
    <t>My whole experience during my previous appointment was nothing but pure satisfaction. The 3 people I made contact with as a arrived from the guards, the check-in desk person and the lady who examined my eyes made my the day at the chula vista VA clinic so much at ease..they're all very respectful and knowledgeable with respective profession. Thank you!!!</t>
  </si>
  <si>
    <t>2022-09-30</t>
  </si>
  <si>
    <t>My check up with VA on September 29 was completely wonderful! The lab for the fasting blood draw was fabulousâ€¦.quick and painless!! The gold team check-in was smooth and the nurse who prepped me for my Dr visit was efficient and kind! Dr [NAME] has always been thorough and  professional! I am totally satisfied with the care I have received at this VAâ€¦.awesome job everyone, well done!!</t>
  </si>
  <si>
    <t>The new QR code check in process is highly impersonal.   I understand how to use it, but saw several older veterans struggle to understand what they had to do.</t>
  </si>
  <si>
    <t>Portland VA Medical Center</t>
  </si>
  <si>
    <t>Check in staff did not seem happy to be there.</t>
  </si>
  <si>
    <t>Keene VA Clinic</t>
  </si>
  <si>
    <t>Checked in on kiosk like the sign indicated at 9:45 am appointment was at 10:00 waited 45 minutes to be seen then accused of being late to appointment by technician no one checked to busy talking to each other</t>
  </si>
  <si>
    <t>It would have nice to know where India check in was. I walked around the entire downstairs searching for it. I stopped and asked where it was and then told it was upstairs. I didnâ€™t even know that. I walked with a cane and I could have used my rolater.</t>
  </si>
  <si>
    <t>Mobile VA Clinic</t>
  </si>
  <si>
    <t>I saw two providers on 9/27/2022, Dr. [NAME] and [NAME]. Both providers and staff treated me like a valued patient. At check in, the lady (sorry I didn't get her name) realized I was not accustomed to using a wheel chair and she graciously offered to assist me upstairs for my appointment.  I find the entire staff at the clinic is mindful of those with disabilities and so very willing to help.</t>
  </si>
  <si>
    <t>The flu shot team doesn't have same information as the check-in team.</t>
  </si>
  <si>
    <t>I want to let you know that my appointment to the optical department was made so much better because I was taken care of so professionally by my optical specialist [NAME]. She treated me with a friendly smile and attitude even though I had waited for over an hour because my check in access number got misrouted. She went the extra mile to make me feel cared for. Thank you [NAME].</t>
  </si>
  <si>
    <t>During my visit to the Primary Care front check in desk, only one out of three VA employees were wearing mask.  This is inexcusableâ€”the VA Anchorage Clinic requires masks.  Every Veteran had on a mask or was asked to put on a mask, but I guess the Primary Care Check in desk staff is not required to adhere to the VA requirementsâ€”what a disgrace to the actual Veterans.  Do as I sayâ€”not as I do!</t>
  </si>
  <si>
    <t>Most of the check in computers were not working</t>
  </si>
  <si>
    <t>Carl Vinson Veterans' Administration Medical Center</t>
  </si>
  <si>
    <t>Friendly staff. A Passing  nurse took me to my appointment location.Check-in attendant very pleasant.</t>
  </si>
  <si>
    <t>Could not check in using temporary system. Had to find someone to ask where to go to check in. Doctor explained to me that they were having trouble with temporary system and the they are getting s totally new system. Hoping new system works.</t>
  </si>
  <si>
    <t>When I arrived the normal system of scanning ID cards to check in was removed. The new system (scan a QR code) did not yet work. There was a lot of confusion, with the new system, especially because the QR link led to a â€œthis system is not active at your locationâ€ message. Still the staff told EACH person to scan the code!  Would have been so hard to say â€œour system is down, let me check you in.â€</t>
  </si>
  <si>
    <t>The machines were not working to check in and was standing around looking lost and waiting for 4 people behind their computers  to ask if I needed help, I walked back and forth until I asked if I can check in.</t>
  </si>
  <si>
    <t>New Albany VA Clinic</t>
  </si>
  <si>
    <t>Great crew all three of them very professional answered all questions and basically told me most of the information without having to ask.
The check in station up front is always a friendly place to check in</t>
  </si>
  <si>
    <t>Check in kiosk gone. Long complicated process to request travel  pay.</t>
  </si>
  <si>
    <t>The admin staff in Cardio and Audio are awesome.  They really make the check-in/appointment process easy.</t>
  </si>
  <si>
    <t>This was my first experience visiting the site and I was very pleased with the check-in process.  I was very impressed with the quality of service I received.  I am still learning about some of the services available and what the process is for follow-up from other resources recommended from my primary provider.</t>
  </si>
  <si>
    <t>I wish they would use all their Kiosk in VA!  Was much easier!  Old and disabled have harder time to fill out paper work and put in box!  No pen available at area!</t>
  </si>
  <si>
    <t>It would be helpful not to make your patients set in the waiting room for an hour after  Check in If I would have showed up an hour late They would have canceled my appointment. 2 point appointments In 3 days and the exact same thing happened an hour before I seen my regular appointment</t>
  </si>
  <si>
    <t>I was informed by my nurse practitioner that I would be put in for some X-rays. When I told the front desk this after my appointment, they looked up my info and told me to check in at X-ray. After waiting 40 minutes (with no one ahead of me) the tech told me I had no appointment there and turned me away.</t>
  </si>
  <si>
    <t>Please address the HIPAA violations at check in. I should not have to shout the last 4 of SSN and address through a mask and plastic window.</t>
  </si>
  <si>
    <t>Rutherford County VA Clinic</t>
  </si>
  <si>
    <t>I was first to check in but the lab did not know about my checkin. After they took 4 they decided to ask me if I was there for labs.</t>
  </si>
  <si>
    <t>Boise VA Medical Center</t>
  </si>
  <si>
    <t>The check in kiosk didn't work the blind. No earplug jack, The front desk did not recognize I am blind. My PCM didn't renew the same eye drop prescription but ordered a different eye drop. I require refresh drops with NO preservatives in the single use vials. She still ordered wrong. Recommend, blind sensitivity training to all Boise VAMC staff, and PCM's to check with eye doctors for eye meds.</t>
  </si>
  <si>
    <t>Palo Alto VA Medical Center</t>
  </si>
  <si>
    <t>Person at the Dr's check in desk was a bit rude. Friendly with those she knew. When we asked questions, surprised how dismissive she was. Before I could finish a question, she interrupted me. I said, hold on a few times, repeated my questions, only to have her not respond asking me to wait/hold on until she was ready. Tell her to be patient. Hard to hear though plexi glass and masks.</t>
  </si>
  <si>
    <t>Iâ€™ve  visited Knoxville, TN VA Clinic and the checking process was much more simple. There were kiosks where I simply scanned my card and then checked in from the kioskâ€¦as opposed to checking in with a clerk. Much more streamlined.</t>
  </si>
  <si>
    <t>Cheyenne VA Medical Center</t>
  </si>
  <si>
    <t>I spent nearly 1.5 hours in the pharmacy waiting area, waiting for my medications. Over 10 people were there AFTER me and received their meds before me! I finally got fed up and asked why my meds weren't ready when she had told me that they were all ready and waiting for me on my initial check-in with her.
That is when the gentleman who was handing out the meds said he found them within 10 secs!</t>
  </si>
  <si>
    <t>Everyone was very nice and professional. From check in to vital signs to the physician. Enjoyable experience.</t>
  </si>
  <si>
    <t>New Orleans VA Medical Center</t>
  </si>
  <si>
    <t>Occasionally front desk personnel ( at different areas where you check in for test ) can be a little abrupt, often, some are on cell phones or texting.</t>
  </si>
  <si>
    <t>Check-in was quick and the wait was 5-6 minutes, The CT scan was done in less than 10 minutes and I was done. Bravo, 5 Stars</t>
  </si>
  <si>
    <t>I had to wait over an hour to get my prescription and check in three times with three different personnel. I was blamed twice that the long wait was my fault for not checking in, when I had...three times. This was next level customer dissatisfaction and mistreatment.</t>
  </si>
  <si>
    <t>Bring back the kioskâ€™sâ€¦â€¦â€¦..they were very useful and helped reduce having to check in with the service desk.</t>
  </si>
  <si>
    <t>Jennifer Moreno Department of Veterans Affairs Medical Center</t>
  </si>
  <si>
    <t>31</t>
  </si>
  <si>
    <t>I missed a phone call from the VA office. They left me a voice mail stating that I need to get labs drawn and that they will put in the labs required. The next day I went to the facility to get my blood drawn and they said there's no labs for me. I went up to my zone and said there's no labs for me. The person at the kiosk said that I was the 3rd person that day that needed labs put in manually.</t>
  </si>
  <si>
    <t>The check in machine got moved in one corner next to the exit door which is safety or will be crowded if people lining up to check in and patients going in and out of the X-ray exit.  Move the machine where it was before like some clinics are located at the front which is very convenient.</t>
  </si>
  <si>
    <t>Getting an appt has been easy; check in for the appt has been less than great.  Used to be check in on 2nd flr, then it became use the kiosks.  For COVID it was screen at entrance and check in just inside; then it was check in at clinic (worst experience of all); then this time it was check in at 2nd floor again.  Kiosks say check in with smart phone. Don't have a smart phone!</t>
  </si>
  <si>
    <t>The new check in QR with cell phone is a disaster. Most of us old Vets don't know how to use our cell phones let alone do a QR code. I had to give up even with help from some one who was there to show me how.</t>
  </si>
  <si>
    <t>Eurípides Rubio Department of Veterans Affairs Outpatient Clinic</t>
  </si>
  <si>
    <t>Laboratory appointments should be strictly attended by the time scheduled. For example: Many patients are in the block of a different hour later and check in too early.</t>
  </si>
  <si>
    <t>Excellent service from check-in to procedure. I got the results back promptly. No problems were found, fortunately.</t>
  </si>
  <si>
    <t>Should not have gotten rid of the kiosk machine.</t>
  </si>
  <si>
    <t>The check-in procedure had changed from my last year's visit.  There was no sinage or info upon entering, and I was confused until the attendant approached me.</t>
  </si>
  <si>
    <t>I noticed more helpful clerks at the checkin windows!!
They would ask me up asap and checked me in with a smile.
When I finished my 1st appt, I checked if I could go 45 min early to my 2nd appt, and they took me right in!! 
I then went down to the MRI/Xray area and asked if I had a Dr. Note for an MRI, and she said yes! When would I like to come in, morning or afternoon?
So I made my appt. very qk</t>
  </si>
  <si>
    <t>Since the Dr. ordered my prescription while I was at the hospital, I wasn't sure if I needed to stand in the check in line at the pharmacy, or if I should get in the pick up line. It wasn't clear what I should do once I arrived there.</t>
  </si>
  <si>
    <t>Major General William H. Gourley VA-DoD Outpatient Clinic</t>
  </si>
  <si>
    <t>With no kiosk, it was difficult to check in thinking the front was still volunteering. But once their they were helpful.</t>
  </si>
  <si>
    <t>I always get the Best care at the Wilmington De VA.  From check in to check out
  [NAME] the nurse is the BEST.  So caring and Knowledgeable.  Dr. [NAME] my PCP is so thorough and caring as well.  Thank you VA for the Excellent Care
  Also, when the VA calls me to schedule an exam they are very accommodating.
   Community Care is also very caring and helpful.</t>
  </si>
  <si>
    <t>The entire team, during my recent visit, was very professional, knowledgeable and polite.  The check in and our process was smooth.</t>
  </si>
  <si>
    <t>They took out all the kiosk machine an it made it a horrible experience</t>
  </si>
  <si>
    <t>I noticed that the check in and travel protocol has changedâ€¦..have to get used to it but the travel reimbursement seemed complicated</t>
  </si>
  <si>
    <t>There is a new way to check in using a QR code. I was able to follow instructions and have the type of mobile phone that facilitates this method. However, I experienced two other Veterans not be able to use that method with one being so frustrated thatâ€™s she left the office and cancelled her appt. 
There was an option to check in with a person, however, the employees guided veterans to the QR</t>
  </si>
  <si>
    <t>Dalton Drive VA Clinic</t>
  </si>
  <si>
    <t>Everyone was amazing, from my check in to the dental hygienist (which I just love) helped make my experience wonderful!</t>
  </si>
  <si>
    <t>I contacted the team regarding the Flu vaccination. I went for a walk w/o phone or watch and returned to a voicemail from the Primary Care team. A secure message was also sent. We scheduled for 0800 the next day.
I arrived at 0730 to check in and the nurse came out in 5 minutes. The Flu vaccination was received and all was great. Left before scheduled 0800 appt.
Thanks.</t>
  </si>
  <si>
    <t>Hot Springs VA Clinic</t>
  </si>
  <si>
    <t>Service overall is getting better check in ladies still need improving.</t>
  </si>
  <si>
    <t>New check in procedure Via cell phone..but no cell service inside the hospital.  Went out side, got the message I was early so try again later...I tried again and was informed I did not have an appointment. So there us a glitch in the system.</t>
  </si>
  <si>
    <t>Fargo VA Medical Center</t>
  </si>
  <si>
    <t>The people from the time I got into the area to check in tell I left was vary outstanding.  They advised me one some things what to do for my health more then I expected.</t>
  </si>
  <si>
    <t>Dothan 2 VA Clinic</t>
  </si>
  <si>
    <t>I was treated very well with the upmost professionalism and genuine concern and care.  The entire staff from the security at the door to the very helpful young lady at the check-in desk to the lab tech and nursing team.  Thank you all so very much!!!</t>
  </si>
  <si>
    <t>2022-09-29</t>
  </si>
  <si>
    <t>From check in to DOCâ€™s.  
The BEST.  
                    Thanks,</t>
  </si>
  <si>
    <t>The VA system should teach the people that check in the Vets to lift their heads up from the computer and listen to the Vets say their name and carefully listen how they spell it the first time, BETTER YET ,ask the Vet for their VA card and read the name from the ID card .Every VET should have a ID card with their picture on it to VERIFY that the VET standing in front of them is the RIGHT VET.</t>
  </si>
  <si>
    <t>Richmond VA Clinic</t>
  </si>
  <si>
    <t>Something has changed since last visit.  It was a more hurried experience, no electronic check-in, incomplete lab work (urinenalysis), excellent exchange with provider, but no written follow-up provided.  Impossible to schedule colonoscopy w/Dayton hospital after multiple automated prompts only to learn Dr has relocated.  Still haven't heard about schedule for carotid ultrasound.  I don't know if</t>
  </si>
  <si>
    <t>I don't like the fact that the check-in kiosks are no longer available. Checking in by smart phone makes no sense. A vet could check-in by phone while in the parking structure (for example) and then suffer a medical crisis, miss his appointment and nobody would find him when he misses appt. I, and many vets I talked to are going back to desk check-in.</t>
  </si>
  <si>
    <t>Using the new check in procedure needs some work. It was so difficult and lengthy to get check-in.</t>
  </si>
  <si>
    <t>pharmacy desk was wonderful, noticed one prescription needed doctors approval, she sent several emails to the doctor and to her nurses, until she got a response, sent me to the check-in desk to alert them of issues, but that lady was rude and told me there was nothing she could do about it, and told me to just take a seat. Pharmacy lady fixed it, and lady behind the glass was very friendly/kind</t>
  </si>
  <si>
    <t>Check in easy- doctor very helpful - setting up appointments very easy</t>
  </si>
  <si>
    <t>From the Moment I arrived to check in,I was Greeted by Name by the Clerical Staff. Even though I knew where to go next the Lady checking me in, asked me to make sure, that I knew where to go next.The Technician [NAME] again Greeted me by Name and during the Fitting and Adjustment of my New Hearing Aids made sure that not only the Fit but most importantly the Adjustment was Perfected for my Hearing.</t>
  </si>
  <si>
    <t>Alvin C. York Veterans' Administration Medical Center</t>
  </si>
  <si>
    <t>My responses to this survey are reflective of my Urology appointment that never went off.  Sam called me Friday concerned if I would make it on time since I had three appointments close together.  Well I checked into my 10:40 appt at 10:00.  I waited until 11:20and went down to talk with the check in person about delays or information as I had other appointments. Call me for the rest of the story.</t>
  </si>
  <si>
    <t>Armstrong County VA Clinic</t>
  </si>
  <si>
    <t>I was not seen on my appointment time, because myself &amp; another veteran had to be delayed due to another veteran ahead of us who disappeared outside to go smoke. This veteran arrived when we did to check in, but just couldn't a few minutes to be called back to the examination area-smoking was a priority for him apparently. The nurse called out his name to no response &amp; we stated that he had left.</t>
  </si>
  <si>
    <t>2022-09-28</t>
  </si>
  <si>
    <t>The new check-in procedure was a little confusing but the lady at the desk got me through it. She also took care of my travel reimbursement.</t>
  </si>
  <si>
    <t>There was no one at the check-in window for the particular clinic I visited.  Waited for about 10 minutes before the doctor himself saw me (and another) waiting and took me back himself.  There was someone at the window when I was done with visit.</t>
  </si>
  <si>
    <t>I do not use a phone, I phone or otherwise. I find it a real inconvenience to not have easy access to the kiosk machines to check in and apply for travel pay. 
Some of us do not use technology. Please accommodate us.</t>
  </si>
  <si>
    <t>Bangor VA Clinic</t>
  </si>
  <si>
    <t>Was not told exactly where to wait .saw a sitting area and just sat there .checkin should give better direction on first time visits 
A va employee noticdd and directed me to correct waiting area .</t>
  </si>
  <si>
    <t>My check in did not reach the computers of CPap clinic.  I was present and had checked in as required for my appointment. I was told there were some computer issues that day. Is there no way for staff at front desk can make sure these check ins go thru when they know there are issues with the system?  I have had this experience before.  I know to go to these desk and ask about delays.</t>
  </si>
  <si>
    <t>Fort Harrison VA Medical Center</t>
  </si>
  <si>
    <t>I formerly was able to complete my travel pay request on the kiosk at the hospital and I would receive the deposit in my account in 3-4 weeks.  Now, I have to do it at home and it usually takes 3 or more months to get the deposit.  The old system was way better!</t>
  </si>
  <si>
    <t>Fix the new check-in process to recognize valid DOB.</t>
  </si>
  <si>
    <t>Jackson VA Clinic</t>
  </si>
  <si>
    <t>too much administrative HELP IN THE CLINIC.  4 check in people, 2 covid screeners!  too many people.</t>
  </si>
  <si>
    <t>My entire dental team from the check in to finish are extremely competent and knowledgeable.</t>
  </si>
  <si>
    <t>The check-in process was way more cumbersome than in the past. Not sure why they chose to go away from the Kiosk. The phone signal inside the hospital is poor and you can't check in online as requested. Recommend adding several wifi boosters or go back to the Kiosk that are there and already paid for.</t>
  </si>
  <si>
    <t>Eye clinic check in over booked and under staffed! Two hour or more wait. Went to a sec. appt. and had to ret. to eye and comp.my visit. 3 hrs. in all plus 2 hrs. travel. A long time for 2 appts. .</t>
  </si>
  <si>
    <t>The care at JC has been fantastic care we are not sure how to get travel pay on line for we are not computer savvy we really want to keep the kiosk hopefully they will stay for all the old people to get their travel pay</t>
  </si>
  <si>
    <t>Waiting for an optical appointment the automatic check-in kiosk was not workingâ€¦ a fellow vet mentioned they hadnâ€™t been for weeks, &amp; asked if they didnâ€™t work why wasnâ€™t there a sign or they were turned aroundâ€¦.. the older African American staff member at the check in area stated Rudely â€œweâ€™ll, I didnâ€™t put them thereâ€ then turned his back on the veteran and walked into his little office!!!</t>
  </si>
  <si>
    <t>H. John Heinz III Department of Veterans Affairs Medical Center</t>
  </si>
  <si>
    <t>Everything went smoothly, from the gate to the check in, check up, and departure. Well done!</t>
  </si>
  <si>
    <t>Kerrville VA Medical Center</t>
  </si>
  <si>
    <t>Reccomend an information desk person at the entrance to help with directions. Maybe a pamphlet with a layout of each floor. Being an old building, the specialty clinic check in is one place and the waiting room is all the way on the other end of the hall and building. Mobility issues for some people. The signs on the doors are great and help a lot.</t>
  </si>
  <si>
    <t>33</t>
  </si>
  <si>
    <t>Go back to the old way to check it, why not use the kiosks? It was very easy, and I donâ€™t have to worry about my phone working in the area. 5G in the Shiloh area is nothing near 3G itâ€™s that bad.</t>
  </si>
  <si>
    <t>Buffalo VA Clinic</t>
  </si>
  <si>
    <t>To long of a wait time to see the doctor from check in</t>
  </si>
  <si>
    <t>Piscataway VA Clinic</t>
  </si>
  <si>
    <t>My required check-in via cell phone is unacceptable. I do not have a smart phone!</t>
  </si>
  <si>
    <t>Tyler Centennial VA Clinic</t>
  </si>
  <si>
    <t>I really like the new facility.  Easy in, easy out.  Reception very convenient, as is check in.</t>
  </si>
  <si>
    <t>Santa Ana VA Clinic</t>
  </si>
  <si>
    <t>I always receive the absolute best care from the eye doctors at the Santa Ana Clinic. Their professionalism and care are outstanding. They are patient and take the time to explain everything that they are doing when examining my eyes. I am so thankful that they are there at the clinic. The office is always clean and the check in staff is kind and explanatory.</t>
  </si>
  <si>
    <t>When I went to the check in window the person sitting there didnâ€™t look up ask to help.  I went to another window where I was helped immediately. I saw a NP only primarily looked at her computer screen and typed.  She provided me with very limited and useless medical advice. I would like a new PCP.</t>
  </si>
  <si>
    <t>The check-in kiosks are gone. It was easier to check in with the kiosk. Bring them back.</t>
  </si>
  <si>
    <t>I preferred using my ID card to check in at the Kiosk, it was simple and easy to use. It is unfortunate that you have decided to discontinue the kiosk usage because you felt the people was not working hard enough for your bean counter, making my life harder. This is not new, a simple rant leave it to the government to make things harder for everyone.</t>
  </si>
  <si>
    <t>Bring back the check-in kiosk.</t>
  </si>
  <si>
    <t>Cambridge VA Clinic</t>
  </si>
  <si>
    <t>During my visit for Lab work on 9/19/22 I was waiting after check in and went to the lab door to ensure that they had my check in information and the lab tech was extremely rude and short with me. She complained that she was the only one there and was very busy. While that may have been the case she had no reason to treat a patient in that manner. Another tech showed up and did my blood work.</t>
  </si>
  <si>
    <t>Bruce W. Carter Department of Veterans Affairs Medical Center</t>
  </si>
  <si>
    <t>The computer system was down and there were no instructions as to how to check in. After standing in line for about 20 minutes a fellow veteran said there was a small paper that needed to be  completed as the means to check in, you had toask forthepaper, I dare not say that it was a form (the paper was not readily available).</t>
  </si>
  <si>
    <t>Dr. [NAME] was fantastic!  She quickly assessed my problem and established a plan for resolution.  My appointment was right on time, and the entire process from making the appointment, check-in, seeing the doctor and making the next appointment was easy and efficient.  Dr. [NAME] is commended for the outstanding care she provides veterans.  Thanks for the outstanding care provided!!!</t>
  </si>
  <si>
    <t>With some of us ( veterans) we have difficulties with the online services like the reimbursement part for mileage, I have an suggestion to help relieve the stress and paper work to make this process the same as the check in process. I think the appointment setting as well as the check in should generate the beginning and with the checkout should generate a completed form that can be processed auto</t>
  </si>
  <si>
    <t>Gainesville Sixty Fourth Street 2 VA Clinic</t>
  </si>
  <si>
    <t>Find a way to shorten the initial wait time (in lobby after check-in).</t>
  </si>
  <si>
    <t>Littleton VA Clinic</t>
  </si>
  <si>
    <t>Care is great. Check in is great. Short wait time. Fine Littleton VA clinic a great place for health care. NO COMPLAINTS.</t>
  </si>
  <si>
    <t>Hardly any wait time after check in.   Nurses, doctors, and other supplier are always nice and helpful.</t>
  </si>
  <si>
    <t>42</t>
  </si>
  <si>
    <t>when making an appointment for vets with tricare, more people should be able to assist and not constantly transfer calls until we get connected with a VA Rep.
Let people know which Lab to go to prior to their appointment.  I was told the Lab in the basement only to check-in and and not be helped for 30 minutes because i was in the wrong lab.  and the instructions to the right place don't help.</t>
  </si>
  <si>
    <t>Minneapolis VA Medical Center</t>
  </si>
  <si>
    <t>ercan-fang was wonderful and professional.  this is about the blood draw I had.  got checked out and was asked to wait for the blood draw.  there was nobody in the blood draw lab at the time and could see the "nurse" that takes samples on her phone.  no big deal waited for about ten minutes and approached the open blood draw office and asked if I had to check in with her.  she was very rude to me.</t>
  </si>
  <si>
    <t>1. We were required to "check in" at a kiosk after a long time of being told NOT to use a kiosk.
I wish the VA would get its act together.
2. I was asked for my complete social security number to verify my identity.
Years ago, I was instructed BY the VA to "NEVER divulge my social security number at the VA."
I wish the VA would get its act together</t>
  </si>
  <si>
    <t>My appointment was scheduled for 10:00am and I arrived at 9:00am. I was able to check in early and was taken back to draw my blood at 9:30am. The staff was courteous and the facility was clean!</t>
  </si>
  <si>
    <t>I think you should still use the kiosk sign in.I don't have a smart phone and an employee
had to sign me in.I think you could have both smart phone and kiosk it was quick and easy
and an employee didn't have to sit there just to sign us in.   Thanks</t>
  </si>
  <si>
    <t>The staff was courteous, however direction were clear on picking up prescription. I went through the line and then was told I had go to the kiosk and get a ticket. The kiosk"s were took away to the side not in plane sight.</t>
  </si>
  <si>
    <t>The staff seemed to be frustrated with the check in process not working. 
Also, while I was in the waiting room a veteran came in to return confidential health information that belonged to another veteran that was mailed to him by mistake. I have serious concerns about the privacy of my health information at the VA</t>
  </si>
  <si>
    <t>Thank you radiology staff. Everyone from check-in, tech who performed CAT scan and every staff member I came in contact with was professional, courteous and pleasant.</t>
  </si>
  <si>
    <t>I called to see when my prescription would be ready. I was told that it is ready now. I showed up at the pharmacy, checked in, had to go down the hall to check in again, and still wait 1 hour to pick up my medication. I think your system is not working the way it was intended. Your people are always kind and courteous. Love them!</t>
  </si>
  <si>
    <t>Easy to check in, fast and courteous service</t>
  </si>
  <si>
    <t>Why are we still waiting to see a primary care doctor for months at a time also to do blood work you should just have a walk in to get blood done and I had to sit there for an hour away because a lot of people are fastingAlso why did they take the kiosk machines away to get your travel pay because I still have not been reimbursed for the past two times I have went to the VA in Pensacola</t>
  </si>
  <si>
    <t>Baltimore VA Medical Center</t>
  </si>
  <si>
    <t>This was my first visit to the Baltimore VA Medical Center and what a great first impression! Shuttle service from the garage was terrific, facility is clean and clearly marked signs.  Easy check in on the Lab kiosk. And most importantly the lab technician who took care of me was outstanding. I don't remember her real name but her nickname is "Tennessee " where she is from.  Everything great!</t>
  </si>
  <si>
    <t>I believe they're slightly understaffed. I waited for quite some time to be seen for the initial check-in and doctor.</t>
  </si>
  <si>
    <t>Biloxi VA Medical Center</t>
  </si>
  <si>
    <t>Checking in at Gold Area. Is, painful, made to feel like a annoyance for simply trying to check in. I now seek out one particular gentleman that always exceeds at his job. Other receptionists could and should follow his practices.</t>
  </si>
  <si>
    <t>McAllen VA Clinic</t>
  </si>
  <si>
    <t>At the pharmacy area, there should be a sign that says "PHARMACY CHECK IN".</t>
  </si>
  <si>
    <t>John H. Bradley Department of Veterans Affairs Outpatient Clinic</t>
  </si>
  <si>
    <t>I wish the V.A. would keep the kiosk because it is very convenient to use. In this computer world, why would you go back to paper?</t>
  </si>
  <si>
    <t>Gold Team staff at Teague VA are awesome. From the moment I check in until the moment I check out.  They are courteous and helpful. I feel special and treated with dignity not sympathy. Way to go and keep it going.</t>
  </si>
  <si>
    <t>The waiting time from check-in to the audiologist calling me in was reasonable.</t>
  </si>
  <si>
    <t>The MSP VA charged me for an â€œoutpatient visitâ€- I NEVER saw anyone! I merely accessed a pharmacy kiosk to order a medication! I get that I was charged for less than what I needed, but ridiculous that they charged for an office visit!</t>
  </si>
  <si>
    <t>Manchester VA Medical Center</t>
  </si>
  <si>
    <t>I do have a concern about travel reimbursement. Pre Covid travel to and from medical appointments was paid with in a week of being submitted, now there's a 10-12 week delay to process even though you submit claim at kiosk during appointment. Have been told each claim has to be manually checked. Old system worked great, very efficient and fast. This new system does create hardship for retired Vets.</t>
  </si>
  <si>
    <t>I was a bit confused by the new check in procedure. A how to email would help.</t>
  </si>
  <si>
    <t>The only reason I didn't give  100% on survey was because on my latest visit the check-in kyskos had been  
removed. I was able to check-in with the staff in Audiology very easily. I am eligible for travel reimbursement so I had to go to the travel office, fill out paperwork and submit  it manually, all of which had been done automatically when kyskos were present.
I hope they are replaced.</t>
  </si>
  <si>
    <t>2022-09-27</t>
  </si>
  <si>
    <t>The have the new system to check in where you have to scan a QR code.  It was down they have nothing to say itâ€™s down and need to check in at the desk.  They were not very friendly at the desk.  Overall didnâ€™t feel welcome thatâ€™s for sure.</t>
  </si>
  <si>
    <t>I found the young lady at the desk to check in a little short not only with me but with other veterans as I waited for my eyes to be checked. I know it was Monday and all and fairly early and maybe a bad morning. just Saying !!!!</t>
  </si>
  <si>
    <t>Brockton VA Medical Center</t>
  </si>
  <si>
    <t>The check in machine had a sign on it saying to scan the code. Iâ€™m 71 and itâ€™s much easier to put my card in and check it for appointments.   Think of us older Veterans please. Thanks.</t>
  </si>
  <si>
    <t>Waterbury VA Clinic</t>
  </si>
  <si>
    <t>The doctor and nurse were very knowledgeable and easy to understand. They also made it super easy for me to check in and I was promptly seen. I hade one of the best doctor patient experiences in my life at this office.</t>
  </si>
  <si>
    <t>Check in is always friendly, quick and efficient. Directions and other assistance is always offered. Clinic staff were thorough and informative during the consult.</t>
  </si>
  <si>
    <t>All the electronic check-in stations on the 3rd floor were unplugged and had signs stating temporarily out of service.  No online systems available to file travel reimbursement. No Flu vaccine was available for veterans.</t>
  </si>
  <si>
    <t>Green Road VA Clinic</t>
  </si>
  <si>
    <t>39</t>
  </si>
  <si>
    <t>Th derm docs were amazing. I felt they made sure I have good skin and nothing else needed attention. Also the check in and out clerks were fantastic.</t>
  </si>
  <si>
    <t>Appointment  was quick and efficient.  Very professional  staff from check in to check out.  Thank you!</t>
  </si>
  <si>
    <t>Waited approximately 5 minutes to check in.  No problem, except I watched while staff sat.  See d to ignore my presence until HE WAS READY to assist.  Felt ignored and also felt as though I was not important.  Not the first time for this type of response from staff.</t>
  </si>
  <si>
    <t>Travel submissions.   You got rid of the kiosk in the Lawton VA and have no travel desk to turn paperwork into and no explanation of what to do.</t>
  </si>
  <si>
    <t>Joliet VA Clinic</t>
  </si>
  <si>
    <t>My wait time after check-in was only a few short minutes</t>
  </si>
  <si>
    <t>Very easy to check in for my visit.  My appointment was on time.</t>
  </si>
  <si>
    <t>Santa Maria VA Clinic</t>
  </si>
  <si>
    <t>After checking in in the front lobby, when I went back to optometry there was a sign saying please check in up front. It was confusing. Better to have a sign saying after checking in up front have a seat and wait.</t>
  </si>
  <si>
    <t>St. George VA Clinic</t>
  </si>
  <si>
    <t>Sign on door states that you can check in by scanning the code on the instructions. I did, but was concerned when nobody called me. Fortunately the security guard told me I still had to check in at the kiosk. Glad he told me.</t>
  </si>
  <si>
    <t>The staff at check in desk in Clinic 4, to me personally, is there just for the paycheck. Unprofessional and lose information left for doctors.</t>
  </si>
  <si>
    <t>Alexandria VA Medical Center</t>
  </si>
  <si>
    <t>The staff at the mental hygiene clinic are always friendly and helpful. Although they did not have a secretary at the check in point, everyone went out of their way to help veterans.</t>
  </si>
  <si>
    <t>The team was very efficient in all aspects of check in and giving both a covid booster and flu shot. It was less than 25 min in and out. They all did a great job!</t>
  </si>
  <si>
    <t>Southeast Las Vegas VA Clinic</t>
  </si>
  <si>
    <t>Dr. [NAME] was very good. She listed to my concerns and asked many questions about my health status and treatments. Only problem was with check-in. My pre visit check was not in the system and I had to go to a window to fix it. My regular visit was in the system.</t>
  </si>
  <si>
    <t>Dr. [NAME] listened to the problem I was having and made the adjustments needed to solve the problem. I was extremely satisfied with the care I received from her. 
Additionally the check-in staff were very professional and courteous during check in.</t>
  </si>
  <si>
    <t>When I arrived an went to the machine to check in. It was not like it was before. I tried to use my phone as it stated and it did not work. Said my phone could not 
Connect to number. I had to go to information center to find my destination.
This sucks, us old guy can not use this type of technology.</t>
  </si>
  <si>
    <t>W.G. (Bill) Hefner Salisbury Department of Veterans Affairs Medical Center</t>
  </si>
  <si>
    <t>The new kiosk check-in was ineffective at best, pretty much a disaster, especially compared to the old simple (and working) procedure.  Having to use a cell phone with iffy signal quality to look up a QR code to trigger a website to cause a login is far, far more trouble than it is worth.  This has to be significantly streamlined at least to the number of steps and ease of the previous system.</t>
  </si>
  <si>
    <t>The QR code for checkin does not work.</t>
  </si>
  <si>
    <t>QR code</t>
  </si>
  <si>
    <t>Bring back the use of the kiosk</t>
  </si>
  <si>
    <t>EASY TO CHECK IN, AND APPOINTMENT BEGAN EARLY WHICH I GREATLY APPRECIATED. THE PROCEDURES WERE SOMEWHAT DIFFICULT FOR ME, BUT THE DOCTOR EXPLAINED CLEARLY AND HELP ME THROUGH THE PROCEDURES.</t>
  </si>
  <si>
    <t>Birmingham VA Medical Center</t>
  </si>
  <si>
    <t>The check-in process could go smoother if the attendant would update her screen once a patient has checked-in and wait until you complain about waiting for 45 minutes.</t>
  </si>
  <si>
    <t>Fix the Kios for check in and Travel vouchers. Not everyone has a cell phone with service inside the building. Either that or add free wifi</t>
  </si>
  <si>
    <t>Go back to using the computer terminal check in. Not all senior vets have smart phone to check in. There for having to wait in a line to check in with Represitive.</t>
  </si>
  <si>
    <t>Please bring back the travel pay reimbursement to the kiosk system.</t>
  </si>
  <si>
    <t>I was seen 2 hours late for my appointment after I arrived 40 minutes early. The check in personal didnâ€™t check me correctly causing me to be seen 2 hours late after I went to the counter and complained.</t>
  </si>
  <si>
    <t>Why would the VA do away with the KIOSK check-in and Travel pay procedures? Every Veteran is not computer literate or has a smartphone to use! KIOSK check-in was simple, quick and minimized lines at the check-in check-out desk! There should have been a six month trial period for this!</t>
  </si>
  <si>
    <t>Hinesville VA Clinic</t>
  </si>
  <si>
    <t>When I came forward to the MSA, I said I was checking in for a group.
But she became unprofessional, almost shouting and belligerent that I donâ€™t need to say check in but say Iâ€™m here for the group.
It ruins the reputation of the department.
Thanks</t>
  </si>
  <si>
    <t>Was told by the 1-800 382-8387 operator when I called to make an appointment that my wife could not get a Covid  booster shot at Mather so she did not come with me when I got mine yesterday.  However when I checked in for my Covid booster and flu shot the check in-staff said she could have received her Covid booster at the same time as mine.</t>
  </si>
  <si>
    <t>Fort McPherson VA Clinic</t>
  </si>
  <si>
    <t>My medical nurse was responsive to my needs and responded  very well and was helpful.However the check in staff did not make me feel welcome. Asking me am I sick and do I have Covid sarcastically telling me I should have went to emergency room made me feel unwelcome. I realize there is pressure in their jobs, I just didnâ€™t like the tone especially since I said good morning.</t>
  </si>
  <si>
    <t>Unaware of change to; new check-in procedure, removal of Val parking and change in travel. Difficult to find parking. some concerns were addressed with info.</t>
  </si>
  <si>
    <t>88</t>
  </si>
  <si>
    <t>Receptionist at EENT was late and needed to return to her vehicle for something she needed.
I reported to sign stating EENTClinic to read another sign reading report to Urology clinic for EENT. It was very difficult for me walking from parking lot to hallways for each check in.</t>
  </si>
  <si>
    <t>Northwest Tucson VA Clinic</t>
  </si>
  <si>
    <t>Waiting in line to check-in is nonsense. Kiosk down (evidently blew lots of money an then didn't renew contract per checkin clerk), On-line check-in down. One guy manning the desk for checking and acting as the info desk at same time took 10 min to check in 4 vets.</t>
  </si>
  <si>
    <t>Akron VA Clinic</t>
  </si>
  <si>
    <t>New computer system has some bugs that need to be worked out.
Check in system didnâ€™t work.</t>
  </si>
  <si>
    <t>From checkin to checkout was less than 10 minutes. Five vials and specimen bottle.
Hard to beat that!</t>
  </si>
  <si>
    <t>All the service providers were excellent. From the check in person to the nurses and Nurse Practioner were outstanding. I felt they treated me like family.</t>
  </si>
  <si>
    <t>The check in clerk, nurse, and doctor were all very friendly. I trust the state college VA with all my healthcare needs.</t>
  </si>
  <si>
    <t>From check-in to completion, everyone I came into contact with was OUTSTANDING!!! The imaging technician and CT check-in clerk was tops. Both made me feel comfortable and had a fantastic demeanors. Unlike the Internal medicine check-in clerk(s) that have you waiting before calling you. Mondayâ€™s appointment was fantastic. Wished all workers were like the CT clerk check-in and imaging technician.</t>
  </si>
  <si>
    <t>Directional color-coding of passageways going to assigned check-in counters can be a big help to customers/patients. (Ex: In Japan, all hospitals color-code their p-ways).</t>
  </si>
  <si>
    <t>Dwight D. Eisenhower Department of Veterans Affairs Medical Center</t>
  </si>
  <si>
    <t>FROM THE CHECK IN, TO THE TRIAGE, TO THE PHARMACY, WAS A GOOD EXPERIENCE. DR. [NAME], [NAME], ER NURSE, [NAME] THE PHARMACIST.</t>
  </si>
  <si>
    <t>Where's the kiosks?  Expecting all vets to use an app is ludicrous.  Yet, it is the VA.
Now vets get to wait in line to speak to someone at the front desk to check in.  Total waste of time for VA employees and just more waiting by the vets because someone in the VA wasn't thinking.  Yet, very familiar to many of us vets</t>
  </si>
  <si>
    <t>My appointment checkin number was called 45+ minutes after my appointment time. Add that with the 20 to 30 minutes that you are asked to arrive ahead of said appointment time and on top of fasting-- not good.
I was not alone-- there grumbling in the waiting area.</t>
  </si>
  <si>
    <t>Very long wait time, both for check in and for the prescription.
This hasn't been a problem in the past, but yesterday, 9/26/22, the line was 10 deep.</t>
  </si>
  <si>
    <t>Please.put the kiosk back in the lobby so we know which clinc to go to.</t>
  </si>
  <si>
    <t>Firm E receptionist wanted her own "check-in" process. Instead of: VA I.D. card, last name phonetic letter and last-four digits of SSN. She demands reciting out loud last-4 SSN/address/phone # out loud vs. Personal Identifiable Information kept private. She led me to believe I was checked in, 30 minutes on I found out she did not check me in, and I was threatened with police by Firm E male person.</t>
  </si>
  <si>
    <t>I found the check in kiosk confusing. Maybe my age
Maybe not?</t>
  </si>
  <si>
    <t>I usually get my prescriptions mailed to me. This time, however, I decided to get the Rx myself while at the VA. I put my id in the kiosk which gave me a number. I thought I heard my number called over the pa but when I went to the call window, the person said I would have to check in with the pharmacy. Except, I already had, that's how I got the ticket. In the end, I got my Rx, so all was fine.</t>
  </si>
  <si>
    <t>Every person was awesome all the way from check-in to the wheelchair pusher.</t>
  </si>
  <si>
    <t>The MSA who checked me in, a larger bald man, was rude upon check in. I was not greeted and barely acknowledged when I walked to the desk. All he said was â€œlast name and last 4â€ then â€œsit downâ€.</t>
  </si>
  <si>
    <t>I want to thank both Dr [NAME] and [NAME] for the outstanding care, professionalism and detail.  What started as a routine eye pressure check turned into a multiple visit.  The department fit me in for 4 appts and during each one [NAME] and after [NAME] were awesome.  They were a value add to my eye care and I cannot thank them enough!  The ladies at the checkin and checkout were also great!</t>
  </si>
  <si>
    <t>Baltimore VA Clinic</t>
  </si>
  <si>
    <t>The process was friendly and seamless from the check in to the checkout</t>
  </si>
  <si>
    <t>Fort Benning VA Clinic</t>
  </si>
  <si>
    <t>The staff from moment I entered the facility was positive and made check in process simple.  Itâ€™s not their fault computer was loading slow , but they worked as best they could to give me info I needed .</t>
  </si>
  <si>
    <t>I believe the blood draw person has a significant need of another lab tech to fully handle all the veteranâ€™s who need lab tests done. They must close the kiosk by 11am to finish all who show up-for tests. And waiting room is full of people breathing in and out, touching the sign in machine and chairs which creates a riskier environment for older vets and safety of their health. 
Please hire tech.</t>
  </si>
  <si>
    <t>The check in for the pharmacy was confusing and I wasn't sure where or how to sign in until I watched others go first. And when I got to the check in kiosk there were notes all over it making it even more confusing.</t>
  </si>
  <si>
    <t>I appreciate the professional courtesy extended to me upon check in at the Audiology Clinic.  The person at the reception desk was patient, knowledgeable, and willing to assist me with check-in requirements.  Further, the professional care I received from Dr. [NAME] was also commendable.  She carefully explained my condition and the steps that could be taken to address my issues.</t>
  </si>
  <si>
    <t>When are you going to put the computer check-in stations back in service?</t>
  </si>
  <si>
    <t>Why did you get rid of the Keosk?  That is so easy to check in and request Travel pay.  I have not been able to get travel pay since!  Very upset.  I will by contacting my Congressional Representative to address this.   I am fairly young at yonder 50yo.  How are the older vets able to do it if I am not?
This is a disgrace!  Bring the Kiosks back Now!</t>
  </si>
  <si>
    <t>The young man at the initial check in with my prescriptions deserves a commendation ..not sure on his name wu perhaps!</t>
  </si>
  <si>
    <t>I think the Joliet Clinic is very good.   The Doctors, Nurses, the check-in - appointment people and greeters are very nice and accommodating.   I fell at ease with everyone.   Very nice staff.   Thank you!!</t>
  </si>
  <si>
    <t>Excellent valet service including the checkin and text notification.
Always receive the best dental care from my dentist and assistant. I truly receive the finest dental care at the Dallas V.A.</t>
  </si>
  <si>
    <t>Benjamin Charles Steele VA Clinic</t>
  </si>
  <si>
    <t>[NAME] was professional and polite. My negative feedback is because I had an appointment change from 9/28 to 9/27, I got the text reminder... that I confirmed, I checked in at the kiosk like normal, but then waited an hour to find out that there was no one to see me because they never told the tech about the appointment change. Billings VA is excellent, but ya'll really dropped the ball on this one.</t>
  </si>
  <si>
    <t>i love the VA. all good docs, nurses , greeters, ladies at check in, custodial workers, everyone</t>
  </si>
  <si>
    <t>My scheduled appointment for Medical was canceled via phone, even though I had already arrived at Loma Linda for my scheduled appointment.  My personal communication with the front check-in Desk resolved the situation, even though telephone person communication, to me, refuted the correctness of the in person communication, and disagreed with the resolution.  Why??? Let's just solve the problem!</t>
  </si>
  <si>
    <t>The staff was very pleasant and welcoming from check in to check out.  I am very impressed with my services i recieve.</t>
  </si>
  <si>
    <t>Me personally the mental health check in should not be located in the front for everyone to see who is coming to mental health.  It is hard enough to take that step.  Skylining who is going to mental health could cause higher anxiety level as it did to me</t>
  </si>
  <si>
    <t>The pre check-in application doesn't work as intended. If I have a scheduled appointment, I get several texts messages days apart which require me to pre check-in numerous times. Yet, the appointment may still be pending!!</t>
  </si>
  <si>
    <t>Palm Bay VA Clinic</t>
  </si>
  <si>
    <t>The staff at the check out is rude. You would stand at the desk waiting to check in or out and they stand around holding private conversations. They donâ€™t even acknowledge you. The 3 times I went to office is the same thing.</t>
  </si>
  <si>
    <t>The check-in clerk did not seem to understand the â€œIf you have been waiting over 15 minutesâ€¦â€ policy. The youth tried to argue with me, something about â€œalways behind.â€
We all know that VA facilities do not overbook their schedules like public hospitals; The youth had a definite attitude problem. I should not need to remind a clerk that the VA is an earned benefit for US warfighters.</t>
  </si>
  <si>
    <t>Staff Sergeant Alexander W. Conrad Veterans Affairs Health Care Clinic</t>
  </si>
  <si>
    <t>NP [NAME] and her team are terrific and helping me with my health issues - additionally the team on the first floor that draws blood were also terrific - check in and quick wait - along with the technician that drew my blood - BRAVO to all at this clinic - thanks for being there!!!!</t>
  </si>
  <si>
    <t>I was very pleased with my experience at Ft. WayneVA Medical Center.  The check in was very sufficient and the wait to see the Doctor was very tolerable.  All in all it was a good experience.</t>
  </si>
  <si>
    <t>Arrived 30 minutes prior waited to check in 20 minutes prior was instructed to have a seat
Watched the waiting room fill then empty
At 15 minutes past appointment time went to inquire Was told to standby
At 30 minutes past told the system had dropped and they were now aware of me
At 35 minutes past, I was informed the doctor offered to see me
At 1 hour past I rescheduled 
CLOWN ACT!</t>
  </si>
  <si>
    <t>Savannah VA Clinic</t>
  </si>
  <si>
    <t>Easy check in. Cordial staff. Competent Dr and Nurse.</t>
  </si>
  <si>
    <t>The new check-in method doesn't work properly if I am early for my appointment. It does not recognize me or my appointment. Please fix this. Otherwise all else is ok.</t>
  </si>
  <si>
    <t>I have always been greeted at check in a friendly courteous manner.  
The doctors, nurses, and technical staff concern for my health, privacy and comfort is always apparent.
My recent visits have been for dermatology and physical therapy both these clinics are staffed with outstanding professionals.
Thankful for the South Veterans Facility.</t>
  </si>
  <si>
    <t>The personnel in the Nuclear Medicine (PET) and radiology (MRI) were wonderful.  Even though I have had these done numerous times due to my cancer the check in person as well as the techs were very courteous and caring.</t>
  </si>
  <si>
    <t>Went to check in and was informed all appointments were canceled that day. I was asked if I received a phone call day prior informing me, I said no. I was able to make my appointment, but I drove 1 1/2 hours to get there with no reimbursement for mileage. Really glad to get in, would have been really disappointed if not since no notification.</t>
  </si>
  <si>
    <t>Doing away with the kiosk for check in and to claim travel make it much more difficult, especially to claim travel. Many of us older Vets use our phones only as a phone we don't do "apps" or internet on them.</t>
  </si>
  <si>
    <t>Tuscaloosa VA Medical Center</t>
  </si>
  <si>
    <t>My wait time after check in, the cleanliness, and the customer service were great!</t>
  </si>
  <si>
    <t>2022-09-26</t>
  </si>
  <si>
    <t>I am upset at the way they changed how to collect your travel pay and check in process.  It was so easy to do at the kiosk. Travel pay is ridiculous to try to collect now.  you go online and I am always having trouble.  I live in an area that does not have good wifi. I usually go from the annex to the hospital and ask for help filing for travel pay.</t>
  </si>
  <si>
    <t>The doctor listened to everything I had to say. Answered all my questions and gave plain language advice. He took me seriously and addressed any concerns. Everyone I had contact with that day was pleasant and helpful (check-in desk, patient rep, lab tech, nurse, patient portal guy, everyone). It was a good day. No frustration, just everyone willing to be helpful. Good job to everyone.</t>
  </si>
  <si>
    <t>Revert to the old check in system.  Almost everyone over 60 cannot negotiate this well and the staff needs to help them.  It sets a negative tone when coming for an appointment.</t>
  </si>
  <si>
    <t>NoShow</t>
  </si>
  <si>
    <t>2022-10-05</t>
  </si>
  <si>
    <t>Terre Haute VA Clinic, IN (583GA)</t>
  </si>
  <si>
    <t>VISN 10: VA Healthcare System</t>
  </si>
  <si>
    <t>I work part time and one i forgot about the appointment and two i had was participating in a Staff/Student volleyball game and 3-i have not been doing my daily meditation and 4 I kind of didn't want to meet with the doctor after all of that. I did however check in with the telehealth video appointment and waited a few minutes and hung up.</t>
  </si>
  <si>
    <t>2022-10-04</t>
  </si>
  <si>
    <t>Omaha VA Medical Center, NE (636)</t>
  </si>
  <si>
    <t>VISN 23: VA Midwest Health Care Network</t>
  </si>
  <si>
    <t>This appt didn't happen bc of miscommunication. I was under the impression that this was a phone call appt or one of this conference call appts. It wasn't. I was suppose to check in, at the clinic, and use the technology there. The only thing that could have been done better was to elaborate the instructions for the appt and maybe send a letter VS email (emails get lost too easily).</t>
  </si>
  <si>
    <t>2022-10-10</t>
  </si>
  <si>
    <t>Burlington Lakeside VA Clinic</t>
  </si>
  <si>
    <t>Your cell phone check in was confusing and didn't work well. It tried to get me to down load another reader when I already had one. The staff checked me in manually and said it's confusing.</t>
  </si>
  <si>
    <t>Filling out a travel reimbursement sheet is a pain. Why have the kiosks been rendered unusable. We can no longer check in on the kiosk and have to wait in line while the assistants have to manage phones and scheduling. The VA seems to be taking steps backward.</t>
  </si>
  <si>
    <t>San Francisco VA Medical Center</t>
  </si>
  <si>
    <t>the crew at the check-in station were pleasant and efficient.
The wait time was with in the normal period.
The problem with my toe nails was taken care of and the doctor gave me good advice.</t>
  </si>
  <si>
    <t>York VA Clinic</t>
  </si>
  <si>
    <t>All  people were friendly and efficient. Easy check in, reasonibally short wait to see provider. Confident and knowledgeable provider communicated clearly and listened to my concerns. Low stress visit. Great job all!</t>
  </si>
  <si>
    <t>Check in was very prompt, receptionist was very courteous and respectful. Provider was very thorough, professional and explained treatment options in detail.
Thank you.</t>
  </si>
  <si>
    <t>Please reinstitute the check in kiosks.  removing them has turned a simple walk in and scan your VA card into standing in line on the second floor to check in.</t>
  </si>
  <si>
    <t>North Oklahoma City VA Clinic</t>
  </si>
  <si>
    <t>I do not recall the names of the ladies that I interacted with during my visit but they were both, well all three to include the lady working the check-in counter, very friendly and personable. The kind of people you'd like to see when visiting a healthcare center for veterans.</t>
  </si>
  <si>
    <t>The GI clinic personnel from check in to my doctor and check out were professional and caring people.</t>
  </si>
  <si>
    <t>It would be nicer to not feel that you are interrupting the check in Clerks day by being there.
You feel like you are entering Another world when you get in the door.</t>
  </si>
  <si>
    <t>2022-10-09</t>
  </si>
  <si>
    <t>The kiosks were removed. This has impacted my ability to easily find out which waiting room I needed to go to. I had to wait until the lady was finished talking to her coworker to check me in. I was not able to apply for travel pay either. 
This is not building back better.</t>
  </si>
  <si>
    <t>too hard to check in.put the kiosk back</t>
  </si>
  <si>
    <t>When checking into a clinic, specifically Orthopedics, there should be two receptionists.  One to check in veterans for their appointment, and another to make new appointments for veterans already seen.  Example: There were 6 people in the same line, 4 for new appointments and 2 waiting to check in.  I waited so long, for just a check in, that it pushed into my appointment time, late.</t>
  </si>
  <si>
    <t>Mat-Su VA Clinic</t>
  </si>
  <si>
    <t>In the past, the medical assistant use to always ask if I've had any thoughts of hurting myself as part of the check in process.  Instead of asking this question on my most recent visit I was asked about my sexual orientation so the VA could "better serve me".  I think asking Veterans if they are having thoughts of suicide is more important than learning and documenting their sexual orientation.</t>
  </si>
  <si>
    <t>At past and present experiences with lab check in there was always a problem with scanning of my VA ID card, i noticed that other Veterans had issues as well, the scanner often fails to verify the VA card and the Vet thinks they are checked in when they arenâ€™t, i believe the lab check in computer program needs to be looked into and the problem investigated.</t>
  </si>
  <si>
    <t>Never asked if I want to use community care. Many appointments past 30 days. 
Kiosk machines never work. have to use paper forms to request travel pay.</t>
  </si>
  <si>
    <t>By removing check in kios they have taken away easy access to file travel reimbursement</t>
  </si>
  <si>
    <t>Brownwood VA Clinic</t>
  </si>
  <si>
    <t>More frequent check in by doctor would be more comforting.</t>
  </si>
  <si>
    <t>These was my 1st time visit.  During checking, I asked about getting my fathers DD214 certified.  Adam took me to an office to assist me. After, I went back to waiting room and read my book while waiting.  40 minutes had passed so I went back to check in to see if I missed my name being called.  Was told I hadnâ€™t checked in yet. I was checked in and waited another 5-10 minutes.</t>
  </si>
  <si>
    <t>my appointment time was 2pm.no one contacted me so i went to desk at 2 20.i asked if something was wrong.the clerk told me they are running late.i asked how much longer i would have to wait.she went to check cause she did not know.i had to leave.so i left. i think at least i should have been told at check in they were running late.i checked in 30 min early at 130</t>
  </si>
  <si>
    <t>2022-10-08</t>
  </si>
  <si>
    <t>Edith Nourse Rogers Memorial Veterans' Hospital</t>
  </si>
  <si>
    <t>As always great service from front desk as I entered the facility to check in and appointment. 
Thank you</t>
  </si>
  <si>
    <t>Warren VA Clinic</t>
  </si>
  <si>
    <t>I had back to back appointments, lab at 10:30 and optometry at 11:00. When I checked in I was not told that I would have to check in again for my 11:00 appointment! I sat for an hour before I went to the desk to only hear â€œhe didnâ€™t check in for his 11:00â€. I feel the receptionist [NAME] should have told me when I checked in at 10:30.</t>
  </si>
  <si>
    <t>When you took out the keyoisks, it took 5-10 min. To check in.
.</t>
  </si>
  <si>
    <t>Manila VA Clinic</t>
  </si>
  <si>
    <t>The security/waiting area as you enter the property didn't tell us what we needed to do, as if we had been there before.  My wife had an appointment at 0900 to renew her Military ID, and my initial doctors appointment was at 12:15.  Nobody showed escorted my wife to her appointment while I was at labs/check-in.  We waited an hour after the appointment for the ID because he said we were late.</t>
  </si>
  <si>
    <t>Bellevue VA Clinic</t>
  </si>
  <si>
    <t>The entire experience was absolutely perfect! From doc [NAME] to check in gentleman and all in between where wonderful. Personally I feel I may have the best team available to me! Thank you and keep up your excellent work, itâ€™s much appreciated!!</t>
  </si>
  <si>
    <t>I couldn't claim my travel reimbursement because you took away the kiosks.  I tried to do it through My Healthy Vet but that didnâ€™t work. Standing in line at the travel desk is a pain especially if my appointments are in other buildings. Taking the kiosks out is a mistake and a step backwards. Not happy!</t>
  </si>
  <si>
    <t>First staff to great you are rude, then check in staff are rude. They aren't willing to check you in. You must have a phone. VA service has went to shit.</t>
  </si>
  <si>
    <t>Palo Alto VA Medical Center-Menlo Park</t>
  </si>
  <si>
    <t>I really miss the check in machine which we could enter our commute miles!!! I have not been able to turn in my mileage since the beginning of this year....still having trouble trying to do it on line...HELP</t>
  </si>
  <si>
    <t>Cleveland VA Clinic</t>
  </si>
  <si>
    <t>The check-in staff, lab employee and nurse were all excellent.  Very kind and helpful.  The appointment with the physician was different than my other annual appointments at the Cleveland VA.  Previously, a physical was done.  At this appointment, other than listening to my heart, no other check was observed.  Most of the appointment was spent on procedural issues.</t>
  </si>
  <si>
    <t>The QR code check in is still not operational.</t>
  </si>
  <si>
    <t>New check-in with smart phone difficult</t>
  </si>
  <si>
    <t>Maplewood VA Clinic</t>
  </si>
  <si>
    <t>I would like to see the check in kiosk used rather than using a nurse to check in!</t>
  </si>
  <si>
    <t>New check in system was very slow to respond</t>
  </si>
  <si>
    <t>The problem I had was trying to check in with my old VA card. I was told I would have to go to Columbia and get a new one. With todays technology this canâ€™t be.</t>
  </si>
  <si>
    <t>Portland VA Medical Center-Vancouver</t>
  </si>
  <si>
    <t>Bring back the electronic kiosk to request my travel reimbursement.  The web based system doesnâ€™t work.  Had to drop off a paper request at my local provider.</t>
  </si>
  <si>
    <t>Forty Sixth Street North VA Clinic</t>
  </si>
  <si>
    <t>Audiology is one of the main functions at this facility, yet the check-in desk is shielded by glass and clerks wear face mask making it difficult to hear and/or understand questions being asked.  HELLO!!!  I have a hearing problem....</t>
  </si>
  <si>
    <t>Samuel S. Stratton Department of Veterans Affairs Medical Center</t>
  </si>
  <si>
    <t>I get services in various of the Clinics at Stratton, and the Eye Clinic is by far the most tedious in regard to time spent waiting to be seen by the Dr. Check in and initial pre examination and screening are within reasonable wait. It's being seen by Dr. that's an 1.5 to 2 hr wait, not acceptable, specially when you have other appointments following that Eye Clinic visit.</t>
  </si>
  <si>
    <t>Ladies and gentlemen at check in are always professional and courteous to me. Nurse [NAME], Dr [NAME] and the X-ray tech were also very courteous and it shows that they are passionate about their jobs. I hear other vets complaining but I didn't hear, notice nor experience any of the things they were upset about. Overall, great experience!!!</t>
  </si>
  <si>
    <t>I get treated by the infusion center every four weeks so I am very familiar with the VA center and the staffing.
I do wish you would bring back the sign-in Kiosks though;  or maybe follow-up with the cell phone check-in.</t>
  </si>
  <si>
    <t>Overton Brooks Veterans' Administration Medical Center</t>
  </si>
  <si>
    <t>the check-in and waiting area for the MRI is an old storage container when there is plenty of room in the main building.  The MRI staff was very professional and congenial.</t>
  </si>
  <si>
    <t>Why have you done away with the kiosks?  I am sure they were installed with a great amount of taxpayer money, and now, roughly six years later, we are using a web based travel pay resource.  Do you have any idea of how many veterans are that not able to access this (due to lack of knowledge or internet access)?  I find this very insulting to our older and rural veterans.</t>
  </si>
  <si>
    <t>Why does the VA keep changing the filing procedures for travel reimbursements?  Why did the VA discontinue using the kiosk for filing travel reimbursements?  How do you find out what travel days a direct deposit covers?  How do you find out what and why deductions are made to travel reimbursements? The VA keeps requiring more effort, paperwork and time from veterans for filing travel claims.</t>
  </si>
  <si>
    <t>For the elderly Vets the Kiosk was sufficient. I do not have a cell phone nor do I want to get one. I need a way of checking in that does not involve a phone. I am on a fixed income and cannot afford a phone. It is not fair to go hi tech on old people.</t>
  </si>
  <si>
    <t>Fast and courteous!  Little wait time. Easy check in. Efficient</t>
  </si>
  <si>
    <t>Plano VA Clinic</t>
  </si>
  <si>
    <t>Check in clerk was very courteous.  Lab personnel too and efficient.</t>
  </si>
  <si>
    <t>Lima VA Clinic</t>
  </si>
  <si>
    <t>You've taken a step backwards.  What happened to the check in kiosks?  I had to wait for a long time in a line to check in.</t>
  </si>
  <si>
    <t>As I was checking in there was no more machines to use &amp; the system had changed without even a notice to tell me! Then when I found a person to check in with acted like they were didn't want to help me. Then she called me back up to her &amp; tell me I needed to go down to Ortho. I started down half there &amp; realized she mixed up appt. Came back &amp; told her I had 2 appt. today.She was messing with me!</t>
  </si>
  <si>
    <t>Either kiosks already installed need to have location aids or signage needs more clarity....  Especially for floor layouts..,..</t>
  </si>
  <si>
    <t>The replacement of the ID card scanning contract with an awkward check in system which seems to make it inconvenient to vets and va personal alike.</t>
  </si>
  <si>
    <t>everyone from checkin to the audio tech was very friendly and competent</t>
  </si>
  <si>
    <t>Need a better check in process. Need to go back to no appointment for lab work at hickory va. Had to come back three hours later for blood work. When I was told I could have just come to lab .</t>
  </si>
  <si>
    <t>I was given an appointment for my booster on Oct 8th @ 10 am. I checked in around 9:45 and was still waiting 1 hr later. I went to the check in window to tell them how long I had been waiting. I waited another 20 minutes and left. I went to where they were giving the flu shot and ended up getting the booster and flu shot in less than 10 minutes.</t>
  </si>
  <si>
    <t>As usual I was greeted and treated with kindness and courtesy. I checked in at the kiosk and was seen by the pharmacy within 5 minutes. Great staff! Thank you so much for all you do!!!!</t>
  </si>
  <si>
    <t>Palo Alto VA Medical Center-Livermore</t>
  </si>
  <si>
    <t>Excellent service from check in, techs and doctor.</t>
  </si>
  <si>
    <t>Very efficient process for check in and check out.  Team was outstanding.</t>
  </si>
  <si>
    <t>Just Recently,on 10/4/22 I had an appointment,My Doctor Was Sarcastic,Rude,Down right mean,uncaring,Judgemental,Made me feel as though I Was just another worthless human being,Although Every one else was very kind,and very professional,My Nurse and the The individuals at Check in....My Experience with the Doctor over shadowed,I Have seen This before at the VA and now have Anxiety When Scheduled...</t>
  </si>
  <si>
    <t>The smartphone check in wasn't working correctly, approx 8 other Vets were having the same issue. There wasn't a person available at the window to help any of us !</t>
  </si>
  <si>
    <t>Des Moines VA Medical Center</t>
  </si>
  <si>
    <t>fix the kiosk machines</t>
  </si>
  <si>
    <t>Buffalo VA Medical Center</t>
  </si>
  <si>
    <t>The man at the numbered window where you check in was very abrupt buy telling me to just grab a number and get in line.</t>
  </si>
  <si>
    <t>Need more volunteers at check in Desk.</t>
  </si>
  <si>
    <t>Did have kiosk to file travel vouchers now back to paper. 
Can I do them online?</t>
  </si>
  <si>
    <t>La Crosse VA Clinic</t>
  </si>
  <si>
    <t>Concern is not with lacrosse clinic, but with va in general. Topic is submitting travel pay request. It has been difficult at best. The instruction sheet was not accurate. What if a person has no computer. Give us back the kiosk. Also Iâ€™m unsure how to file travel claim on community care. I could go on and on. Iâ€™m frustrated with this. Fix it!!</t>
  </si>
  <si>
    <t>Check in process has degraded beyond belief. Complete lack of concern and or understanding as to who the VA is dealing with as far as patients. You see people in their 70s to 90s walking around completely lost as to how to check in or where they are. They have no phones to flip phones and have very little savvy about technology. You have added extra workload on current VA staff trying to help out.</t>
  </si>
  <si>
    <t>Sergeant Ernest I. "Boots" Thomas VA Clinic</t>
  </si>
  <si>
    <t>Staff is friendly and courteous. My check-in was as expected and Clerk was informative in guiding me to the right seating area.
Thank you!</t>
  </si>
  <si>
    <t>2022-10-07</t>
  </si>
  <si>
    <t>I was just comfortable with the check-in kiosk and they switched to the cell phone procedures.  I guess I will adapt to that.</t>
  </si>
  <si>
    <t>Parking is horrible. The check in at the front of the VA is ridiculous. If you know where youâ€™re going, they shouldnâ€™t stop you</t>
  </si>
  <si>
    <t>Bring back the kiosk to check in and for travel pay</t>
  </si>
  <si>
    <t>The new way of signing in for my pcp appointment via qrcode and website was not as good as the kiosks we used to use. Not a fan of the new way.</t>
  </si>
  <si>
    <t>New check in procedure doesnâ€™t work. Had to wait in line and check in with the clerk. Either fix the new procedure or bring back the kiosks.</t>
  </si>
  <si>
    <t>I received  multiple (text /written) appointment reminders;9-28,10-03 &amp;4,10-04 &amp; by mail. I replied. I replied Yes. I texted "HERE" and went to appointments. KIOSK are shut off. At 2nd appointment, I was told I had not checked in to a person. I received text advising I was checked in to all 3. I was told that I had not checked to 2nd appoinment. Who are we to believe when confirming appointments?</t>
  </si>
  <si>
    <t>Terre Haute VA Clinic</t>
  </si>
  <si>
    <t>I would like to compliment the front office staff as I check in and also Dr [NAME], RN [NAME] and Nurse [NAME]</t>
  </si>
  <si>
    <t>Get rid of the smart phone check-in and FIRE the ass whole that put that system into effect!!!!!!</t>
  </si>
  <si>
    <t>I appreciate the professionalism of Doctor [NAME], eye tech [NAME], and the front desk/check in folks!</t>
  </si>
  <si>
    <t>Sunbridge VA Clinic</t>
  </si>
  <si>
    <t>The ladies at the admissions desk were very friendly and helpful at both check in and check out. My wait was less than five minutes to see [NAME] and she was friendly and listened to my hearing problems with interest and concern. She tested me on the issues that I have with hearing loss in both ears and reset my hearing aids to that loss in order to maximize their effectiveness. Great work!</t>
  </si>
  <si>
    <t>Some of the questions that were asked by the nurse during my check in the exam room where disrespectful and disgusting. Y'all have serious issues about my sex and sexual preferences.</t>
  </si>
  <si>
    <t>You are making it hard for us old guys  lot of us use the flip phones and dont text 
 what happened to the KIOSK ???????? it was so easy to use ..anyway other than
this Ya'll do good for me</t>
  </si>
  <si>
    <t>I went to go see Dr. [NAME], eye doctor. Check in was fast. The wait to see the doctor was minimal. My time with nurse and doctor was informative and pleasant.
Here's the best compliment I can give: My wife wishes she could use the same system. Going to my appointments is a pleasure.</t>
  </si>
  <si>
    <t>the kiosks no longer pride the ability get register for mileage pay the day of the appt, however, i had two appts in the last two weeks and everyone i have gone to the va website to submit a travel claim for mileage the site is somehow down. i have tried on my cell, ipad and laptop. is this the VAs way of saving money? why donâ€™t the kiosks offer this service anymore?</t>
  </si>
  <si>
    <t>The kiosk have always worked great, now the new mobile check in system is not to good. The system said it could not check me in, and I should see a staff member. After explaining to a staff member I was told I was checked in and everything was good. 10 minutes past my appointment time my dr. Came out and said he did not get a notification I was there. This left me very frustrated.</t>
  </si>
  <si>
    <t>Need to repair or ensure that the mobile check in system is operational. It was not when i tried to check in. Fortunately, the young man at the desk noticed my difficulty and checked me in manually.  Sorry i did not get his name. Great employee and caring of us veterans</t>
  </si>
  <si>
    <t>Communication between check in people and those behind them lacking. I waited an hour to see nurse who had to leave early and no one was advised of her departure. " She'll be right with you". Turns out after my repeated requests she wasn't even there.</t>
  </si>
  <si>
    <t>kiosh not working.delayed my check in pass my appointent time.</t>
  </si>
  <si>
    <t>Wichita Falls VA Clinic</t>
  </si>
  <si>
    <t>Everyone from check in to Dr visit was fantastic felt like a famy</t>
  </si>
  <si>
    <t>Need to improve the check-in process</t>
  </si>
  <si>
    <t>The check-in clerk behind the plastic protective enclosure was so busy texting or emailing that she had to receive a reminder tap on the should from her fellow clerk.
Allowing anyone who serves veterans to have a cell phone at their workstation degrades the experience for all veterans. Some simple rules that are enforced would solve this problem very quickly. The Santa Ana Clinic is not alone.</t>
  </si>
  <si>
    <t>I made several attempts to make my appointment by telephone and never could get an appointment. I finally went to the clinic and told them my problem and they made an appointment after a 39 mile trip to the Nashville Campus. 
I reported for my appointment about 5 minutes before the appointed time. There was no one else in the waiting room and the check in clerk said the optometrist was at lunch...</t>
  </si>
  <si>
    <t>Everyone I met was very professional, from check-in through the procedure, checkout and the follow up the next day over the phone. I was very impressed! Outstanding work by all!</t>
  </si>
  <si>
    <t>Everyone from the greeting security people to the check-in staff to the nurse and the doctor were extremely friendly, courteous, respectful, and helpful. My experience with the Northwest VA medical center has always been extremely positive.</t>
  </si>
  <si>
    <t>THIS VISIT WAS MY FIRST HEALTH CARE VISIT @ VA GREENVILLE IN PERSON, NOT BY PHONE CONSULT. DUE TO RECENT CHANGES FOR  PRECHECK IN AND NOT REQUIRING "HEALTH CARE ID VA CARD" BUT INSTEAD USE OF A PHONE ... WHICH I  HAD A "FLIP PHONE" BUT NEEDED DESK TO OBTAIN PRE CHECK INFO. i OBSERVED SEVERAL OTHER PATIENTS WHO DID NOT EVEN HAVE A PHONE MUCH LESS KNOW THEY NEEDED, RESULTING SOME  CONFUSION AND LINE</t>
  </si>
  <si>
    <t>Vets are required to check-in 15 minutes before scheduled appointments.  My 0700 appointment is not possible because facility does not open till 0645.  Then the clerk doesn't arrive until 0655 because she is not allowed to clock in till 0700.  So where is the logic.  
The same thing happened when I had a 0700 appointment for my semi-annual Provider.  The clerks are not allowed to check in unti</t>
  </si>
  <si>
    <t>I do not like the new way in which I have to get mileage pay. I liked the kiosks that we used; it was quick and easy. The new way is complicated. I tried 20 times on my cell phone and could not get done for my visit on the 27th at all. Itâ€™s like the VA doesnâ€™t want me to get paid for my mileage for my visit. This new way is very irritating and stupid.</t>
  </si>
  <si>
    <t>My appointment was right on time!  Everything during my appointment went very professionally ! 
After my appointment I stopped at the appointment check in counter and got an appointment to get my Covid booster shot with no problem at all!</t>
  </si>
  <si>
    <t>Cottonwood VA Clinic</t>
  </si>
  <si>
    <t>All the staff, especially Dr. [NAME] in Cottonwood are amazing. They spend time with all their patients and address all issues. Even answer questions. The check in staff is great too.</t>
  </si>
  <si>
    <t>I recommend bringing back the check in kiosk, this will make it easier for the veteran and the staff.?</t>
  </si>
  <si>
    <t>I was disappointed that the Check-in Keosk system has been disconnected.</t>
  </si>
  <si>
    <t>Norfolk VA Clinic</t>
  </si>
  <si>
    <t>The smartphone check in system does not work. I scanned the barcode and followed the instructions. After two attempts I checked in with one of the lovely ladies, which was much better than a phone anyway.</t>
  </si>
  <si>
    <t>Santa Fe Springs VA Clinic</t>
  </si>
  <si>
    <t>The check in folks and the nurse taking my lab tests was very nice and pleasant. I did not feel like a dart board. Thank you..</t>
  </si>
  <si>
    <t>I always have a problem when I check in for Blood Work. I make appointments and verify them as well.
But the paperwork is never submitted!  Itâ€™s never in the computer system! That means a wait until it can be sent to the check in desk so I can get the blood work done.
The staff is very nice and helpfulâ€¦..no complaints there. I appreciate the VA being there for me.</t>
  </si>
  <si>
    <t>I was disappointed to learn that the Kiosk machines wre being removed. This will make checking into clinics harder again with longer waiting times for a clerk.Removing the Kiosk machines has made it hardef to file travel claimes. 
Please keep the Kiosk machines.</t>
  </si>
  <si>
    <t>The check in process has gone back in time. Back to waiting in lines and checking in in person.  They say that you could do it via your phone how ever phones donâ€™t work inside the bldg.  I was unable to file for my travel.  The lady said if I couldnâ€™t complete the travel on my phone to stop back by.  Really Iâ€™m gonna drive an hour back to complete the paper.</t>
  </si>
  <si>
    <t>Doing away with the sign-in kiosks and forcing me to use a smartphone, scan a QR code and use cellular data is not making things easier for retired veterans living on a fixed income.  Learning how to scan QR codes is not easy, reading web pages on a little screen or having to spend $1000 to get a larger smartphone is counter productive.</t>
  </si>
  <si>
    <t>Kiosk would not allow me to check in.
I was able to speak to a representative and access was grantedðŸ˜Š</t>
  </si>
  <si>
    <t>Clermont VA Clinic</t>
  </si>
  <si>
    <t>Met my new PC dr at Clermont outpatient clinic, she was rushed due to the next day hurricane approaching and she probably had many other vet patients for the same day , even though she didnâ€™t prescribed me anything for my deteriorated health issues I felt appreciated , the Dr asked me to  sigh a release of info from outside care and Idid with the help of the person at the check in/out desk, thanks</t>
  </si>
  <si>
    <t>Get the kiosk working to log mileage claims.</t>
  </si>
  <si>
    <t>No one to check in with. Phone check in did not work</t>
  </si>
  <si>
    <t>William "Bill" Kling Department of Veterans Affairs Outpatient Clinic</t>
  </si>
  <si>
    <t>Not sure what the new lab check in is about. It didnâ€™t seem to make the process smoother</t>
  </si>
  <si>
    <t>When I arrived at the check-in desk for the ultrasound, the receptionists were very friendly and attentive to my needs. They gave me directions to the ultrasound waiting area which were easy to understand. The ultrasound technician called me in early and was very friendly and knowledgeable. I really felt that the VA employees cared about me like a family member. Thank you all for the great work!</t>
  </si>
  <si>
    <t>Two things, I get a shot monthly and sine the beginning of covid my wife has been giving me the injection. The VA clinic seems to have no desire to start doing that. Second, the kiosks that let my apply for travel reimbursement are blocks off and no matter what I do I cannot login to the new BTSSS system. It says it lacks information.</t>
  </si>
  <si>
    <t>Using the kiosk to check in and do travel pay was so easy and convenient.  Whose bright idea was it to do away with them.  Now travel pay is paperwork which is very unreliable.</t>
  </si>
  <si>
    <t>Fill prescription before I arrive. Do not wait until I check in. Be more like outside locations that fill it then I just have to pick it up</t>
  </si>
  <si>
    <t>30</t>
  </si>
  <si>
    <t>Integrated Queue on VA Mobile App would be nice upon check-in to see current status in queue while waiting for prescription.
Also, if possible having an estimated wait time upon check-in would free up patientâ€™s time for other things while waiting to pickup prescription. This will also mitigate any possible frustration over waiting and not knowing how long further it will be for patients.</t>
  </si>
  <si>
    <t>The number system at the lab check-in is antiquated. Can we move to check-in with the kiosk instead of taking a number and waiting in line?</t>
  </si>
  <si>
    <t>The travel pay situation is a mess. It just does not work. The guys in the office are great and are nearly as frustrated with this mess as I am. Maybe more. The kiosk system worked great in my experience. Could be why it was DXed. Seriously, get it together. It is NOT serving the veteran. I have to call them again Monday because one is in limbo after 3 weeks because the system does not work.</t>
  </si>
  <si>
    <t>From Security check in, front desk staff, Physician, Pharmacist, to follow up appointment specialist, I received 5-star service!!! Huge kudos to everyone who made my experience so wonderful! My apologies for not getting everyoneâ€™s names!!</t>
  </si>
  <si>
    <t>I really like the smart phone checkin for the appointment. 
Unfortunately I hate that the travel reimbursement is no longer available.</t>
  </si>
  <si>
    <t>Veterans walk in and get in line to pick up their meds; while others like myself check in at the check in for a number to be served, only to watch many others get in line to get their meds. Lack of Communication by the VA Pharmacy; Either put up a written notice â€œTo be served at the Pharmacy window - Please check in for a servicing numberâ€! Takes guess work out on how the VA pharmacy should work!</t>
  </si>
  <si>
    <t>Lafayette VA Clinic</t>
  </si>
  <si>
    <t>Told auto check-in will be eliminated. No reason given. Had to check in at front desk.
If this will be the norm I can see long lines and time consuming check ins.</t>
  </si>
  <si>
    <t>2022-10-06</t>
  </si>
  <si>
    <t>The kiosks inside the Dayton VA no longer support submitting mileage expenses except for a couple kiosks and the two I tried to use did not work. The Travel Office provides you with a handout to do it at home from your computer, but I have run into several cases where my appointments I've attended are not listed and when adding them, it did not like the date/time format when doing it right.</t>
  </si>
  <si>
    <t>what's the problem with the sign-in kiosks sometimes they work and when they don't work please put a don't work sign or a sign-in tablet.</t>
  </si>
  <si>
    <t>Design of check in area in clinic with chairs placed in front of counter makes it extremely uncomfortable to lean forward to hear staff. With masks and plastic partitions it is very difficult to hear the staff. It is also very uncomfortable to the lower back.</t>
  </si>
  <si>
    <t>I received Excellent &amp; Outstanding Veteran walk-in care and services!  Check in rep suggested the following order:  Xray; Blood work; Bone specialist/Doctor; Physical therapy; flu shot; Covid booster shot; and pharmacy if needed. I received excellent, timely care on all of the above health care services in 2 hrs 10 minutes.  Un-beliveable time with Excellent Care!</t>
  </si>
  <si>
    <t>The black gentleman downstairs where you check-in was SO RUDE and CONDESCENDING, talking to me like I'm an idiot!</t>
  </si>
  <si>
    <t>I would like to see a list posted of the order of the veterans that are waiting to be called. Someone must have a list of the ones that have checked in. I think this would help the anxiety of not knowing where you are on the lists. This could be added as a menu item in the seldom used kiosk. You could get a kiosk from JCVA Hospital, they have never used them.</t>
  </si>
  <si>
    <t>The use of QR codes to eliminate the need for a kiosk does not work. The problem with the current system is if you have multiple appointments it randomly picks  which one to enter and often it's not the 1st one.also if you have any scheduling messages  you have not yet seen these are required to be seen first before checking in can be done.</t>
  </si>
  <si>
    <t>The appointment went excellent, from check-in, doctor, nurse and service provided by all.</t>
  </si>
  <si>
    <t>Edward P. Boland Department of Veterans Affairs Medical Center</t>
  </si>
  <si>
    <t>The appointment reminder card I received had the incorrect building I was to report to.  It took several attempts to findout where I should go. Once at the correct location the checkin machine was out of order and the nearest one would not allow me use it because I was at the wrong location.  I hope all this confusion was caused by the ongoing construction.</t>
  </si>
  <si>
    <t>Fort Smith VA Clinic</t>
  </si>
  <si>
    <t>Arrived for my appointment and was checked in at 7:30 am did not get called back until 9.  That was after I went back to the check in desk to ask what was going on.  Once the nurse took me back she stated that she wasnâ€™t expecting me until around 930-10 so didnâ€™t bother to look and see if I had gotten there early.</t>
  </si>
  <si>
    <t>Signs are posted to auto check in. I scanned the code and was told that I would receive a text which never came. The Receptionist are ignorant and could care less if they help anyone unless they have to. The check in computers are out of order.  Other than that the medical staff are great.</t>
  </si>
  <si>
    <t>Went to get a flu shot @ firm A &amp; after 45 Min found out that they lost the paperwork.  I wound up going back to the covid/shot kiosk and that took 15 min</t>
  </si>
  <si>
    <t>My eye care tenant injection appointment was cancelled for this day so I had to stop at eye care to reschedule. No explanation as to why it was cancelled was given.Also the kiosks no longer accept travel pay requests. The Access VA.gov would not accept my travel pay for the whole month of September. The care and people dealt with were professional and courteous. As usual.</t>
  </si>
  <si>
    <t>With COVID pretty much under control, please remove the fence and restrictions that were established at the ER walk-in entrance (between Bldg 80 and 50) so that it is easier to access Bldg 50 and 38 by going into the Coffee Shop area entrance or into the ER hall way access to 50.  It seems the COVID check in's are not having to screen like they did at the onset of the pandemic - wasted help?</t>
  </si>
  <si>
    <t>The facility needs way-signage! Only at the two entrances are the kiosks with the directory. Once you gate past the entrances you are LOST! and not all services are in the directory anyway. I was repeatedly lost!</t>
  </si>
  <si>
    <t>The green desk check in section was void of people and we waited in line in excess of 15 minutes for someone to show to check us in for our appointments. Several elderly folks were ahead of me and really concerned that they will miss their appointments.</t>
  </si>
  <si>
    <t>Bring back the ID card scanners for check in and travel pay. Doing it by phone is not faster,better, or easier for people of a certain age. To me a phone is used to talk to or listen to someone talk to me and nothing else.</t>
  </si>
  <si>
    <t>put all ent services on one floor I had to check in on 2nd floor and had to go to 4th floor on the opposide of the building almost late for my appointment not sure where to go</t>
  </si>
  <si>
    <t>The check-in nurse seemed sincerely interested about my health and doing a good job of documenting my concerns.</t>
  </si>
  <si>
    <t>Check in was odd due to kiosk/ phone/ personal check in...
But, my health advisor came with and you guy's are doing a great job. Thanks ðŸ‘</t>
  </si>
  <si>
    <t>The QR code or text check-in is awful. It takes seconds for a human being to check in a patient. It takes over 3 minutes to use the QR code, providing there's wifi access.
Just because a technology such as QR codes exist, does not mean it should be used. In this case, it adversely affects veterans while taking human contact out of the equation.
Human contact is important, and faster!</t>
  </si>
  <si>
    <t>You should reuse the kiosk to check in process. To me it was a lot easier.</t>
  </si>
  <si>
    <t>I was supposed to get an eye check in May. When I called for that appointment the operator had no idea how to get me to a local provider as they couldnâ€™t get me in for two months. I called back and had another operator tell me someone would notify me. Then I got a call and asked me a bunch of questions about when where and I agreed to anything. Then they didnâ€™t they still didnâ€™t give me a appointm</t>
  </si>
  <si>
    <t>Check in went great Dr [NAME] explained everything and was a great listener</t>
  </si>
  <si>
    <t>Check in at Primary Care was easy and the check in folks were courteous and friendly.  Chris (LPN) was extremely welcoming, friendly and professional.  Dr. [NAME] was courteous, personable and thorough with my annual physical.  Positive experience at the PGC Lindstrom Colorado Springs VA Hospital.   Additional acknowledgement to Nurse [NAME], extremely helpful  my Healthvet secure messages.</t>
  </si>
  <si>
    <t>My visits are always a study in professionalism. Check-in can now be accomplished using my Iphone. I never have long to wait before a friendly face welcomes me.  I've made  some fine friends at the Allentown Clinic.</t>
  </si>
  <si>
    <t>I along with many others would like to use travel claim again on the  kiosk machine</t>
  </si>
  <si>
    <t>Wausau VA Clinic</t>
  </si>
  <si>
    <t>What happened to the mileage kiosk and the auto check-in?  I really like to use this feature when I have appointments.</t>
  </si>
  <si>
    <t>Outstanding administration of my medical appointment with reminders, confirmations and opportunities to make adjustments in the appointment if needed.  The procedure check-in was precisely timed such that I was registered, prepped, and monitored in time to start the procedure at the appointed time.  I recall 3 confirmations during the appointment of critical information regarding my procedure.</t>
  </si>
  <si>
    <t>My visit was very comforting. From check in through exit. First one Iâ€™ve had in over 2 years. ( Covid is responsible)</t>
  </si>
  <si>
    <t>You got rid of the check-in kiosa for check ion. My check-ion was not easy because they need to check my insurance. But what about the older veterans. Many may or do not even have phones. Just saying the jump to HI-tech is not always the thing to do when you have to deal with a wide range of people (and ages).</t>
  </si>
  <si>
    <t>The check in with phone is ridiculous. Was better using the kiosk and VA card.</t>
  </si>
  <si>
    <t>Northwest Metro VA Clinic</t>
  </si>
  <si>
    <t>The staffing shortage at the front desk made my check-in time over 10 mins.  The self-service kiosk was closed, there was a gentleman in line behind me that was experiencing chest pains (he didn't disclose until he was called to proceed by front desk).  I work in health care and understand those working were doing their absolute best.</t>
  </si>
  <si>
    <t>Lot's of confusion as to where my appointment was. Told ahead of time to go to Pod A. Got to appointment only to find Pod A closed with a sign in the window. Sign indicated that I should now go to the Audiology office to check in for Dermatology appointment. Sign was wrong. Luckily, passing employee in the hallway saw me looking around, and led me to the correct location.</t>
  </si>
  <si>
    <t>Fort Belvoir VA Clinic</t>
  </si>
  <si>
    <t>The check-in desk could be better staffed. There are three people on the staff. One was on the phone and two were talking between themselves for about five minutes ignoring the check in process.</t>
  </si>
  <si>
    <t>Check in was quick. Very short waiting time to be seen. Staff was courteous and friendly. Thank you.</t>
  </si>
  <si>
    <t>I always have been completely satisfied with my visits to the Traverse City VA clinic. Quick check-in and short wait times to see whomever I am there for.</t>
  </si>
  <si>
    <t>Excellent draw within time expectation of appointment.  Easy and friendly check in procedure.  Excellent blood draw and attention!</t>
  </si>
  <si>
    <t>Cobb County VA Clinic</t>
  </si>
  <si>
    <t>Great  new VA clinic. Everyone was very helpful. Check in was easy and  people were very friendly in guiding me thru. Audiologist was very gets an A Plus her name is Dr [NAME].</t>
  </si>
  <si>
    <t>Erie VA Medical Center</t>
  </si>
  <si>
    <t>The NON KIOSK check in may prove to be difficult if you don't have a cell phone on you &amp; you are not savvy in using smart phones.</t>
  </si>
  <si>
    <t>Louis Stokes Cleveland Department of Veterans Affairs Medical Center</t>
  </si>
  <si>
    <t>You removed the kiosk method for travel reimbursement. using my ID card to sign in and do travel pay is about A MILLION TIMES EASIER than the dam form@@!! forms SUCK, ask any vet. Why in God's name did you remove easy and replace it with IDIOCY. there are far more germs using the forms than the kiosk. You have made my VA experience Worst by removing the kiosk</t>
  </si>
  <si>
    <t>The check-in for my CT scan was quick and efficient. I was taken for my appointment early and actually finished when my appointment was supposed to start. Saturday's are the best times for these types of appointments.</t>
  </si>
  <si>
    <t>From check-in to check-out service was provided by true professionals.
THANKS.................
WRS</t>
  </si>
  <si>
    <t>New check in system left me in the waiting room over Â½ hour. Even when I checked in with front office representative the care provider still wasnâ€™t aware I was waiting.</t>
  </si>
  <si>
    <t>There need to be a more efficient check in process for appointment.  Some VA employees don't seem to have a sense of urgency when dealing with a Vets needs, questions or concerns.  Plus some Vets that are employed by the VA tend to forget we all served together regardless of the rank achieved before a Vets exit from active service.  We are all human and deserve to be respected.</t>
  </si>
  <si>
    <t>Palo Alto</t>
  </si>
  <si>
    <t>My appointment was at 1:00 pm. I arrived at 1:03 pm due to lack of verification of where my appointment was to take place. I checked in at 1:03 pm. I waited until 2:30 pm, in the waiting room, before someone came to ask me if I had an appointment. Apparently, the check in clerk failed to let anyone know I was there for my appointment with the orthopedic department.</t>
  </si>
  <si>
    <t>Fort Knox VA Clinic</t>
  </si>
  <si>
    <t>From check-in to the end of the appointment everyone is very helpful and attentive!</t>
  </si>
  <si>
    <t>Excellent care from the Dr and Attending. Both were focused on my health.  Check in,  check out and the building (water fountain in wait area broken and torn apart,  bathroom missing sections of wall) could have been better.</t>
  </si>
  <si>
    <t>Please stop asking for veteran last four of social security for ID in public waiting room areas.  Everyone around the check in desk can hear this information.  Privacy issue!</t>
  </si>
  <si>
    <t>A little more respect from the ladies at the check-in counter would be nice. When asked about insurance I stated that I didn't have any and was asked if I was on social security and I said that I wasn't old enough yet. The young lady gave me a disgusted look and made a comment that I couldn't hear. Being a 70 percent disabled vet I didn't realize that I was supposed to have insurance.</t>
  </si>
  <si>
    <t>Southwest Las Vegas VA Clinic</t>
  </si>
  <si>
    <t>I tried to log in at the Kiosk for my appointment.  It would not allow me until I saw the Insurance dept.  It was 8:30 and no one was in the office.  Sign says it opens at 8AM.  
Lucky the nurse called my name for my appointment and I was examined.</t>
  </si>
  <si>
    <t>Longview VA Clinic</t>
  </si>
  <si>
    <t>From hospital entry to departure, it seemed like I was there for only 5 minutes. Swift check-in, short questions to answers, and scan completed! Great staff - promote them!</t>
  </si>
  <si>
    <t>This facility needs to have more than one operational Kiosk.</t>
  </si>
  <si>
    <t>The teal team has no place to check-in.  The time before last we checked in a 2 but went to 3 for service.  This time we checked-in  at 2 and was told to wait at 2 for service however the nurse looked for me a 3.</t>
  </si>
  <si>
    <t>Lancaster County VA Clinic</t>
  </si>
  <si>
    <t>The Lancaster VA clinic is clean and orderly. The staff are cordial and very helpful. The wait time between checkin and call-up is minimal.</t>
  </si>
  <si>
    <t>Everyone involved in the entire process from scheduling to check in and finally ultrasound was courteous and professional.</t>
  </si>
  <si>
    <t>Excellent online check in process! First time using it and it worked like a champ! Thank you for your excellent service.</t>
  </si>
  <si>
    <t>When told to arrive 15 minutes prior to check in shouldn't have to wait 30 minutes to check in because the kiosk is out of order. Sign says to use one sign says to use it another sign says not to use.</t>
  </si>
  <si>
    <t>98</t>
  </si>
  <si>
    <t>This relates to the new process for submitting a travel/mileage claim.  I don't like it.
Instead of the easy-to-use on-site kiosk, you've switched to a complicated, time-consuming online process. Now, in order to submit a claim, veteran has to log-in to several portals, create a "new" appointment (because system is not current), and get provider to confirm that appointment occurred.</t>
  </si>
  <si>
    <t>Very helpful check-in at imaging.  Imaging staff also very kind.</t>
  </si>
  <si>
    <t>I had my annual physical scheduled for 3 Oct.  I fasted the night before and arrived at the lab at 7:00 for blood and urine samples.  When I went check in for my physical they told me my appointment was cancelled by them.  No prior notice or reason for cancellation was given.  My NP was there and seeing other patients, so it was not do to unexpected staff shortage.  It took a day off work for this</t>
  </si>
  <si>
    <t>Quick, courteous check in. Excepitional treatment from the person drawing blood. Good overall visit.</t>
  </si>
  <si>
    <t>I did not like standing in line to check in . I prefer the kiosk . I know you are trying to upgrade but I don't know how to use the smart phone . I took a picture but that's as far as it went , nothing else came up .</t>
  </si>
  <si>
    <t>Make the travel claim system easier.   The Kiosks were great, and now it says they will no longer be available and that stinks.</t>
  </si>
  <si>
    <t>The phone system is the worst i have to used took me 45min to get results                   And second is trying to get the mileage sent to be sent in most if old people donâ€™t used a computer go back to letting used kiosk machines</t>
  </si>
  <si>
    <t>I do not like the new check in  System</t>
  </si>
  <si>
    <t>The QR phone check in doesn't work or make it easier.</t>
  </si>
  <si>
    <t>The kiosk tech behind window #2 did not mark that I checked in and I sat in waiting room over 1.5 hours. He sat behind his monitor and hid his face. This needs improvement.</t>
  </si>
  <si>
    <t>Had troubles figuring out how to check in because the Image center said call the phone on the wall. There was no phone so another woman and I was walking around like idiots trying to find this non existing  phone till the same imaging woman told the man who went back stated to only him that it was a phone number not what she told us.</t>
  </si>
  <si>
    <t>I always checked in before with my VA card. I do not like the new check in system, I do not own a smart phone or cell. The cell phone on my record belongs to my wife and I do not intend to get a smart or cell phone.  I had to check in at the desk and they did not seem to happy about it.</t>
  </si>
  <si>
    <t>Primary care has two waiting areas and there is nothing to tell you where to be unless you ask.  Everyone was busy so I waited after check in and I was in the wrong room. they called me from across the hall and I had no idea they were looking for me.  just a suggestion, have primary care set up more clearly or designate sides some how</t>
  </si>
  <si>
    <t>Appts are being scheduled at 730 am , when the clinic doesn't open until 730 am. There is a line of patients waiting to get in , which results in a flood of patients at registration. I lose valuable time with my therapist due to this , when my appt is schedule for 730 to 830, but I can't even get checked in until 745. Any other clinic has you check in at least 20 minutes prior .</t>
  </si>
  <si>
    <t>Check in was fast &amp; easy. Tech that repaired my heading aide was friendly &amp; very efficient. In &amp; out in less than 10 mins.</t>
  </si>
  <si>
    <t>My appointment with audiology was at 7:00 am on October 3.  I was informed by the VA to check in 30 minutes prior.  I arrived at 6:45 am.  The lights were out and no one seemed present.  Right at 7:00 am a woman slowly makes her way in and opens the door.  She said 'We don't open til 7.'  I learned someone was in the office with lights out.</t>
  </si>
  <si>
    <t>The receptionist needs to be more attentive and nicer when you check instead of acting like its just a job.</t>
  </si>
  <si>
    <t>Loved the self check in kiosk. The kiosk contract wasnâ€™t renewed. Bring back the kiosk.</t>
  </si>
  <si>
    <t>From the 'check-in' person to the 'check-out' person, including the nurse that prepped me for the Dr's visit and the tech that handled my ICD check were professional, kind and had great personalities.  My experience with the VA has always been posiitive.</t>
  </si>
  <si>
    <t>Travel pay got much more difficult for sick veterans I like the kiosk better</t>
  </si>
  <si>
    <t>My apt was at 9am.  I walked in at 845 and began to registed at the kiosk.  I was called back before i even finished the kiosk.  Nurse took my vitals and took me to another room for my apt.  The doctor (a gi specialist) was waiting for me in the room.  He was informative and set my treatment plan out for me.  This visit was all around better than any non VA dr office i have been to in years!</t>
  </si>
  <si>
    <t>When checking in for appointments I feel the clerks are unapproachable.  They sometimes come across as rude to
patients.  The texting system with cell phones can be challenging for our senior Veterans or some Veterans that are not use to texting or using a cell phone at all.  Alot times the check in clerks come across as rude when speaking to our Veterans.  They should show a little more concern.</t>
  </si>
  <si>
    <t>I didn't know where to go when checking in to a primary care appointment and the email/text instructions were not specific to where to check in.</t>
  </si>
  <si>
    <t>Thunderbird VA Clinic</t>
  </si>
  <si>
    <t>I'm glad the kiosk check in has been removed.</t>
  </si>
  <si>
    <t>I was not able to check in for my appointment because the computer was down and the frontdesk personnel had to walk to the and inform the staff that I was there. In addition, there was a fire drill which made me late for work</t>
  </si>
  <si>
    <t>Washington Avenue VA Clinic</t>
  </si>
  <si>
    <t>My health care provider, Dr. [NAME] is/was helpful and the women at the front desk always took their time to help me check in and kept me in the loop about future appointments.</t>
  </si>
  <si>
    <t>Everyone involved from check in to check out weâ€™re extremely professional I would say outstanding job everyone!!!!</t>
  </si>
  <si>
    <t>I was sent an email letting me know that a new system was in place to check in . I found the place that had the code and was able to log in and check in . It said that I was checked in. As I waited others that went to the check in window were being called first. Finally went to window to be told the new system was not working properly. So the did call me next as I had been waiting over 45 minutes.</t>
  </si>
  <si>
    <t>This clinic is coming along in the positive it appears and it was good to see they now have an advocate on site who struck me as being somebody who really cares as she did listen to my rant and jotted down notes in the process . I did note that there were a few of us that had to stand in line awaiting the check in procedure and some of us ( myself included ) had a bit of difficulty doing this ðŸ‘</t>
  </si>
  <si>
    <t>RN [NAME](?) was very helpful &amp; took the time to respond to my situ.
On OTHER HAND, the (the prior) clowns that do NOT even answer the phone half the time across the breezeway in check-in continue to be the worse in all my appts at any VA Medical.</t>
  </si>
  <si>
    <t>The new check in using your phone is terrible. The kiosk was much better. I donâ€™t see how this new system will work with older vets. Upon entry I was asked if I checked in, well no thatâ€™s what Iâ€™m doing now. Was told politely to answer a text I got? When I was showed how to do this the page wouldnâ€™t load. I was then sent to an actual person to check me in. Lack of staff was concerning as well.</t>
  </si>
  <si>
    <t>Labs were first i checked in at the door and it didnâ€™t work so had to ask what to do.  And I was told to go to labs and then check in later.</t>
  </si>
  <si>
    <t>Iâ€™ve had great experiences with the healthcare providers on the second and third floor of the south clinic!
However, the folks behind the desks (and behind the glass :-( )
are not the most helpful. Many times I see older veterans struggling trying to check in. The desk workers are very slow to help. Usually someone else will help them. The distance between the staff and patients is too great.</t>
  </si>
  <si>
    <t>Visit was with [NAME].  She did a great job with appointment. All good. 
There was a little delay getting check in. There were two attendants.  But only one was checking members in, so had to wait a few minutes.</t>
  </si>
  <si>
    <t>Forty Sixth Street South VA Clinic</t>
  </si>
  <si>
    <t>The wait after check in was way to long (30 mins to 45 mins).  Some patients in the waiting room were very upset on the wait and were using profanity due to poor response time.</t>
  </si>
  <si>
    <t>Need to go back to the way we used to check in
.</t>
  </si>
  <si>
    <t>After my check-in a patient arrived 30 min after me and was â€œpushedâ€ through the check-in process to meet his appointment time, even though we both had the same appointment time. It was obvious that the medical staff had forgotten I had already checked-in and allowed the next patient to go before me as I had to wait for the doctor to see the patient that was pushed through.</t>
  </si>
  <si>
    <t>Excellent follow-up visit all round; from Lab work, check-in, Nurse screening, and especially the Doctor's visit. Much appreciated and many thanks!</t>
  </si>
  <si>
    <t>Troy Bowling Campus</t>
  </si>
  <si>
    <t>Elevators from parking garage are terrible. Travel reimbursement system is horrible. Kiosk were so much better!</t>
  </si>
  <si>
    <t>The check in associates were very helpful and knowledgeable. Terry the nurse was very friendly and helpful.  Dr [NAME] was great as always. She listens to me and explains what is going on. A great visit.</t>
  </si>
  <si>
    <t>I always check in early and usually am not there more than an hour and 15 minutes. Purple team is the best.</t>
  </si>
  <si>
    <t>This is not really a complaint but I was 15 minutes late and it took them 45 minutes to call my name. It's completely understandable because I want everybody else to go in front of me They got there early. I wish we could go back to the kiosks to sign in so we know how long to expect</t>
  </si>
  <si>
    <t>Entire staff was exceptional. Very pleased with treatment from check in, triage, and medical actions. Pleased with labs and imaging services received.</t>
  </si>
  <si>
    <t>It is very hard to file for travel pay. Your software does not work properly, the travel office has been closed for months, and the kiosk which I love has been removed. Filing by mail is the only option. you should make available printed claim forms and business reply mail envelopes for travel at every sign in location. This is really a big problem! The patient should not have to struggle!</t>
  </si>
  <si>
    <t>Atlanta VA Medical Center</t>
  </si>
  <si>
    <t>I have had over a hundred visits to the VA. It's has been a long time since my last appointment. I was very impressed with the improvements. How everything went well. The parking, the check-in, the visit with my doctor, and the ease of my departure. Finally, a smooth operation.</t>
  </si>
  <si>
    <t>Robert S. Poydasheff VA Clinic</t>
  </si>
  <si>
    <t>The people were rude at check in and check out</t>
  </si>
  <si>
    <t>Very nice and professional from check-in through blood draw. Almost painless and very well done. The lab people are always great at JB!</t>
  </si>
  <si>
    <t>The tech that handled my MRI was amazing, courteous and super friendly. She was wonderful! The two ladies at check in however seemed irritated to be working there. I witnessed them being extremely short with elder Veterans. Then when I came up to the window was treated in the same rude manner. I was cutoff repeatedly while trying to explain I had already filled out a form. Beyond rude!</t>
  </si>
  <si>
    <t>The Blood Draw Lab was quick, efficient, and painless. The only issue that it confuses all the patients when you have to go to the window to check in and then go to the kiosk to get a number.</t>
  </si>
  <si>
    <t>Check in folks are very helpful and courteous.</t>
  </si>
  <si>
    <t>One of the check-in / check-out girls were boldly rude to a point I nearly made a scene.  This site needs a separate check-out line to avoid confusion.  She was a younger white girl with an attitude.  
I will surely avoid her on future visits.</t>
  </si>
  <si>
    <t>Bring the kiosk back for travel pay, it was much easier.</t>
  </si>
  <si>
    <t>There are signs at the front advising us to use a QR code or text to check in for lab work.  I complied, however, the check in system did not work.  No one advised me that it was not operational and there were no other indications that it did not work. If the system is not functioning, the signs should be removed otherwise someone who uses this check in system will be waiting expecting to be seen.</t>
  </si>
  <si>
    <t>At least there are smiling faces that greet you...however the ever changing (I understand the improvements in upgrading) upgrades kinda leaves one in the dark (for those that don't visit that often). 
Perhaps even an email notice that there have been (or are) changes occuring to check-in procedures.
Nevertheless the front office staff are very cordial and polite in getting you where yo need to go.</t>
  </si>
  <si>
    <t>It was an enjoyable and respectable experience overall.  I saw that the kiosks were not functioning and believe  it would have been more expeditious as I have a perienced at the Harlingen VA.  Otherwise I was very satisfied with staff.</t>
  </si>
  <si>
    <t>The clinical care was fine, the check in was terrible. There was no one waiting to check in and clerks at the first two or three windows. I went to the first open window. The lady was talking with a co-worker for a couple of minutes,  then stood up and walked away. I moved to the next window, two clerks seated, one standing and talking about a social activity.  After a couple of minutes one clerk</t>
  </si>
  <si>
    <t>The person sitting at the check in desk needs to be less rude. Should not assumed everyone knows the process during check in. The kiosk where we take the ticket number should be next to the check in desk.</t>
  </si>
  <si>
    <t>I was dropping off a sample and it took 45 minutes just for my number to be called to check in even though I signed in as a sample drop off... 
Number calling should be done over the speaker and not just yelled out as it is difficult for some to hear especially because there is not sufficient sitting available in the very small waiting area right next to the elevators.</t>
  </si>
  <si>
    <t>It may serve better that the clinic get a board that reflects your number opposed to someone screaming your name out . It doesn't seem to have any privacy when you go to the windows for check in.</t>
  </si>
  <si>
    <t>Iâ€™ve hsd EXCELLENT care from pthe Lee County VA with all my physical needs. I feel the VA totally has failed to help me with my mental crisis I had. I begged for help but said I had to be homicidal, suicide before I could check in hospital.I tried commenting  suicide and was committed to Park Royal Hospital! They are fantastic and Iâ€™m recovering with their help. Please utilize this facility.</t>
  </si>
  <si>
    <t>Everyone that I dealt with was professional and very respectful (check in clerk, nurses, doctor and pharmacist). The only negative that I have is that it took a while to get my medication but with that being said, I understand that thereâ€™s only one pharmacist that was on duty. She had a lot on her plate. She was great! recommendation.- have 2 on duty after normal business hrs.</t>
  </si>
  <si>
    <t>My technician was great! Sorry I didnâ€™t catch his name, but he was working at 0730 on 3 October taking labs. Keep stating your facility with All-Stars like him and you will continue to thrive with compliments and excellent service. Shout out to the young lady sitting at check in desk #1, she was also very courteous!!</t>
  </si>
  <si>
    <t>I had a 10:30 appointment and checked in a few minutes early and was given a device which would buzz when I was called. I was standing next to a guy who had a 10:45 appointment who was called ahead of me at 11 AM. I questioned the girl at the check in window who looked back in the appointment list and found me two pages back. At that time, she informed me that I was next and was called in at 11:05</t>
  </si>
  <si>
    <t>I had an appointment for 10:30 a.m., and arrived a few minutes before that.  I was immediately able to check in, with promptness and courtesy.  Then I was immediately taken back to an office where my needs were immediately addressed, again with courtesy.
I have never been treated otherwise at this facility at any time for any reason.</t>
  </si>
  <si>
    <t>Am having trouble doing my travel pay always get not complete and have not received pay for my appointments since May. WHY STOP THE KIOSK AS IT WAS SO MUCH EASIER AND FASTER.</t>
  </si>
  <si>
    <t>I thought the kiosk system for checking in and travel pay worked excellent. Trying to use a cell phone doesnâ€™t work if you donâ€™t have cell coverage. Also travel pay reimbursement Was also quicker and easier to navigate.</t>
  </si>
  <si>
    <t>Every time I have used the VA pharmacy in Prescott AZ things have always gone exceptionally well.  Even when they are busy it seems to me seldom have I waited longer than 10 minutes to obtain what I need.  Everyone from the person at the check in desk to the staff in the back have all been nice, efficient, &amp; great to do business with.</t>
  </si>
  <si>
    <t>Brooksville VA Clinic</t>
  </si>
  <si>
    <t>Reception/check-in staff are always VERY pleasant &amp; courteous, &amp; they go out of their way to fulfill any &amp; all of my needs &amp; requests.</t>
  </si>
  <si>
    <t>Pocatello VA Clinic</t>
  </si>
  <si>
    <t>As always I get great care in Pocatello, yesterday they had a new check in process that I didnâ€™t care for , it was very slow to respond and I wonder how older vets deal with it sho donâ€™t have smart phones. The old system was faster and easier to use</t>
  </si>
  <si>
    <t>I received a prescription from Kessler AFB (I was referred to Kessler) and I stopped by the VA Biloxi facility to drop off the prescription at the Pharmacy.  I checked into the kiosk and waited 30 minutes to be called up just to drop it off. There was 5 people ahead of me. My time is valuable too. There needs some sort of streamline process for dropping off prescriptions. 1 minute drop off is what</t>
  </si>
  <si>
    <t>Eagle Square VA Clinic</t>
  </si>
  <si>
    <t>The staff at Eagle Square is friendly and very professional! From check in to appointment, Iâ€™ve never had a bad experience there or at the Providence VA Hospital!</t>
  </si>
  <si>
    <t>Hoosier VA Clinic</t>
  </si>
  <si>
    <t>Check in was easy and I was called within minutes to have the pre-doctor inquire and questioning. Then the doctor was right in and went thru my labs and did a small check up. Everyone was real cordial.</t>
  </si>
  <si>
    <t>The Kiosk's in the lobby would not work for my Apple iPhone.</t>
  </si>
  <si>
    <t>I checked in via the mobile check in / QR code however I waited almost an hour past my appt when someone came to check on me. We found out from the check in people that â€œoh that, yeah that never worksâ€. If thatâ€™s the case then take the sign down, I assumed that replaced the kiosks and was the preferred method.</t>
  </si>
  <si>
    <t>Make sure the Kiosk you check in at is functioning properly for scheduled appointments. I waited 30 mins after checking in to find out it did not notify my assigned Doctor that I was present.</t>
  </si>
  <si>
    <t>Louis A. Johnson Veterans' Administration Medical Center</t>
  </si>
  <si>
    <t>go back to old travel pay either kiosk or person, I can NOT and will NOT do the new stuff to hard and stressful for me, I HAVE MENTAL ISSUES that you know about and don't care</t>
  </si>
  <si>
    <t>Checked in at kiosk.  OI was instructed to take a seat and wait for my ticket number to be called.  Forty minutes later n numbers had been called, only names.  I finally inquired at a work station and from that point on, things went smoothly.  I think I could have sat there until closing time, however, if I had not taken the initiative.  Clearly a glitch in the queueing process.</t>
  </si>
  <si>
    <t>Southwest VA Clinic</t>
  </si>
  <si>
    <t>I loved the kiosks. They made it easy to check in and file for travel. Now one has to navigate some web page to file for travel. I guess that is what the VA wants make it hard to file for travel so they donâ€™t get paid out?</t>
  </si>
  <si>
    <t>Checking in has become more difficult since the removal of the kiosks. The two alternate methods both failed today.</t>
  </si>
  <si>
    <t>I went to check in for my primary care appointment but checked into the Lab Work Station by mistake because there is a sign I saw that said "Check In" that did not clearly say "Lab Work Check In" and it was the first thing you see. I ended up missing my appointment window. To the Staff's credit they were very understanding and was able to see me without too much delay.</t>
  </si>
  <si>
    <t>I made an appointment for OMH erroniously, turns out it wasn't for my usual clinic. One of the women, a black lady with blonde hair, at the OMH check-in was nice and understanding. However, another woman that she was consulting with was dismissive towards me and gossiped about me when I was still near the desk.</t>
  </si>
  <si>
    <t>All my experiences have been positive with VA and Louis Stokes hospital. Noticed if you check in early, generally you are taken in before your appointment.</t>
  </si>
  <si>
    <t>Go back to using the check-in scroll and I am not offended if called by number instead of name.</t>
  </si>
  <si>
    <t>My experience on September 30 was a delight to get the professional care by check in and out staff. The nurses and doctorâ€™s was very concerned, explainable each step in what they were doing. The Pharmacy was very professional also.</t>
  </si>
  <si>
    <t>Everyone from appointment check-in to the doctor that i meet with. Could not ask for more. Dr. [NAME] is one of the best doctors i have meet</t>
  </si>
  <si>
    <t>2022-10-03</t>
  </si>
  <si>
    <t>The kiosks  were more efficient</t>
  </si>
  <si>
    <t>Everyone I have dealt with @ Togus from the check in desk, help desk,    nurses, doctors and all medical staff  has been competent, professional, courteous &amp; helpful.</t>
  </si>
  <si>
    <t>Simple recommend on check-in. When ticket is received it should have the name of office and room number on the ticket.
TY</t>
  </si>
  <si>
    <t>When I check in for my appointment, the Receptionist stated that I didn't have a appointment . I reply how did i get this form for the appointment from the VA. After a few minutes She got on the phone and said you better get this Man in. She reply please have a seat. I will get you in. She did just that, I think her for being a Outstanding Receptionist. She needs to be told from your  Straff .</t>
  </si>
  <si>
    <t>Doctors are very good.  The check in staff need a taking too.  Most of us are old and a little hard of hearing, when we ask the check-in staff to repeat, they get their butts in a twist.  We know they are busy but so are we.  They know they will never be fired and fear not.  Shame on themâ€¦.</t>
  </si>
  <si>
    <t>When I arived at the VA and walked in the door I had know idea where to go. A greeter met me took my papers showed me how to sign in, where to go to check in they took my blood presser and told me where to go to see the Dr.. Wtih out the greeter I would of had know idear where to go.</t>
  </si>
  <si>
    <t>2022-10-16</t>
  </si>
  <si>
    <t>The PM&amp;R clinic are doing a great job helping me with my pain and discomfort. The office workers are right on the spot each and every time I check in. I would also like to complement the workers in the Travel Pay office. They always answer my questions and make sure I fill out everything properly.</t>
  </si>
  <si>
    <t>Check-in is horrific. Check in is take a picture of sign.  There is no clear sign of where to wait for customer service. Just a clerk saying " I am viewing a patient record" does not clearly say where to wait to talk to a clerk. The importance of customer information is violated with the loudspeakers on the counter so loud. The check-in does nothing about mileage.</t>
  </si>
  <si>
    <t>The clinic sends so many reminders about the appointment, that I wish at least one of them would have told me to bring my cell phone, because the check in system has changed. Apologies if you did send that notice, but I didn't see it.</t>
  </si>
  <si>
    <t>Marion VA Medical Center</t>
  </si>
  <si>
    <t>After checking in on-time, I sat for 45 minutes with no word of status.  Finally, my provider himself came out looking for me.  he said the system or the receptionist did not notify him of my check-in.  He knew it was not like me to just not show up, so he came out personally to look for me (compliment).</t>
  </si>
  <si>
    <t>Text to check in at Fort Smith didn't work. I followed directions of text to check in but doesn't work at fort smith, making it appear I was late for appointment when I had been 45 minutes early. If system isn't working, it should let you know to check in at main desk. Thank you for your help and consideration in this matter.</t>
  </si>
  <si>
    <t>Check in was easy.
Didn't wait long for appointment.</t>
  </si>
  <si>
    <t>The check in was confusing because they call out your number to come to check in and again when you are to get your blood drawn. This confused me thinking you only get called once and that was to go get the blood drawn. I thought i was missed when i heard numbers after mine but was only to check in.This is all new to me because last time your number was only called once. Changes happen to often.</t>
  </si>
  <si>
    <t>I always enjoy the kindness, love and caring I receive when I go to the lab at Hillsborough clinic. The ladies have a love for Jesus that flows throughout the clinic. I'm always taken care of at this clinic, from the lab, x-rays, and even the check in/out personnel. I only wish there will be a time when I can have my primary care doctor at Hillsborough clinic to handle all my medical needs..</t>
  </si>
  <si>
    <t>2022-10-15</t>
  </si>
  <si>
    <t>My only complaint was the dismissive wave and "come back in five minutes" message delivered by the MAS clerk who was on the phone when I tried to check-in for my appointment.</t>
  </si>
  <si>
    <t>Eglin Air Force Base VA Clinic</t>
  </si>
  <si>
    <t>Team 6 at Eglin Clinic has always been the best. Always respectful, and friendly. Especially the admin lady at check-in desk and Dr. [NAME]. The nurse is fine also, I just have hard time understanding him. Dr. [NAME] has always been a person who listens to everything I say and usually provides additional information if he deems it appropriate. Hope he stays here on Team 6.</t>
  </si>
  <si>
    <t>The check in was new and not explained. I am handy with technology but I did not know how to txt myself as arrived.</t>
  </si>
  <si>
    <t>I also visited the optical department after my visit to the audiologist.  The girl at check in was exceptional pleasant as was the optician.</t>
  </si>
  <si>
    <t>At check-in they always give me directions to appointment. Had 2 appointments today and got in early for each one-thatâ€™s great!</t>
  </si>
  <si>
    <t>The VAs setup to do travel pay is way to hard &amp; the system is down most of the time should go back to the kiosk that use to be in the VA</t>
  </si>
  <si>
    <t>Every station from check in, nurse, doctor and future follow-up appointment was handled with excellent personal and professional concern and care. Outstanding!</t>
  </si>
  <si>
    <t>The check in process is confusing. Youâ€™re told to go to one area you find out nobodyâ€™s at the window theyâ€™re so you walk to the next area they say just sit down there. The person comes out looking for you back at the first area and spends important time walking around trying to find you itâ€™s a waste of time for the staff and for the patient.</t>
  </si>
  <si>
    <t>Check in was very smooth. The wait was not long at all.  Provider was very good at understanding my concerns and taking them serious. Before I left I had an action plan on what was going to happen next.  With how many people the hospital deals with I have not had a bad experience to date</t>
  </si>
  <si>
    <t>Ventura VA Clinic</t>
  </si>
  <si>
    <t>Upon entering the facility, there are about 8-9 check in stations with no start line/position. Most of the stations had people working at them but i had to guess which station i should approach to check in. Recommend adding a 'start here' spot or something similar.
Very nice facility.</t>
  </si>
  <si>
    <t>Why are we still wearing masks at the clinic, the CDC recommended last month that all masks could be dispensed with.  And since the President declared the pandemic over why are you still screening at the front door?  The clinic should go back to its welcoming appearance with a lively crowd and many chatting veterans in the lobby.  Cell phones donâ€™t work inside the VA clinic, canâ€™t check in!!!</t>
  </si>
  <si>
    <t>Wood County VA Clinic</t>
  </si>
  <si>
    <t>I was greeted promptly upon arrival and asked the COVID questions.  I was then directed to the front desk for check in.  The facility was clean and cubicle provided for privacy of my information.  After a short wait was taken to an area where the nurse administered my shot.</t>
  </si>
  <si>
    <t>It is time to drop the mask mandate within the facility.  The mask provided at check in are not surgical grade N95 mask and offer little to no protection for the Covid virus.  I know it makes some people feel all warm and fuzzy to wear the mask, and that is their choice. However the mandate to wear a mask is just so outdated with what we now know about the Covid virus.</t>
  </si>
  <si>
    <t>Fort Dodge VA Clinic</t>
  </si>
  <si>
    <t>Would like to be able to utilize the kiosk to file my travel. This was a wonderful feature and very convenient.</t>
  </si>
  <si>
    <t>Check-ins should be in one location.  I found out that for my appointment I needed to go back to another area to check-in.  Why can't check-ins be done at the area by the front doors?  Obtaining appointments for care and checking in have always been problems with the Phoenix VA.</t>
  </si>
  <si>
    <t>I recommend expanding the number in the prescription formulary list since some generic pills are too large to swallow. Also, I would like to point out that many of the check-in/out of representatives hold too many conversations in Spanish, making nonspeaking individuals uncomfortable. I am Hispanic and bilingual and I agree with them.</t>
  </si>
  <si>
    <t>Removing the kiosk for travel pay is a good way to keep us from getting it. I still haven't  got through</t>
  </si>
  <si>
    <t>It was a lot easier for me to file my travel claim using the Kiosk machines they previously had, than having to do it online. Just the pages of instructions they gave me to file online is overwhelming to me.</t>
  </si>
  <si>
    <t>The new CHECK IN system does not work. I always have to go to the reception desk and check in through a staff member. The old check in system using the kiosk and my veterans ID card was easy, quick, and uncomplicated.</t>
  </si>
  <si>
    <t>After checking in at kiosk as the sign in the reception desk window indicated at 0830 for my 0900 annual eye checkup. I waited over an hour and was not called, I finally went to the reception desk and asked to reschedule appointment as I had another appointment in green clinic at 1100 hrs. I was very rudely told that I did not check in, and no appointments were available until next year,</t>
  </si>
  <si>
    <t>Disliked removal of sign in kiosks</t>
  </si>
  <si>
    <t>Checking in was so much faster when the Kiosk machine was installed. Now it is always a line.</t>
  </si>
  <si>
    <t>The door to the entrance for the Yellow clinic was not operational and required each person trying to enter to manually push the sliding doors apart.  A second issue was the receptionist was rude towards veterans trying to check in and to other staff.</t>
  </si>
  <si>
    <t>Lecanto VA Clinic</t>
  </si>
  <si>
    <t>At my check in I was asked about non-normal sexual orientation. Why not ask something meaningful to the military, such as:
            What are the differences between Marxism and Democratic Republics ? 
            What Government forms do our enemies have?
            What is the purpose of the USA's military?
Actually, such attention is so counter productive, I will write a seperate complaint</t>
  </si>
  <si>
    <t>Your new check in procedure is awful! If your older patients can navigate it, they Do Not need a further cognitive test, your younger ones either. DUMP IT</t>
  </si>
  <si>
    <t>Bakersfield VA Clinic</t>
  </si>
  <si>
    <t>The Bakersfield Clinic took away the appointment check in machines which was much faster, convenient and no line to wait in unless one had other issues and when I asked several personal about why they were taken away I got no answer.</t>
  </si>
  <si>
    <t>Not sure as how to use the smart phone check in, kept saying did not go through.</t>
  </si>
  <si>
    <t>Cranberry Township VA Clinic</t>
  </si>
  <si>
    <t>I was unable to complete check in with my smart phone?  Check in took very little time so it did not make any difference in my experience.</t>
  </si>
  <si>
    <t>From the check in procedure to the nurse and Dr. [NAME], the entire process was completely painless and the entire staff showed concern and respect for my views.</t>
  </si>
  <si>
    <t>Jacksonville Southpoint VA Clinic</t>
  </si>
  <si>
    <t>My visit was for blood draw. Appointment was scheduled for 0915. I check in 0905. After 15 minutes of scheduled appointment I check in to front desk. They to me to wait. I finally got my blood drawn at 1000 am. Only because I had to keep complaining to front desk.</t>
  </si>
  <si>
    <t>Check in took some time, long line and some delay. When I reached the desk he wanted to send me to another line.  Apparently he needed to go somewhere else.  It was already past my appointment time so he did help me.</t>
  </si>
  <si>
    <t>Please get â€œcheck in computer machineâ€ FIXED, or get new electronics.  It has been DOWN for long, long time. Waiting in line to just check in for a blood test( almost 5 minutes) unnecessary.</t>
  </si>
  <si>
    <t>Douglas Fournet Department of Veterans Affairs Clinic</t>
  </si>
  <si>
    <t>The check in process was out of order and was told to use the square scan code to check in . It worked but never told the blood work department that anyone was there . We all sat for 40 minutes till someone came out and asked if anyone was here to do blood work. It was a waste of time to checkin that way.</t>
  </si>
  <si>
    <t>Transportation pay was easy to claim in kiosk at check in. Now you have to do at home. Return transportation claims to kiosks.</t>
  </si>
  <si>
    <t>We waited for 2 hrs along with 60+ veterans at the Lab the at the check in desk treated us veterans terrible he should be Fired!I had Appt at 10 and he laughed and I waited 2 hrs.
After 1 hr the veteran seating next to me said he is diabetic and wait any longer! Its was Worst experience I had at the VA Bay Pines
VA hires people with no people skills.</t>
  </si>
  <si>
    <t>The kiosks were removed from blood draw area, why? Going back to the old days, had to take a number then took a chair to wait my turn. I thought the VA was going modern?</t>
  </si>
  <si>
    <t>All persons involved from check in to blood draw did and outstanding job.</t>
  </si>
  <si>
    <t>Loren, the front desk member  in the pain management clinic is one of the best people that is a part of my health care.  She shows a deep level of wanting to take care of "her" veterans. She is a calming but strong presence in the VA.  
A concern is with the check in and filing travel voucher.  Hopefully it will get better in time.  Now it it not as streamlined as it was when using the kiosk.</t>
  </si>
  <si>
    <t>Please bring back self check in. Personnel sitting behind the glass are always busy and not available for 'check in.</t>
  </si>
  <si>
    <t>I have been completely satisfied every time I've been there. I've seen my PCP, Eye Doctor, Ear Doctor, Nurses and scheduling and check in people and each time I've been treated with respect and thanked for my service.</t>
  </si>
  <si>
    <t>I checked into the pharmacy kiosk. Waited nearly 40 minutes to see a person. Just to be told to wait longer until the prescription was ready. That wait was another 45 minutes. Nearly an hour and a half to pick up a script that had been entered the day before. Not acceptable. Why the two windows?</t>
  </si>
  <si>
    <t>Hyannis VA Clinic</t>
  </si>
  <si>
    <t>The staff, from the check in gentleman to the desk people to the nurses and doctors are all top notch. Everyone at the clinic makes you feel welcomed. I am very grateful to be able to be served by such caring individuals.</t>
  </si>
  <si>
    <t>There is no personal connection between patients at check in. Now you have 4 different people waiting on all clinics.  Before when I was with Ivory the check in was with someone I knew and she knew me. I felt comfortable and the nurse was the someone who made me feel good about going to va.</t>
  </si>
  <si>
    <t>Please put the check in kiosk back in the Lab. The current procedure requires us to  take a number, go find a  place to sit, be called up to check-in and go back and sit down and wait for a call from the phlebotomy.  This requires a window to see us twice.  Thank you</t>
  </si>
  <si>
    <t>Aiken VA Clinic</t>
  </si>
  <si>
    <t>Rushed during appointment (cut off)
Too long in line to check in
Provider never asked what happened nor had read my notes. Also, referred to my possible stroke as me having light dizziness.</t>
  </si>
  <si>
    <t>Very efficient check in and prompt timing for my appointment.</t>
  </si>
  <si>
    <t>2022-10-14</t>
  </si>
  <si>
    <t>The front desk did more than check in/schedule next -- their personalities showed, that felt nice.
APN Shaw is intuitive, sensitive, caring, and still a lot of fun when she's giving advice.</t>
  </si>
  <si>
    <t>My appointment went smoothly from check in to the nurse taking my vitals to the doctor discussing my health with me.</t>
  </si>
  <si>
    <t>Robert J. Dole Department of Veterans Affairs Medical and Regional Office Center</t>
  </si>
  <si>
    <t>The check-in personnel, the nurse taking information and vital signs, and the physician were all very professional and respectful. The blood profile work up was thorough and prescriptions for the medications are always on time.  Iâ€™m very proud of our Wichita VA and so glad to have it near me!</t>
  </si>
  <si>
    <t>While my case team was excellent was to get blood work in the lab my appt was at 2 I got called back at 3 at 315 I was done by this time I was only patient left. At 345 Still not called back for blood test  went to the window and told them she said your still waiting she told somebody else to go notify lab at 415 I was still waiting they close at 430. I was fed up had been fasting need  kiosk back</t>
  </si>
  <si>
    <t>The new way to check in no kiosk they are changing us that donâ€™t have i phones are lost</t>
  </si>
  <si>
    <t>When I arrived for my scheduled appointment with [NAME] in Therapy, there was a long line of at least 20 veterans. I had arrived about 20 minutes early. I didn't get to the waiting area for my therapy until after my appointment time had passed. 
There is NO SIGNAGE at the entrance door to the VA clinic regarding how to check-in by a QR code on a smart phone. They have signage at the check-in window</t>
  </si>
  <si>
    <t>Dr. Joseph Medicine Crow VA Clinic</t>
  </si>
  <si>
    <t>Nurse treated me like a 2 year old and Iâ€™m 72. My appt was for 1:00PM but they expected me to check in at 12:30. A simple misunderstanding but it must have put a burr under the nurseâ€™s saddle. She was curt and condescending to me.</t>
  </si>
  <si>
    <t>On the date of my scheduled appointment (10:00 hrs) I arrived well before my check in time and checked in. 
At 10:00 hours my name was called and I went into the examination room. I was informed by highly professional staff that the Doctor would be in shortly to see me. When I seen by the Doctor I was on my way by 10:30 hours.
I was very happy with the PROFESSIONAL Staff at Capt.James A Lovell.</t>
  </si>
  <si>
    <t>The new check in for appointments is worthless. I checked in by cell phone 25 minutes before. After sitting for 35 minutes, 10 minutes passed my appointment time, I wasn't called. When I asked about it, they said it doesn't work and signs were posted. The signs were where no one could see them. Go back to human contact. It's more efficient and personal!!</t>
  </si>
  <si>
    <t>I entered the clinic for my primary care apt at 1015.It was so crowded in the entrance w no obvious check in line or process.I felt very uncomfortable trying to figure out where my place in line to check in was and where to post up to wait for my name to be called.seating was limited but it was very overcrowded.  On a positive Dr [NAME] and her team are impressive and I am happy under their care!</t>
  </si>
  <si>
    <t>The check in worked better with Kiosk.  The QR code did nothing.  Older people can not do this very well. Go back to kiosk.</t>
  </si>
  <si>
    <t>Should not have to wait 30 min after appt time when itâ€™s the first appt of the day and I have to be there 30 min before the appt to check-in. Nothing at the appointment was helpful am stuck in a revolving door with ENT I get seen by a different person each time and am told to come back in 2-3 months</t>
  </si>
  <si>
    <t>Spent 25 minutes waiting at first checkin location. Labs were quick.</t>
  </si>
  <si>
    <t>Medical care great BUT It seems to me that the clinic is not being maintained as before. The automated number display is not working - hasn't been for months now. The check in kiosks all out of order. The women's bathroom was dirty.  The drink machine was broken and some poor older lady just needed some water and couldn't get any. Luckily a passing medical person got her some. Needs to be better!</t>
  </si>
  <si>
    <t>Hillsboro VA Clinic</t>
  </si>
  <si>
    <t>Excellent personal service, as I have come to expect and do receive, at all VA facilities.
The check in Kiosk's are gone, check in at the receptionist desk, no one seems to know if the Kiosk's in some form will re-appear or not.
  I do recollect receiving an email from the VA announcing a new check in system, somehow connected to a smart phone ( or check in at the receptionist),</t>
  </si>
  <si>
    <t>The Check in was very easy. Saw the audiologist very promptly. I was courteous and explained everything in great detail</t>
  </si>
  <si>
    <t>Why have 4 check in stations, but only have with personal, then they also answer phone ins and you just stand in line for 10 minutes 
Need to hire more help</t>
  </si>
  <si>
    <t>Jack C. Montgomery Department of Veterans Affairs Medical Center</t>
  </si>
  <si>
    <t>I was taken care of in a professional matter. At the check in, the nurse that took my vitals, and the doctor.</t>
  </si>
  <si>
    <t>My wait after check in was 2 hours, my total visit was 2 hours 15 minutes. 
However; when seen, I appreciated the doctors review.</t>
  </si>
  <si>
    <t>Abilene VA Clinic</t>
  </si>
  <si>
    <t>First, I am always impressed by the Abilene VA Clinic.  Staff are fantastic! Check-in was easy, no long wait.  RN [NAME] was simply OUTSTANDING!  Her manners were truly the bestâ€”made sure I was comfortable and answered my questions with thoughtfulness.  Dr. [NAME] is a GREAT doctor!  His attention to my health needs and vital checks are not often seen.</t>
  </si>
  <si>
    <t>I had "Drug Test", easy enough, quick check-in, procedure "done". (Urine collection).
That was Tuesday Morning, October 11, 10:45 - 10:55 AM.
Today is FRIDAY, October 14 - not notified, I checked my Prescription Page on 
"MyHealth va gov" , no UPDATE for my TRAMADOL NEED, so I called finally at 2:30 PM and left a message. UNKNOWN if Received.
NO UPDATE AT 6:48 pm for NEED of TRAMADOL, TIZANIDINE.</t>
  </si>
  <si>
    <t>I had the most positive experience from checkin to visiting the lab. My LPN explained everything and more I should be aware of, my provider was Fabulous and My lab tech was very friendly and professional.</t>
  </si>
  <si>
    <t>It appears that the support contractor who sent reminder texts/e-mails about upcoming appointments was not re-newed/re-contracted. Also, the check-in kiosks that were part of this contract were not working. Might want to consider adding contract support for these again, as I find both the reminders and che k-in kiosks very helpful. Thank you.</t>
  </si>
  <si>
    <t>Please put back check in kiosk back in process.  Thanks</t>
  </si>
  <si>
    <t>I kiosk is located to the left side of the door, making it hard to locate if youâ€™ve never been there.  During my wait I saw two people proceed direct to the front desk and were redirected back to the kiosk.  Recommend rearranging furniture so the kiosk is in front of you as you enter the door.  Also, there are 3 x TVs but only one was turned on.</t>
  </si>
  <si>
    <t>The MSAâ€™s is at the pharmacy counter are very inconsiderate and rude. They looked at veterans standing in line and instead of just telling them to please check in at the kiosk they just ignored them. I found this to be very offensive. They are customer service and they shouldâ€™ve did the job better.</t>
  </si>
  <si>
    <t>The check-in station takes too long.  The process should be automated simply by scanning the VA ID.  Not sure why the station is required to be manned by a clerk who adds no appreciable value.</t>
  </si>
  <si>
    <t>Salem VA Clinic</t>
  </si>
  <si>
    <t>Upon check in, my updated appointment time had not been relayed to the front desk personnel, requiring them to call the hand surgeon office in an attempt to find the new appointment time.</t>
  </si>
  <si>
    <t>From check-in to check-out, all of the ladies were kind and went out of their way to help. The physician went out of her way to accommodate me by answering all of my questions and looking into my concerns. The women's clinic at the Phoenix VA is absolutely stellar. Thank you all for being a beacon of light in the health care system.</t>
  </si>
  <si>
    <t>None of the kiosks was not working.  why?</t>
  </si>
  <si>
    <t>The entire Staff in the Nuclear Stress Test Team were utmost professionals from check-in to discharge throughout the day. They were all courteous, respectfully, and very attentive to patient's needs, comfort while keeping us well informed about the testing and schedule of events. Most notable was their receptiveness to  questions and their expert explanations. I could not have been in better hands</t>
  </si>
  <si>
    <t>Front door check-in employees were friendly and helpful. 
My Audiolgist was very professional, knowledgeable, and proficient during my exam and hearing aid repairs.</t>
  </si>
  <si>
    <t>Bring the kiosks back.   It speed the process for filing travel vouchers.</t>
  </si>
  <si>
    <t>At my ENT appointment,  I had a very hard time getting checked in.  Your appointment system does not function very well.  Additionally,  I had to check in at another clinic - you need authorization for 2 people for every clinic.  If appointment times take weeks to get, you are busy enough for 2 clerks .</t>
  </si>
  <si>
    <t>Check-in procedure needs to be clarified. Every time I go to the clinic, the procedure has changed and very confusing. Need good signage for us older vets. Thank you!</t>
  </si>
  <si>
    <t>The checkin staff, Nurse and Primary Provider were professionals and attentive to my needs.</t>
  </si>
  <si>
    <t>Recommend veterans be allowed to check in upon arrival.  It's ridiculous to have to either go to your vehicle or sit down in the waiting area until 15 minutes prior to your checkin time although you might have arrived 30 minutes prior to your appointment time.</t>
  </si>
  <si>
    <t>Canton VA Clinic</t>
  </si>
  <si>
    <t>A typical visit to Canton VA involves a first step at check in where I am always greeted promptly.  Of course there can be a back-up for many reasons, but when I'm at the head of the line it is all about efficiency and courtesy. My wait time at the lab on this visit was extremely short. The tech who drew my blood was very plesant and very professional.</t>
  </si>
  <si>
    <t>The lab left me sitting for over an hour. When I asked I was told I had not been checked in but when I went to check in again, I was in fact checked in and had been all along.</t>
  </si>
  <si>
    <t>I filled out the questions, lost THAT LINK and wanted to give my comments. 
My scheduled appt. went perfectly!  Usually always does at the MSP. V. A.!  
My appt. Was on time, very professional and courteous! 
I had previously ordered RXâ€™s via phone the day before and thought Iâ€™d see if I could pick them up saving mailing, at the RX KIOSK etc. they were WONDERFUL!</t>
  </si>
  <si>
    <t>The intake clerk was through and helpful during my check in, check out and requirements for my next appointment.</t>
  </si>
  <si>
    <t>Carl Nunziato VA Clinic</t>
  </si>
  <si>
    <t>wait time to check in was unusually long this time,  only one person at the window handling a problem one patient was having, so everyone had to wait.  Another comment was made that last week they were out the door.  i understand their is a manpower problem but you should know about it. This does not change the way i feel about the clinic, they do a great job, and should be commended.</t>
  </si>
  <si>
    <t>My Dr is Dr. [NAME], he is an amazing Dr. However the check in staff have alot to work on. One lady in particular, i dont remember her name seems to talk to down to you, completely diarespectful and uncalled for!</t>
  </si>
  <si>
    <t>Go back to the kiosks for logging in and for requesting travel pay. If one does not have a smart phone it is not veteran beneficial.</t>
  </si>
  <si>
    <t>My appointment was at 1000,   called in sick and I wasn't notified. Drove in an arrived the required 15 min early, there were 16 people waiting in line. It took 21 minutes to get checked in,6 minutes after my appt. time. then they tell me the doc was not in. With all the windows maned there should be 1 that is for check in whenever there is a line.</t>
  </si>
  <si>
    <t>I enjoy the quick QR code to check in.</t>
  </si>
  <si>
    <t>I feel safe and satisfied from check in to my exit. Dr. [NAME] always trys to give me new ways to cope with my PTSD and other issues. I will continue to use the Lake County VA as much as needed. The staff is very good and appreciated.</t>
  </si>
  <si>
    <t>Team [NAME] continuously proves to be professionally exceptional.  From the wonderful people at check-in/out, Nurse [NAME], and of course Dr. [NAME]!</t>
  </si>
  <si>
    <t>I did like the self check in they used to have. Not sure where to stand to get an open window or who is free to check me in.</t>
  </si>
  <si>
    <t>Electronic check in was down.  There should have been an old fashioned take a number available</t>
  </si>
  <si>
    <t>Would like to see Kiosks working, so that I can put in for travel pay.</t>
  </si>
  <si>
    <t>North Charlotte VA Clinic</t>
  </si>
  <si>
    <t>Have to get use to the check in process with the barcode.  Was my first time doing that.
I went to the desk and the lady finished helping me get checked in.</t>
  </si>
  <si>
    <t>The members that were involved in my 100%++ positive experience at this visit was [NAME] at check in and check out, [NAME] LPN and Dr. [NAME].  I have the best team I could get at the #1 Medical Clinic in the world.  Always a smile, treated with respect and kindness.  I believe I am receiving excellent health care.  I am a retired RN and know the medical system well.  Thank you for taking care of me</t>
  </si>
  <si>
    <t>I was left a voicemail that I needed to come in for lab work, that I wouldnâ€™t need to schedule an appointment and theyâ€™d already have my paperwork. I went to the labs desk, they didnâ€™t have my paperwork. I had to go upstairs, check in to proceed. Itâ€™s not horrible, but my expectations were already set which wasnâ€™t the case. If they said to check in at the white desk, wouldnâ€™t have been an issue.</t>
  </si>
  <si>
    <t>The checkin staff should be able to update our home and emergency contact or the VA should allow the servicemen to make the corrections online.</t>
  </si>
  <si>
    <t>I completed the pre-check process from the text I received prior to my appointment. I arrived at my appointment a few minutes early it took 10 minutes to check in. Once checked in I sat for 15 minutes in the lobby area. I was then told that there were no labs ordered for my blood draw. 30 minutes later I asked what the status was and had to inform them to contact the pharmacist who had set the aâ€¦</t>
  </si>
  <si>
    <t>From check-in to checl-out the desk and provider staff were OUTSTANDING.  Respectful, courteous, and friendly</t>
  </si>
  <si>
    <t>Expecting all veterans to check in via phone is not reasonable due to age and lack of phones among other things.</t>
  </si>
  <si>
    <t>This was the first time that I had to check in at the front counter, so I went to the lab, and back to the front desk and wait in line.
Might be helpful to have a sign when you come in, to help speed the process.</t>
  </si>
  <si>
    <t>Wait time checking in with the specialty clinic was a little longer than expected. Seeing older vets struggling to stand waiting to check in or schedule follow-up appointments shouldn't have been.</t>
  </si>
  <si>
    <t>The staff did a great job from check in to my labs being drawn. 
Thank you for your support.</t>
  </si>
  <si>
    <t>Iowa City VA Medical Center</t>
  </si>
  <si>
    <t>The lady who assisted me in the kiosk was the most pleasant and professional person.  I inquired about contraindications with the new Rx and my G6PD (-) and she quickly looked up the info and provided feedback.  She is the definition of what a customer representative should be.</t>
  </si>
  <si>
    <t>The fastest and the best lab service ever, anywhere! Better than the Naval Hospital; better than Quest Diagnostics. Extremely efficient process from check-in, blood draw (painless), &amp; check-out.</t>
  </si>
  <si>
    <t>I came in for an annual eye exam and during check in there was no one at the check-in counter. The receptionist next to section over checked me in. Once called back they asked if I checked in. The person doing the eye pictures stepped away causing the other person and my self to wait. After my exam they never told me the check out, schedule my next appointment, or to go up and order new glasses.</t>
  </si>
  <si>
    <t>Excellent VA check in and courteous Staffs.</t>
  </si>
  <si>
    <t>Checking in for an appointment gas changed to use an iPhone which was a waste of time. Thankfully there was a person to check in before the appointment.</t>
  </si>
  <si>
    <t>My doc and nurse team is absolutely the best.  I donâ€™t like the new check in process it wonâ€™t allow to check in more than 30 mins before apt time this needs to be changed</t>
  </si>
  <si>
    <t>2022-10-13</t>
  </si>
  <si>
    <t>Fix the elevators! This is the second time we've been there in the last few weeks where they were either not working, or extremely slow. This last visit, my back was killing me, and standing was painful. There are no chairs in the main floor elevator lobby, and the wait was nearly 6 minutes for an elevator. That's a long time when your back hurts.
Restore travel claims to the kiosks,please.</t>
  </si>
  <si>
    <t>I had a recent blood test; the blood draw starts at 6:30. The machine that dispenses check-in numbers comes on a 6:30.  The machine needs to be on a 6:00 to allow arriving vets to get numbers.  Something changed because it once did allow numbers as you arrived.  This needs to be fixed please.</t>
  </si>
  <si>
    <t>My appointment was a nurse visit to receive the second shingles vaccine shot.  I checked in a few minutes after 1400.  Many patients were called back, couldnâ€™t really determine if I was being skipped.  At about 1515 one the desk workers recommended I check with the check in again. I did that , the attendant mentioned she would message the nurse.  The nurse told me she wasnâ€™t alerted earlier.</t>
  </si>
  <si>
    <t>The lady who did my CT was very accommodating and fast, also the lady at the check in desk was very helpful and accommodating as well, I appreciate them both for getting me in when I came in on the wrong date.</t>
  </si>
  <si>
    <t>too much socialization going on behind desk.I was left waiting way beyond my scheduled appointment time in the examination room. nurses would check in to ask my name as if 
i wasn't scheduled. this has happened before.</t>
  </si>
  <si>
    <t>The smart phone check in does not work as well as the other scan check in---- plus the confusion on how to quickly check in is not expeditious at all</t>
  </si>
  <si>
    <t>Oakwood VA Clinic</t>
  </si>
  <si>
    <t>Although my appointment was apparently during a low volume period,I was greeted at the lobby and promptly directed to the service window for check in.  After a short wait I was greeted by [NAME], directed me to her office, introduced herself, made me comfortable and explained she would be taking my vitals as the purpose for this visit.</t>
  </si>
  <si>
    <t>2022-10-12</t>
  </si>
  <si>
    <t>Lewiston VA Clinic</t>
  </si>
  <si>
    <t>The people at the front check in are very nice and easy to deal with.
The people at the check out are very helpful in setting up next appointments and replacing ids. Everyone is always respectful. Thanks.</t>
  </si>
  <si>
    <t>I had two Dr. appts a rescheduled appt with Dr. [NAME] my primary Dr. at 3pm and a 430pm with Dr. Lopez.   When we arrived to check in we were told Dr. [NAME] was on military leave but we were not notified and appt was not rescheduled.  My wife had to rearrange her schedule from work and take time off of work to bring me to my appt and we had to sit for 1 1/2 hours waiting for Dr. [NAME].</t>
  </si>
  <si>
    <t>Go back to the kiosk machine to check in &amp; out of your appointments &amp; travel benefits itâ€™s a big headache &amp; you never get reception in the building. Thanks for listening to my feedback &amp; also itâ€™s a problem if youâ€™re not computer savvy.</t>
  </si>
  <si>
    <t>I arrived at 0730 for my 0800 infusion appointment. 
At 0802 an employee came out of the clinic and said that we all have to check in at the kiosk, as they had staff call ins and no one to tend to the check in desk. There were approximately 15 of us in the waiting lobby.
My infusion should only take a max of 2 hours, but it always is 3+</t>
  </si>
  <si>
    <t>Everyone, from checkin to leaving are very professional and seem to care about the care we receive.</t>
  </si>
  <si>
    <t>Every aspect of my experience in Newington has been great. The check-in process, though, has sometimes been a free-for-all with no orderly way to manage many check-ins. During slower times it is manageable. When busy, it's chaotic and frustrating. And the way the windows are set up, the appointment personnel are not even visible from the sides. A simple "Take A Number" set-up would be a big help.</t>
  </si>
  <si>
    <t>GET THE KIOSK BACK EVERYONE DON'T HAVE  A CELLPHONE</t>
  </si>
  <si>
    <t>All care was compassionate comfortable and efficient. [NAME] is awesome and [NAME] for tech support. The telemedicine doctor excellent. Wendy and Latoya for labs amazing and fun! Front check in staff friendly and efficient. Love the new facility as well!</t>
  </si>
  <si>
    <t>The staff and quality of care were outstanding. 
The electronic check-in is worthless. I was fifteen minutes early for my appointment but due to the e-check in system glitching, I was seen almost an hour and a half AFTER my appointment time, and only after I had checked in for a third time in person. The system needs to either work or go away.</t>
  </si>
  <si>
    <t>Some how I didn't get checked in properly. I waited 30 min and when I check on what was taking so long I was informed that my check in was incomplete.</t>
  </si>
  <si>
    <t>Phoenix 32nd Street VA Clinic</t>
  </si>
  <si>
    <t>I'd like to ask that there is a directory posted on the 4th floor by the elevators (Apologies if I missed it). I was not sure which side to check in at, for my appointment.</t>
  </si>
  <si>
    <t>My experience with this specific clinic has not been any good. During my first visit I had some issues my doctor ignored. She followed her check list for a first time patient and moved on with me. I was told to check in in 6 months. I scheduled an appointment for follow up because I have some serious health issues I would like to visit and my appointment was canceled and scheduled with no notice.</t>
  </si>
  <si>
    <t>Everyone on my visit was fantastic, from the check in lady, the walk in nurse and my doctor, Dr [NAME].  Dr. [NAME] is always wonderful to work with (concerned, informative, understanding, etc, etc)</t>
  </si>
  <si>
    <t>The dermatologist checked to see if I had any areas of concern. He was thorough in his examination and answered all of my questions politely and professionally.  My only concern is the new check-in procedure. I felt more comfortable using the kiosk with my VA card. I dislike using my phone to scan a scatter code for any reason, I noticed every patient, including me, checked in with a staff member.</t>
  </si>
  <si>
    <t>This appointment was for a vaccination. My expectation was that I would be in and out fairly quickly. That was not the case, I checked in maybe 10 minutes prior to my appointment and patiently waited to be called back, 30 minutes after my appointment time I asked the check in desk why I hadn't been called. I waited another 15 minutes and then left the facility. The nurse phoned me to call me back.</t>
  </si>
  <si>
    <t>The staff for the most part is respectful and listens and answers my questions.
However the audiology check in desk may have been having a bad morning but should work hard to be a little more freindly.</t>
  </si>
  <si>
    <t>Everyone from the lady at the front door (covid questions), to the ladyâ€™s at the check in desk and the two wonderful ladies who did my blood draw, THANK YOU!!! The people as well as the facility are OUTSTANDING!!</t>
  </si>
  <si>
    <t>Better signage is needed for the main floor clinics. Vets need not have to negotiate a veritable labyrinth of check-in points with signs above that say only "Teamlet" and then a number.  How about names or instructions in advance outlining how to "find" my PCP's clinic. The VA can do better here.</t>
  </si>
  <si>
    <t>The maps inside the hospital seem to be a bit outdated and lacking in detail.  It would be helpful if they were redone.  I also prefer to check in via kiosk.  If I check in on my phone I have no way of knowing if I am in the right place or not. The kiosk would tell you if you were in the wrong place.  Both kiosks were down at my last visit.</t>
  </si>
  <si>
    <t>The kiosk could be more prominent, we stood in line not realizing that you had to first take a number.</t>
  </si>
  <si>
    <t>Bradenton VA Clinic</t>
  </si>
  <si>
    <t>I had two appts that morning I checked in but was not told I had two check in twice  I had a blood lab AND eye exam, when I went to inquire what is the delay, they sent me another check in location.  I was there 30 mins early for both appts but they said i was late, ONE check in should advise BOTH that i am there.   I had to reschedule.  Thanis</t>
  </si>
  <si>
    <t>I am a new enrollee and during my recent first visit to the pharmacy, it was not clear that I had to, first â€œcheck inâ€ before my prescription would be filled. Iâ€™ve been to the pharmacy twice now and both times I saw other â€œnewbiesâ€ struggling to navigate this process.  Seems there should be someone to give guidance for newcomers.  Overall, great experience, though.</t>
  </si>
  <si>
    <t>If this survey is about my mammogram on this day the check in girl didn't send a message to the tech I was even there resulting in me waiting 25 extra minutes. If it's re blood draw it was great.</t>
  </si>
  <si>
    <t>Causeway VA Clinic</t>
  </si>
  <si>
    <t>Very supportive .. even though I'm not an official patient of the Boston VA system any longer
I feel at home. Why I felt the need 
I had to do an check in
For my emotional well-being</t>
  </si>
  <si>
    <t>There is not enough seating and veterans must stand waiting for their appointment. In my case it was an hour and ten minutes from check-in, this is unacceptable! A 0645 check-in turned into almost 0800 brood draw. Nurses were seen leaving to get breakfast while disabled veterans stood in line waiting!</t>
  </si>
  <si>
    <t>I felt ignored when I checked in for my appointment. There were 2 women at the desk involved in a personal conversation for over 5 mins while I stood in front of them . They just carried on until they finished their conversation knowing that I was in front of them waiting to check in . Finally one of the ladies said to me are you here for Audiology in a demeaning tone.</t>
  </si>
  <si>
    <t>I arrived for my apptmt 10 minutes early and used the new QR code generator (which never works correctly). It said "check in" and then said it was looking up my info, etc. After waiting 15 minutes-assuming I was checked in-It then said it couldn't find my apptmt and to ask a staff member for help. Eventually I asked the woman at the desk and she said I did have an apptmt - by now, 25 minutes had</t>
  </si>
  <si>
    <t>Work on getting new check in procedure working
Perhaps an app</t>
  </si>
  <si>
    <t>Better time management. A veteran shouldnâ€™t have to wait 40 minutes just to check in at the pharmacy window.</t>
  </si>
  <si>
    <t>The QR code for self-check-in was not available at the clinic and the self-check-in terminal was not working.  It would be great to have at least one option available.</t>
  </si>
  <si>
    <t>the entire experience from appointment check-in to consultation with provider was very satisfying and professional as usual..Kudos to the folks at VA for their great patient care and concern</t>
  </si>
  <si>
    <t>Hancock VA Clinic</t>
  </si>
  <si>
    <t>Fix the Kiosk. For check in and travel claim, seemed to be simplest and easiest</t>
  </si>
  <si>
    <t>I would like for all military members to check in ones a year</t>
  </si>
  <si>
    <t>2022-10-11</t>
  </si>
  <si>
    <t>Everyone we saw from the greeters, workers at the check in stations and the care providers were curious, explained things well and were professional.</t>
  </si>
  <si>
    <t>Clermont County VA Clinic</t>
  </si>
  <si>
    <t>The appointment, the check in, the nurse, and the doctor are to be complimented for their professionalism, their courtesy, and competency.
Thank youâ€¦â€¦</t>
  </si>
  <si>
    <t>Adam Benjamin Jr., Veterans' Administration Outpatient Clinic</t>
  </si>
  <si>
    <t>Very professional and orderly. No wait time after check-in staff is there waiting to receive you.</t>
  </si>
  <si>
    <t>The appointment system needs work.  While the texting system was accurate with when my next appointment was, neither the online My HealtheVet website nor the automated telephone system were in sync with the texting system.  I had to call and speak with a live person to confirm when my appointment was.  Also, the texting check-in system does NOT work; you need to fix it.</t>
  </si>
  <si>
    <t>Would be nice to be seen sooner at the business office on first floor. Also add
an option on self check in for facility revenue.
Thanks</t>
  </si>
  <si>
    <t>Extremely professional. From check in to check out</t>
  </si>
  <si>
    <t>Did not catch her name but the lady at the check in was extremely curt and rude. Just know she was white and either was having a bad day or had a real dislike for her position. Not sure if she was new as I hadnâ€™t seen her there before but definitely was not the warm and cheerful atmosphere and treatment that one has gotten accustomed to from the fine personnel there.</t>
  </si>
  <si>
    <t>Katy VA Clinic</t>
  </si>
  <si>
    <t>It seemed very Chaotic upon my arrival which I arrived on time. Area C was seriously overcrowded and that is where they were sending everyone for appointments as well as shots which seemed to be the focus of the morning. I waited an hour pretty much before I was even called and that was only after I went to check in desk to find out what the issue was? No organization and response time slow.</t>
  </si>
  <si>
    <t>Use the kiosks to check in and get two stations.. using my phone was hard and I couldn't finish it on the phone..</t>
  </si>
  <si>
    <t>The sleep technician in the CPAP clinic was very engaged, thoughtful, and helpful - a great â€œbedside mannerâ€.  The check-in clerk at the CPAP clinic was a jerk.  It was actually the clerk at the co-located check-in desk. When I asked to  check out from the CPAP appointment, she scowled and pointed and grumbled at me. Thatâ€™s a confusing check-in area - no need to be shitty.</t>
  </si>
  <si>
    <t>Check in was a bit awkward and crowded and not very well organized on the day of my visit..people lined up everywhere and no real order to where to stand or go. My real observation though is that a female dermo doc saw me and then go a male doctor to review me. I felt more open to really tell him to look at certain spots and ask him questions and he seemed more receptive to my feedback. ....</t>
  </si>
  <si>
    <t>Seems like check-in kiosks are always out of order. Takes up extra time and VA people who need to be on other things rather than doing what a labor saving machines is already supposed to do.</t>
  </si>
  <si>
    <t>I would like to commend the staff at this facility.  Check in person was friendly and efficient. The phlebotomist was very friendly and the lab draw was perfect and painless.
 The facility was very clean and comfortable.</t>
  </si>
  <si>
    <t>Everyone that I encountered at Toledo clinic were helpful 
It start with the person that greeted me at the front then the person at the check in desk
The purple team nurse took me to the back went over the reason for my visit
Dr. [NAME] is always helpful answering all my questions and giving advice 
The nurse then administered the vaccines requested 
Check out was easy</t>
  </si>
  <si>
    <t>The check in lady was amazing. I had to wait a while and she recognized this, realized that there was a glitch and made sure that my meds were dispensed and took care of me. It was much appreciated.</t>
  </si>
  <si>
    <t>Hilo VA Clinic</t>
  </si>
  <si>
    <t>Iâ€™ve always received great response and service from my provider, Dr [NAME] and his Team. 
About the facility. Before entering VA (we check in outside). The ongoing COVID temp check and interrogation  needs to stop. Once we get in thereâ€™s numerous tacky &amp; repetitive informational signs all over the walls and on the protective glass. Itâ€™s overwhelming&amp;offensive. Weâ€™re not stupid.</t>
  </si>
  <si>
    <t>When initially getting checked in by a lady, they said less than 15 minutes. 30 min in, another gentleman asked how long I had been sitting there. He said I should have been seen by now and would check in it. He said the lady didn't send my paperwork work back to the tech. If he had not checked in me I would have sat there for at least another 10 min before I asked what is going on. He was great.</t>
  </si>
  <si>
    <t>Dr [NAME] was fantastic. As newly transitioned from active Active Duty and my first appointment with this clinic, she was completely thorough and explained everything. Additionally she listened to my concerns about current medications and switched me to something new to try. Care was above and beyond what I expected from checkin to the techs taking my history to the optical shop Thank you</t>
  </si>
  <si>
    <t>My primary Care Provider makes me feel safe and respected. Dr. [NAME] is concerned about the health and safety of her patients. When I'm assigned to other dept. I am concerned that my medical health confidentiality may be compromised. The Orthopedics department needs more caring and respectful staff. Check in &amp; out staff are pretty nice &amp; few Drs. Ortho staff mostly distant unconcerned.</t>
  </si>
  <si>
    <t>Check in with [NAME] was awesome. Dr [NAME] was very informative and seemed to be attentive to me and answered my questions thoroughly.</t>
  </si>
  <si>
    <t>Closure of the Travis AFB VA Clinic pharmacy.
Recently imposed Kiosk limitations no longer allow us to claim travel reimbursement at the Kiosk, after checking in, at the time of our appointment. Now we have to fill out and file a form on-line. Payment response has been poor at best and definitely takes longer.</t>
  </si>
  <si>
    <t>When I approached the kiosk to sign, all were disabled and several instructions were typed on paper telling me to use MY cell phone to sign in. Nothing worked, two staff volunteers tried to help but to no avail.  Itâ€™s stupid to install a new system without first seriously testing it first and also, not all veterans have cell phones either.  I had to physically go checkin at the doctorâ€™s clinic.</t>
  </si>
  <si>
    <t>I was not notified or called with my upcoming appointments. My last appointments that I had scheduled myself were difficult to arrange and even then when I get to my appointment and arrive to check in I find out my appointments were cancelled without any notification of doing so or advised of cancellation and being offer to schedule at my convenience costing me a day of work and pay in child care.</t>
  </si>
  <si>
    <t>Front Check-in area needs serious attention.
Automated Check-in system is Non-functional, how many Billions of $ were Wasted on that. Now the state-of-art Check-in is Stand in a corner &amp; wait for a clerk to call Next, just like Bootcamp in 1964.
The entire Front Clerk area appears very non-professional.</t>
  </si>
  <si>
    <t>Portsmouth VA Clinic</t>
  </si>
  <si>
    <t>91</t>
  </si>
  <si>
    <t>This clinic does a FANTASTIC job! There aren't enough positive/complimentary/favorable words in my vocabulary to do it justice. They are GREAT! Treated with respect upon check in. Cared for professionally by MA [NAME]. And...most of all, treated with pleasant, caring, thorough, and  professional competence by NP [NAME]. This veteran couldn't be more pleased and thankful for her efforts.</t>
  </si>
  <si>
    <t>As always, the VA Med Center personnel and volunteers were respectful, courteous and helpful. They insured I got to the correct clinic on time and without any confusion. The personnel at the clinic took care of my check in and the Doctor was was courteous and informative without being condescending. 
  It was a pleasant experience all around.</t>
  </si>
  <si>
    <t>Once again the â€œOlderâ€ Clerk that assisted me was rude, unprofessional, not friendly, corrected me on my wording on what I was doing in her kiosk when I mentioned I came from a certain area to check availability and make a future appointment</t>
  </si>
  <si>
    <t>I use the VA shuttle from casa grande I I get to my up to an hour before my appointment but cannot check in for my appointment on the phone because I am so early. I should be able to check in when I get there.</t>
  </si>
  <si>
    <t>Northern Colorado VA Clinic</t>
  </si>
  <si>
    <t>I appreciate that the check in staff use my preferred name.</t>
  </si>
  <si>
    <t>The staff were very efficient, from the time I check in for my appointment to my time with the doctor.</t>
  </si>
  <si>
    <t>Go back to VA ID scanning; smartphone check-in is not a pleasant or easy experience.</t>
  </si>
  <si>
    <t>I know that the facility is aware of this issue however, the parking situation is very bad. I saw almost two accidents due to over crowding and parking on the ends.  I add an additional 30 minutes on top of my 30 min check in time to make sure I can find a space.</t>
  </si>
  <si>
    <t>Albany VA Clinic</t>
  </si>
  <si>
    <t>easy check-in process, reception staff are nice and friendly</t>
  </si>
  <si>
    <t>I can no long check my upcoming appointments bc they removed the kiosk. BC the kiosk are gone, Iâ€™m afraid I may miss upcoming appointments.  Also the kiosk gave instructions to the appointment location within the building. The scanner/cell phone check in â€¦ what if I donâ€™t have a cell phone.</t>
  </si>
  <si>
    <t>Washington County VA Clinic</t>
  </si>
  <si>
    <t>When I call VA for anything they always put you on hold for along time. Even when you check in they are always on the phone and leave you standing there. I  guess they are doing to many job.</t>
  </si>
  <si>
    <t>The sign out front said to scan the barcode to check in. The barcode did not work. The team took care of me very well to get to my appointment. Girl out front was super nice, as were the nurse and doctor. I never have issues with the Hickory CBOC.</t>
  </si>
  <si>
    <t>I was not aware of the new check-in procedures.</t>
  </si>
  <si>
    <t>Augusta VA Medical Center-Uptown</t>
  </si>
  <si>
    <t>I received letters concerning a apt on Oct 11th, apt was canceled. Called number as letter stated and connected to main switch board. Ext should have been for PA Rands office.
Visited clinic on the 3 for hear aids, great service, decided to visit PA [NAME] check in desk to see why apt was cancelled, was told PA [NAME] would not be available for several weeks, my apt was just for a follow up, decided</t>
  </si>
  <si>
    <t>I appreciate receiving the appointment card.  However, I had to ask two people to ensure where I was going and had arrived at the correct appointment check-in.   It would be helpful to have better signage.  The appointment card direction, including abbreviations, should match posted signage.</t>
  </si>
  <si>
    <t>Paper beneficiary travel forms now? Instead of kiosk inputs? Later was efficient and didn't waste paper or time.</t>
  </si>
  <si>
    <t>Atlanta VA Clinic</t>
  </si>
  <si>
    <t>Front desk check in experience was engaging.  Initial assessment prior to seeing my provider was pleasant and informative.  My provider, Dr. [NAME], was excellent in her questioning and delivery of plan of care; also quite delightful.  Great experience overall!</t>
  </si>
  <si>
    <t>good service red clinic maverick. 
new check in process not fully functional yet, but I am optimistic.</t>
  </si>
  <si>
    <t>Need to keep or re-install check in KIOSK.
If mask are required by all. Signage need to be posted before entry or at check in.
Job well done to front office, Mr. [NAME] &amp; lab Tech. MRS. ???
                Sincere</t>
  </si>
  <si>
    <t>The staff at the check in is really helpful.  Orange team</t>
  </si>
  <si>
    <t>I really donâ€™t like the fact the kiosk donâ€™t work anymore. It made the process really easy to file a travel claim. Now that the kiosk donâ€™t work I havenâ€™t been able to file a claim. I donâ€™t have the app on my phone and I really donâ€™t think I should have to have an app or a cell phone to check in and file a travel claim.</t>
  </si>
  <si>
    <t>Would like to get my blood pressure  test by some one whom doesn't  rush through the procedure. 
I would  appreciate  if I am not wearing a face mask to please  let me get one during the check in.
By male trying to be a bully.I</t>
  </si>
  <si>
    <t>Royal C. Johnson Veterans' Memorial Hospital</t>
  </si>
  <si>
    <t>This new travel pay system sucks.  They need to go back to the old Kiosk system.  It is much simpler to navigate especially for the elderly veterans</t>
  </si>
  <si>
    <t>I signed in utilizing the QR cide and wait 45 minutes and still had not been seen (lab). I went to the window and let them know and the young man wrote down my name and told me to take a seat. After another 45 minutes, I went back to the window and the young lady told me that I was never checked in. The kiosk system worked but the QR system does not.</t>
  </si>
  <si>
    <t>The appointment was canceled and we were not informed.  A call was made to remind us as well as a text sent with check in information
 We got there and no appointment!</t>
  </si>
  <si>
    <t>James J. Peters Department of Veterans Affairs Medical Center</t>
  </si>
  <si>
    <t>Rudeness and disrespect pervade this facility. Optically it looks like itâ€™s half-finished. I think it is. When did it open?
The day I see someone manning the information booth itâ€™ll be off to cardiology. 
Why are there so few check-in kiosks?</t>
  </si>
  <si>
    <t>POST IN-PERSON COVID-19 SURVEY</t>
  </si>
  <si>
    <t>Reno East VA Clinic, NV (654GE)</t>
  </si>
  <si>
    <t>These folks at East Campus are really great. The nurse go out of their way to support you. Even the check in folks are always pleasant.</t>
  </si>
  <si>
    <t>2022-10-23</t>
  </si>
  <si>
    <t>First experience was excellent, from check-in, to nurse intake, and doctor's evaluation.   Better than expected.   Thank you.</t>
  </si>
  <si>
    <t>eCheck-in - Good,Staff Attitude - Good,General appointment feedback</t>
  </si>
  <si>
    <t>Positive appointment experience</t>
  </si>
  <si>
    <t>KIOSK Check in station was not working again. I found the Check in Kiosks wrapped in plastic again. I prefer Check in using KIOSK due to privacy concerns, as I have to speak out loud my personal information in front of people in waiting room areas, if the Check in Kiosks are not in operation. I recommend VA contractor fix the problem immediately.</t>
  </si>
  <si>
    <t>General Check-in - Bad,Kiosk - Bad</t>
  </si>
  <si>
    <t xml:space="preserve">Negative reaction to removing kiosks  </t>
  </si>
  <si>
    <t>People at check-in desk were rude. Apparently the VA is starting a new check-in procedure, but no one checking in new about it. The people at the desk insisted we use a phone to check in as the new instructions required. Many of us did not have a phone on us.  One woman kept saying she would not check in anyone the old way. Finally, a man checked us in. Very disappointing. Not acceptable at all.</t>
  </si>
  <si>
    <t>eCheck-in - Bad,Staff Attitude - Bad</t>
  </si>
  <si>
    <t>Negative reaction to echeckin, rude staff</t>
  </si>
  <si>
    <t>It seems VA is going backwards with check in and check out procedures, what's up with that? We can no longer submit travel at a kiosk we have to try and navigate the absurd VA travel web site. At my age this is near impossible with things changing every time I log on. 3 steps forward and 4 steps backward, march on...</t>
  </si>
  <si>
    <t>General Check-in - Bad,Travel Pay - Bad</t>
  </si>
  <si>
    <t>Negative reaction to removing kiosks for travel pay</t>
  </si>
  <si>
    <t>The clinic needs to make improvements in the waiting area. The check in &amp; check out process. This particular appointment was a waste of time. I should of seen the Dr for this appointment. The whole process is backwards. The VA as a whole needs to be redone. It was greatly concerning to hear that the NC VA &amp; SC VA were not connected. This system should be connected with the sole purpose of helping.</t>
  </si>
  <si>
    <t>Wait time (arrival to check-out),General Check-in - Bad,General appointment feedback</t>
  </si>
  <si>
    <t>Negative appointment experience</t>
  </si>
  <si>
    <t>I am disappointed to find out that the kiosks for check-in are being discontinued.</t>
  </si>
  <si>
    <t>Negative reaction to removing kiosks for checkin</t>
  </si>
  <si>
    <t>BRING BACK THE AUTOMATED CHECK IN.  HAVING TO STAND IN LINE IS BALONEY.  I WAS TOLD IT WAS BECAUSE OF THE VIRUS AND SOCIAL DISTANCING.  IT DOESN'T PASS THE COMMON SENSE TEST.  YOU ARE BETTER DISTANCED WITH AUTOMATED.  PLUS YOU KNOW WHEN YOU ARE BEING CALLED WHEN WAITING FOR YOUR APPOINTMENT.  THERE WERE ELECTRONIC BOARD SHOWING YOU.  WE HAVE REVERTED TO THE "DARK AGES".</t>
  </si>
  <si>
    <t>General Check-in - Bad,General appointment feedback,Wait time (arrival to check-out)</t>
  </si>
  <si>
    <t>Wants automated checkin, but didn't mention echeckin specifically. Wants some notification that you're checked in and when you can expect to be called back. Previously, this was on a TV screen in the waiting area that listed the Vet's name and number (received on a ticket from check-in desk) that showed where you were in the queue for the appointment - like they do at the BMV (according to Kerry)</t>
  </si>
  <si>
    <t>2022-10-22</t>
  </si>
  <si>
    <t>I have always found the personnel at the Ft Worth VA to be very helpful, friendly and professional. I have always felt personally respected and valued. Check in can sometimes feel a little routine. â€œNEXT!â€ But my overall experience is worth bragging on. Yâ€™all do good work!</t>
  </si>
  <si>
    <t>Staff Attitude - Good,General appointment feedback</t>
  </si>
  <si>
    <t>New check in system.. no more kiosksâ€¦</t>
  </si>
  <si>
    <t>I can't tell if they're excited that there's a new checkin system that isn't the kiosk, or upset that the new checkin system isn't the kiosk</t>
  </si>
  <si>
    <t>I found Salim to be very professional and considerate. I also found the young man at check in to be polite and respectful.</t>
  </si>
  <si>
    <t>I havenâ€™t had a prostate check in 3 years. I wasnâ€™t aware I had to make a different appointment for that.</t>
  </si>
  <si>
    <t>Nothing for us to work on at this time</t>
  </si>
  <si>
    <t>The check in desk people were very courteous and helpful and the audiologist I saw was very helpful.</t>
  </si>
  <si>
    <t>General Check-in - Good,General appointment feedback</t>
  </si>
  <si>
    <t>The people that I worked with at the greeting station, check-in, initial nurse for vitals, nurse-practioner, 2nd nurse to administer flu shot and lab technician, each provided me with caring and professional service.  I felt that the entire visit was the best that could be provided.</t>
  </si>
  <si>
    <t>General Check-in - Good,Staff Attitude - Good,General appointment feedback</t>
  </si>
  <si>
    <t>After I check in my team representative (Nicey) was very helpful and explained all of my questions. I was really impressed with the attentive response to my questions and the timeliness of the appointment. It was nice that the scheduling was on time.</t>
  </si>
  <si>
    <t>General Check-in - Good,Staff Attitude - Good,General appointment feedback,Wait time (arrival to check-out)</t>
  </si>
  <si>
    <t>check in via VA app</t>
  </si>
  <si>
    <t>eCheck-in - Good</t>
  </si>
  <si>
    <t>Positive reaction to echeckin</t>
  </si>
  <si>
    <t>Your smart phone check-in wiil not work for me. I do not own a smart phone and have no plans to own one in the future</t>
  </si>
  <si>
    <t>I received a lot of professional care when I  go to the VA Clinic in Brick, NJ.  I am very satisfied my primary Physician, with the pharmacy, and the specialty clinic.  My nurses and the check in desk personnel always make me feel important.  Thank you all for the care I receive.  You help me to take care of myself.  
[NAME] US Navy 1981-87</t>
  </si>
  <si>
    <t>When I tried to check in, they didn't check me in to my appointment correctly, so I had to go up to the desk 3 times, before the doctor even knew I was there. That's quite a bit of incompetence on the part of the staff.  I had to wait about 50 minutes past my appointment time, because of that, as the doctor took other patients who got there after me.</t>
  </si>
  <si>
    <t>General Check-in - Bad,Staff Attitude - Bad,Wait time (arrival to check-out)</t>
  </si>
  <si>
    <t>Negative appointment experience, rude staff, long wait time</t>
  </si>
  <si>
    <t>the new travel claim setup is a big pain in the a-- compared to doing it on the kiosks!</t>
  </si>
  <si>
    <t>New Port Richey VA Clinic</t>
  </si>
  <si>
    <t>Don't understand WHY the VA Comp board is so different from the feeedback I get from the Drs or nurses when I have been treated. I took a sleep apnea  overnight stay at the Tampa VA and in the morning the nurse/doctor informed me she had to check in on me during the night due to heart stopping. Yet the VA Comp board denies my sleep apnea.</t>
  </si>
  <si>
    <t>I received  letter that i had "lab" i check in using my "ID" the nurse call me for my lab.The lady said I was  done.so i when home .VA call me back to see the Docter.  I would not have left if some told me I needed to see the Dr.   I was told that I needed to check in at the window by front doors.</t>
  </si>
  <si>
    <t>Better communication from the staff wanted. Could maybe see if this would work in CIE app, but likely would be a high LOE</t>
  </si>
  <si>
    <t>St. Charles County VA Clinic</t>
  </si>
  <si>
    <t>Original appointment was cancelled by VA.  The reason given was that Iâ€™ve been assigned a new doctor.  During my interview with the nurse after check in I was  told that the doctor would not being seeing me because they are only seeing a few patients a day.  Then, WHY WAS THE APPOINTMENT MADE?  I do not appreciate having to now go in to talk to the doctor without labs when it is my normal appt.</t>
  </si>
  <si>
    <t>Please Please do something about travel reimbursement. The way it's setup now it's so difficult to follow on line, not only that but contact on the phone is next to impossible. The kiosk was so easy to use and instant.</t>
  </si>
  <si>
    <t>From initial check in to actual procedure ( vaccination)  I was out within 20 minutes. Nurse was very professional and courteous</t>
  </si>
  <si>
    <t>While I was sitting with the travel pay representative, there were some issues uncovered that took extra time to resolve.  An example is, during the time Vets were asked to use the Kiosk to log travel information, there were no options to ask questions or to be certain that the actual travel claim had actually been filed.  As a result, the rep had to look back at previous claims to complete them.</t>
  </si>
  <si>
    <t xml:space="preserve">No confirmation that a travel claim had been filed, correctly completed, submitted, etc. </t>
  </si>
  <si>
    <t>Kalispell VA Clinic</t>
  </si>
  <si>
    <t>Kiosk contract cancelled. WHY??? I will NOT use a phone app, ever.  
What ever happened to the physical check up? Actually listening to heart/lungs.   Reflex testing, palpitation of joints and glands, eye movement testing, etc .   All of that usual 
general overlook has all gone out the window.  Watch the movie 'Article 99'.  Look I believe these people care about our health, but YOU Bureaucrats</t>
  </si>
  <si>
    <t xml:space="preserve">Negative reaction to echeckin </t>
  </si>
  <si>
    <t>Dr [NAME] and [NAME] her staff nurse always check in on me after a visit. The Horsham clinics staff is attentive and so very capable all my issues even after a heart attack and surgery VA has extended my health and recovery. Dr [NAME] even caught High cholesterol levels long before the cardio problem. She was right!</t>
  </si>
  <si>
    <t>There were no orders for lab tests on the day of my appointment.  Had to wait for my PCP (or another ordering clinician) to enter lab orders before I could have my blood drawn and give a urine specimen.  Someone should check in advance of a patient's arrival to make sure orders for diagnostic service are in the system before the patient arrives.</t>
  </si>
  <si>
    <t>negative appointment experience, long wait time</t>
  </si>
  <si>
    <t>Check-in personnel were very friendly and proficient. Dr [NAME] was very concerned about my health, both physical and mental. She provides suggestions on ways to make my upcoming knee replacement more comfortable and less stressful. This was an informative and enjoyable experience.</t>
  </si>
  <si>
    <t>I think the nurses and doctors that care of my needs and complaints are outstanding and should be commended for their outstanding work.
On the other hand I feel that the administration is making changes that are not needed ie changing the way you turn your travel pay. I think that people had just gotten use to using the kiosk for travel and signing in for an appointment.</t>
  </si>
  <si>
    <t>Staff Attitude - Good,Travel Pay - Bad,Kiosk - Good</t>
  </si>
  <si>
    <t>Good staff, negative reaction to removing kiosks for travel pay</t>
  </si>
  <si>
    <t>Bring back the Check-in Kiosks. Checking in with a QR Code or Text AND then having to check in again at the Team desks does not improve productivity or ease.</t>
  </si>
  <si>
    <t>Kiosk - Good,eCheck-in - Bad,QR code,Texting</t>
  </si>
  <si>
    <t>Negative reaction to echeckin</t>
  </si>
  <si>
    <t>What a joy this time.  How they have improved the way you check in and are given a beeper to let you know they are ready for you.  Excellent and happy to see they are going in the right direction.  Wonderful experience.</t>
  </si>
  <si>
    <t>The MRI staff provided great care. I am wheelchair and lift dependant due to leg paralysis. The MRI team confidently transferred me from my chair to the transfer bed, onto the MRI and back to my chair flawlessly. IV insertion and removal were done painlessly. This was an extended duration test and the MRI staff provided me exceptional care from check-in to completion. Thank you!</t>
  </si>
  <si>
    <t>I feel like the persons at check in windows are not courteous or accommodating to veterans I get vibes that Iâ€™m annoying them</t>
  </si>
  <si>
    <t>Negative appointment experience, bad staff attitude</t>
  </si>
  <si>
    <t>Stephens City VA Clinic</t>
  </si>
  <si>
    <t>Two things that must be fixed.  1 Travel Pay kiosk must be replaced.  No people at any desk other than the travel desk at the Martinsburg VA will take milage vouchers (I get no travel pay)  2. I have a VA CPAP machine,  it.has been recalled. I should have.to deal with recall, it belongs to the VA, your machine, you fix it pr you replace it. Shouldn't have to go out of pocket for covered med. devic</t>
  </si>
  <si>
    <t>Kiosk - Bad,Travel Pay - Bad</t>
  </si>
  <si>
    <t>I got a vasectomy (after 5 kids) and the whole team, from check in, through procedure, and check out, was fantastic and took great care of me. Thank you!</t>
  </si>
  <si>
    <t>General appointment feedback,General Check-in - Good</t>
  </si>
  <si>
    <t>Check in desk was a nightmare.</t>
  </si>
  <si>
    <t>Negative appointment experience, bad checkin</t>
  </si>
  <si>
    <t>From check in, lab experience, to my departure, everything was pleasant and professional.</t>
  </si>
  <si>
    <t>Please find another way to check in or get travel pay since the Kiosks are no longer.
Even someone like myself that can navigate on the internet is finding it a burden using the TPPSS on line.
On my last visit I had nine different community car appointments and decided to   with the help of the staff at Frankin to fill the vouchers out manually and have them sent by interoffice to Asheville.</t>
  </si>
  <si>
    <t>Kiosk - Good,Travel Pay - Bad,eCheck-in - Bad</t>
  </si>
  <si>
    <t>White River Junction VA Medical Center</t>
  </si>
  <si>
    <t>87</t>
  </si>
  <si>
    <t>mostly excellent medical care,except an eye clinic visit,I was left in the exam room for about an hour with no one to check in on me or to update me.About a year ago.</t>
  </si>
  <si>
    <t>Staff Attitude - Good,Wait time (arrival to check-out),General Check-in - Bad</t>
  </si>
  <si>
    <t>Blairsville VA Clinic</t>
  </si>
  <si>
    <t>It took over 30 mins to get check in</t>
  </si>
  <si>
    <t>Long wait time</t>
  </si>
  <si>
    <t>[NAME] is a trusted nurse that gets me in and out of there while asking the right questions.  The check in check out are is always delightful to work with.  Thank you Roudebush Medical Center.</t>
  </si>
  <si>
    <t>Upon arriving at the VA clinic I had difficulty with the kiosk check in. When my appointment was over I had to go to the front office and get a piece of paperwork to file for travel expenses. My last visit at the VA clinic took well over 3 1/2 months to get my travel pay.I wish someone would contact me so we can straighten this issue out. Thank you.</t>
  </si>
  <si>
    <t>Couldn't use kiosk, negative reaction to removing kiosks for travel pay</t>
  </si>
  <si>
    <t>i thought i had an appt oct 18 however when i checked in there was no appt.
and now this survey request indicates that there was an appt. so i am confused.
the check in staff was very kind and helpfull.</t>
  </si>
  <si>
    <t>Have the check-in folks in the GI department inform colonoscopy patients not to drink a glass of water before the procedure.  I had to wait an additional hour so I wouldn't "choke" during the procedure.</t>
  </si>
  <si>
    <t>Bring back the travel pay kiosk</t>
  </si>
  <si>
    <t>I liked the previous check in process using my VA identification card.   
Dr. [NAME] is genuinely interested in my welfare.  Very positive and understanding.  Do your best to keep him!</t>
  </si>
  <si>
    <t>Good staff, negative reaction to removing kiosks for checkin</t>
  </si>
  <si>
    <t>Upon early arrival to women's clinic the kiosk to check in to appointment was broken this could again not get Travel Reimbursement for appointment which still I would like to get fixed then the receptionist told me that my caregiver son was not welcome in the waiting room with me because he's a man. At that same time she let in a man janitor so I spoke up and let her know how it's discrimination.</t>
  </si>
  <si>
    <t>Kiosk - Bad,Travel Pay - Bad,General appointment feedback</t>
  </si>
  <si>
    <t>Couldn't use kiosk, couldn't file travel pay</t>
  </si>
  <si>
    <t>check in was confusing guess i am just not up to date with the smart phone and the scan that has to be done.</t>
  </si>
  <si>
    <t>Great experience. Easy check in as always and I was called right away for my blood draw. The lady doing the procedure was very friendly and did a great job. I am so please with our clinic here in St Augustine.</t>
  </si>
  <si>
    <t>This is a new facility which is outstanding. Very welcoming and designed with the patient in mine.
However it could be the worse facility and still be an outstanding location because of the staff. From Check in, Auto, Lab, and Physical the personal were friendly, accommodating and knowledgeable. It was a very pleasant visit.</t>
  </si>
  <si>
    <t>Good staff attitude, positive appointment experience</t>
  </si>
  <si>
    <t>2022-10-21</t>
  </si>
  <si>
    <t>Too many changes to the appointment sign in procedures. This has changed three times in the past few years. A lot of veterans do not feel comfortable using their smartphone and some do not have one. The kiosk was working just fine.
Everything else for these appointments was very good, except not sure when my teeth were cleaned why they do not polish them at the end of the appointment.</t>
  </si>
  <si>
    <t>eCheck-in - Bad,Kiosk - Good,General appointment feedback</t>
  </si>
  <si>
    <t>We got used to the kiosk and then you took them away and went back to the lines at the desks.</t>
  </si>
  <si>
    <t>Kiosk - Good,General Check-in - Bad</t>
  </si>
  <si>
    <t>Negative reaction to removing kiosks</t>
  </si>
  <si>
    <t>When I got to the clinic l went to the kiosk and checked in sat down and was called shortly after my Doctor ðŸ‘©â€âš•ï¸ was very pleasant and answered any questions I had I am very pleased ðŸ˜ƒ Thank You</t>
  </si>
  <si>
    <t>Kiosk - Good,General appointment feedback,Wait time (arrival to check-out)</t>
  </si>
  <si>
    <t>Telephone bar code check in was cumbersome and inefficient. I would recommend going back to the kiosk check in process.</t>
  </si>
  <si>
    <t>The kiosk for checking in worked very well. I do not understand removing them. Many times the people at check in are not very friendly. I am left thinking I have intrupted their day!</t>
  </si>
  <si>
    <t>Kiosk - Good,Staff Attitude - Bad</t>
  </si>
  <si>
    <t>Data Point VA Clinic</t>
  </si>
  <si>
    <t>While I was waiting to check in, no one in front of me, my legs got tired so I pulled up a chair to sit down. After a while the provider came out and called my name, i put the chair back and he asked me if I checked in and I said I was waiting, he said I had to check in, I went back to the window and then the lady check me in.  Was not impressed with the reception.</t>
  </si>
  <si>
    <t>The guilty functional kioske system was great.  the last three appts I've had the texting system was disfunctional. I'm a technologist, but many of them VA's patients are not.  this new system is a poor replacement.</t>
  </si>
  <si>
    <t>I was told to check in at the Poly Trauma Center. I got there 15 minutes early. After sitting for 45 minutes PAST my appointment I got up to ask how come no one came to take me back yet? The new nurse behind the counter said you were supposed to go upstairs to Room #__ for the Whole Health Class. So I went up &amp; it was almost over. After class, I did get a recap of all. But I wasn't the only one.</t>
  </si>
  <si>
    <t>Just go back to the old way with the  kiosk for travel pay and check in. None of us like the new way to much trouble and confusion</t>
  </si>
  <si>
    <t>Negative reaction to removing kiosks for travel pay and checkin</t>
  </si>
  <si>
    <t>The check in process went downhill when the kiosks were removed.  The current system has a lot of bugs.</t>
  </si>
  <si>
    <t>I like the gentleman at the door telling me what I needed to do next.  I waited til the check in person told me to sit and she took my information.  She also answered questions.</t>
  </si>
  <si>
    <t>Good staff, positive appointment experience</t>
  </si>
  <si>
    <t>This consultation went very well, others have not gone as smoothly.
The check in procedure doesnâ€™t seem to be reliable.</t>
  </si>
  <si>
    <t>Negative checkin experience, positive appointment experience</t>
  </si>
  <si>
    <t>Farmington VA Clinic</t>
  </si>
  <si>
    <t>Iâ€™m a check in a box</t>
  </si>
  <si>
    <t>They need to go back to the VA card check in .   Some of us veterans DO NOT have a  cell phone.  Before it was simple and quick.  Plus, it made filing for travel much easier and quick.</t>
  </si>
  <si>
    <t>My appointment time is usually met on time. Everyone is very professional from the check in person to the doctor/nurse.</t>
  </si>
  <si>
    <t>Arrived 10 minutes to 10am. But when checking in the Kiosk it told me I was to early - check in 15 minutes till my appointment. Really? My appointment was at 10:30. So, I sat down and played solitaire-just as I would of while waiting. Then got up and logged in at the kiosk. Sat back down and continued solitaire ....      Don't be early ... ?</t>
  </si>
  <si>
    <t>Negative checkin experience at kiosk</t>
  </si>
  <si>
    <t>Checking in is a very large pain I donâ€™t understand why we changed the way we checked in it was so much easier using the kiosk</t>
  </si>
  <si>
    <t>Provider called an asked if I could come in earlier. I agreed. Arrived about 1 hour earlier than Appt time. By chance provider was in the check in area and recognized me from earlier contact. Took me in immediately and performed all appointment procedures early and without problems. Enire visit was VERY satisfactory, efficient and complete.</t>
  </si>
  <si>
    <t>Staff Attitude - Good,General appointment feedback,Wait time (arrival to check-out)</t>
  </si>
  <si>
    <t>My appointment was scheduled for 0930 and 1000 AM, I arrived on time. Check in was conducted OK. Called at 1030 AM for my initial appointment. No one explaining why I had to wait that long too be seen by a provider. Update information doing the delay by someone wouldâ€™ve been grateful.</t>
  </si>
  <si>
    <t>General Check-in - Good,Wait time (arrival to check-out)</t>
  </si>
  <si>
    <t>Long wait time, negative appointment experience</t>
  </si>
  <si>
    <t>Since the kiosk was removed ind it harder to check in to appointment the up side was the woman who helped get me checked in</t>
  </si>
  <si>
    <t>Kiosk - Good,Staff Attitude - Good,General Check-in - Bad</t>
  </si>
  <si>
    <t>My Check-In and Out experience can be improved upon. There are 4 Check-In Stations but only 2 were manned when I checked in. Both Staff had to constantly get up and go back into the Dr's area to get printouts. There should be a Printer in the Check-In area.
Also, the Check-Out Clerk wasnt there and I had to process out through the Check-In Area. I had to stand in line for 7 minutes with bad knees.</t>
  </si>
  <si>
    <t>Kiosk - Bad,General Check-in - Bad,Wait time (arrival to check-out)</t>
  </si>
  <si>
    <t>On MyHealthVet.com my appointments are ONLY listed by dates. I always have to check in @ Prim.#3 to find out where I'm going that day. I suggest that appointments on MyHealthVet be listed to INCLUDE the clinic I'm scheduled for. When I have several appointments, as I have recently, it becomes difficult to know/remember where I'm going.</t>
  </si>
  <si>
    <t>Idea to keep location in appointment information</t>
  </si>
  <si>
    <t>Massaponax VA Clinic</t>
  </si>
  <si>
    <t>The facility is excellent. Check in was very easy. The front desk staff was very professional.  Ms. [NAME] was very nice, knowledgeable, very professional and caring.  Thanks for your care Ms. [NAME].</t>
  </si>
  <si>
    <t>New procedure for claiming travel is nothing less than BS.. Go back to using the kiosk!</t>
  </si>
  <si>
    <t>Check in staff are very nice. Therapist shows genuine concern for improving my health.</t>
  </si>
  <si>
    <t>This place is a joke especially the red team checkin and security they don't even check outside sit around socializing and on the phone red team front desk same thing and don't call any of the departments after 2:30 they will not answer even if you dont have the clinic number no one answer</t>
  </si>
  <si>
    <t>Bad staff attitude, negative appointment feedback</t>
  </si>
  <si>
    <t>Please bring back the kiosk to check in and to fill out travel reimbursement voucher. Having to check in on a smartphone is asinine. Trying to find the form online is not easy.  Big governmen(VA) don't make things more complicated than they need to be. KISS</t>
  </si>
  <si>
    <t>Physical Therapist [NAME] was GREAT.  He explained what he was doing and why.  
Since this was my first visit to the Savannah VA I was not sure what to do when I first walked in. When I first came in I noticed the Physical Therapy sign so I knew I should go there after checking in at the kiosk.  If PT wasn't at the entrance I would not have known where to go next.</t>
  </si>
  <si>
    <t>Both nurse and Doctor, as well as, the personnel manning the check in desk.</t>
  </si>
  <si>
    <t>optomology folks were all excellent, including the check in staff.  they all took good care of me.  No improvements necessary.  It's all good!</t>
  </si>
  <si>
    <t>Fayette County VA Clinic</t>
  </si>
  <si>
    <t>I compliment the whole team at the Fayette County VA Clinic from check in to my scheduling of my next appointment.</t>
  </si>
  <si>
    <t xml:space="preserve">Good staff attitude </t>
  </si>
  <si>
    <t>Could not get an appointment since April. Called over 15 times and once I was #1 in que, they hung up. Check in was exhausting, check out for follow up appointments was worse, took 45 minutes. Doctor harped on things unrelated to my visit and had no concern for my issue. Kept telling she couldn't help me and I would need to call to schedule an appointment with another section. I have more. Call me</t>
  </si>
  <si>
    <t>From check in to finish I was treated with respect and things that matter were explained completely.</t>
  </si>
  <si>
    <t>Very slow process. Waiting in line while check-in people spent more time on the phone.</t>
  </si>
  <si>
    <t>I was quickly and courteously ushered to check-in and after a brief wait called by the lab technician. After the obligatory questions to positively identify myself, the technician performed the test with skill and compassion. I had arrived 15 minutes early, as requested and left the facility within a half hour</t>
  </si>
  <si>
    <t>Great service, check in is fast and easy. Friendly professional nurses.</t>
  </si>
  <si>
    <t>Checking in with Kiosk was a disaster. I was not recognized as checked in. Rude behavior followed.</t>
  </si>
  <si>
    <t>Kiosk - Bad,Staff Attitude - Bad</t>
  </si>
  <si>
    <t>Negative reaction to kiosk</t>
  </si>
  <si>
    <t>My wait time from check-in to donation took the longest of my visits. I estimate 3 hours.</t>
  </si>
  <si>
    <t>The line was long and slow. The changed signage had confused almost everyone in the line. They were unaware thst they had to check into booth 1 and not just wait until they saw their name on the monitor.</t>
  </si>
  <si>
    <t>Wait time (arrival to check-out),General Check-in - Bad</t>
  </si>
  <si>
    <t>93</t>
  </si>
  <si>
    <t>I wld like to voice my sincere appreciation for Dr [NAME],  her nurse, the front desk staff of the Blue team, as well as the young lady that runs the front desk at Lab check in..they were all outstanding in my care!</t>
  </si>
  <si>
    <t>Good staff attitude</t>
  </si>
  <si>
    <t>2022-10-21 20:37
Your "Automated System" sends out...
1] SnailMail
2] TeXT messages
3] RoboCallS
Reminding me of my UpComing
appointment.
BUTt, I do not find out about the
Room &amp; Floor CHANGE until I Check-in at the expected room!</t>
  </si>
  <si>
    <t>The El Paso VA lab was exceedingly backed up that morning, with 15 people waiting to check in and at least 20 more sitting in the waiting area. However, the lab technicians were efficient, fast and did a phenomenal job of getting people through extremely quickly. In the process, they continued to be friendly, fun, meticulous, cautious and detailed. Phenomenal job on the part of the lab that day!</t>
  </si>
  <si>
    <t>Wait time (arrival to check-out),Staff Attitude - Good</t>
  </si>
  <si>
    <t>Why do we go to check-in desk when there is already a person outside of our specific clinic entrance that can help us. It appears that person is not working. It leaves a bad impression of too many positions that it is unnecessary. Also, the personnel that are helping us donâ€™t seem to understand what we are asking them most of the time, please be kind to us.</t>
  </si>
  <si>
    <t>Sherman VA Clinic</t>
  </si>
  <si>
    <t>No check-in system in place 
No system in place to turn in travel sheet</t>
  </si>
  <si>
    <t>Misunderstanding of where to checkin and file travel</t>
  </si>
  <si>
    <t>Trying to check-in 15 minutes prior to my appointment time was a problem. Tried to use the QR reader on my phone, but due to construction of the clinic building and no WiFi, my phone didn't connect. I had to go to the reception window, stand in line, then have the clerk check me in at 9:28 for my 9:30 appointment. Using the old kiosk was a lot better.</t>
  </si>
  <si>
    <t>QR code,eCheck-in - Bad,Kiosk - Good</t>
  </si>
  <si>
    <t>Negative reaction to echeckin, negative reaction to removing kiosks for checkin</t>
  </si>
  <si>
    <t>The staff member at the lab was dismissive to the point of being rude.  When I checked in (wearing my required mask) I provided my VA identification card which was ignored.  The staff member at the check in desk asked for my last name which she did not understand when I replied.  She asked me again and I replied again, moving my VA ID card closer to her..again ignored.  She then asked my last foâ€¦</t>
  </si>
  <si>
    <t>I don't know how to properly download the new skue scanner for the new check-in process and the pre check-in thing don't work right on  my phone. So all of that just seems to slow me down when I get to the clinic, maybe try to have a computer or smartphone  tech on staff there that's able to quickly fix these problems for those of us who aren't tech savvy at all.</t>
  </si>
  <si>
    <t>QR code,eCheck-in - Bad,Texting</t>
  </si>
  <si>
    <t>I am very satisfied with every aspect of the VA Appt. Being notified ahead of appt. Being able to check in using my phone and getting my blood work drawn expertly. I was in and out in less than 15 minutes.</t>
  </si>
  <si>
    <t>eCheck-in - Good,Wait time (arrival to check-out)</t>
  </si>
  <si>
    <t>Positive appointment experience, positive echeckin experience</t>
  </si>
  <si>
    <t>I wish the kiosk was up and working again. Itâ€™s was so convenient signing yourself in and being able to do your travel voucher on it.</t>
  </si>
  <si>
    <t>Positive kiosk feedback</t>
  </si>
  <si>
    <t>The people that attend the front desk at the lab area are very disrespectful and not knowledgeable and pretty rude they dont know what they are doing when you check in for a lab appointment they skip you or dont call you and even with the new puck system. 
 Will not recommend to  Other veterans better having yourself checked at Gainesville and drive 45 minutes to it</t>
  </si>
  <si>
    <t>The chiropractor team is excellent!!! From check in to walking out, everyone was friendly, caring, &amp; professional.</t>
  </si>
  <si>
    <t>The only way into the pharmacy is thru the kiosk number system and I had the prescription to give to the pharmacy in which I had to wait an unusually long time , other than that it was a blessing to be assisted at the va medical center thank you again.</t>
  </si>
  <si>
    <t>Kiosk - Bad,Wait time (arrival to check-out)</t>
  </si>
  <si>
    <t>Fast check-in.</t>
  </si>
  <si>
    <t>Positive checkin experience</t>
  </si>
  <si>
    <t>The pharmacy system is archaic &amp; has insanely long wait times. Iâ€™ve waited hours before to reach the pharmacy consultâ€”not even to get my meds. Thereâ€™s no reason this canâ€™t be run like clinics: you check in &amp; select what items youâ€™re there to pick up, then have an option of whether or not you desire/need to speak with a pharmacist. The shipping system is also trash&amp; too slow to process.</t>
  </si>
  <si>
    <t>From the check in person to the nurses everyone was friendly and professional. Service preformed was quick and complete. Total time from check in to complete labs was less than 30 minutes.</t>
  </si>
  <si>
    <t>Staff Attitude - Good,Wait time (arrival to check-out),General appointment feedback</t>
  </si>
  <si>
    <t>I love Dr. [NAME] but the entire staff at the primary care check in desk is unfriendly. I've been there several times and no one ever smiles.  They do the bare minimum by asking for last name and then tell you to have a seat. The nurses and providers are great though.</t>
  </si>
  <si>
    <t>General Check-in - Bad,Staff Attitude - Bad,Staff Attitude - Good</t>
  </si>
  <si>
    <t>Good and bad staff attitude</t>
  </si>
  <si>
    <t>You should of called with results instead of making me wait 2 hours to check in, check in and then tell me you were canceling my appointment.   Not only was this inconvenient but I could have exposed other veterans to Covid</t>
  </si>
  <si>
    <t>Schedulers were not very friendly and wrote up coming appointments on a piece of paper instead of a print out like at the hospitalâ€¦the service was excellant, however the check in and check out personal need some help</t>
  </si>
  <si>
    <t>Bad staff attitutde, positive appointment experience</t>
  </si>
  <si>
    <t>Over the years, the lab has had various check-in methods. When I started with the VA here 11 years ago, I seem to remember the check in process was using a Baskin-Robbins style "take a number" to be served. It evolved over the years to finally using a sign-in kiosk. Now the VA has gone back years in technology and are now back to using the B-R "take a number" method to check in.</t>
  </si>
  <si>
    <t>Chesapeake VA Clinic</t>
  </si>
  <si>
    <t>When arriving on time for my appointment I was told because I had an appointment I did not need to check in, they would call me, just have a seat.  I waited for over one hour and no one called me.  So I inquired at the window and they said they would call me.  Waited another half hour and no one called me.  Had another appointment elsewhere so went back to the window and rescheduled.</t>
  </si>
  <si>
    <t>The employees at the Brooksville VA Clinic are exceptional. Since using the clinic I have never been treated other than professionally and with the upmost courtesy whether it be for labs, doctor, or tele-health at the clinic. The front check-in desk personnel are always cheerful and helpful especially to those patients I see that need extra assistance.</t>
  </si>
  <si>
    <t>good staff attitude</t>
  </si>
  <si>
    <t>I checked in previously 30 minutes early to see my Primary using the automated checkin. It said "Too Early"
Then it ignored my checkin and I waited in the hall two hours. Bad software!
I won't use the automatic checkin again.</t>
  </si>
  <si>
    <t>The check in person was very professional and answered my questions and concerns with complete knowledge of the Prescription I was picking up. 
As I walked away I felt very informed, picked up my prescription, was in and out in less than 5 minutes.
Put a positive spin on the rest of my day.
Thanks, 
Jim</t>
  </si>
  <si>
    <t>Audiology department was awesome from checkin to completion. Dr [NAME] was very professional and thorough. Keep it up.</t>
  </si>
  <si>
    <t>I'm not happy with all the crap we have to listen to in order request my meds over the phone. I'm not happy with the paper work I gotta fill out to get my travel pay. Why can't you just go back to those easy to use kiosks. Why are the big wigs making it hard for Veterans.</t>
  </si>
  <si>
    <t>No waiting to be served.  Easy check-in.  Doc saw me just about immediately.  All in all, a wonderful experience !!
Two thumbs up.</t>
  </si>
  <si>
    <t>General Check-in - Good,General appointment feedback,Wait time (arrival to check-out)</t>
  </si>
  <si>
    <t>Juneau VA Clinic</t>
  </si>
  <si>
    <t>Thank you to all staff at the Juneau VA Clinic that helped me through Secure Messaging, Check In, Exam, Recommendations, and Treatment! Blessings!</t>
  </si>
  <si>
    <t>I recommend that the VA stops issuing paper "tickets" upon entry to the VA hospital. It is a waste of paper/resources that is not necessary. Nobody asks for a "hall pass." Come on. Then you have us answer the same questions at the check in kiosk. A bit redundant.</t>
  </si>
  <si>
    <t>Negative checkin experience</t>
  </si>
  <si>
    <t>My Audiologist, Mr [NAME](? Spelling) and the appointment scheduler, Ms [NAME]. These two are top-notch folks Iâ€™ve dealt with since around 2006 and never give less than their best. Ultimate courtesy, respect and professionalism from start to current. The front desk check-in is above reproach snd despite the mask they wear, I know theyâ€™re smiling - their eyes are sparkling.</t>
  </si>
  <si>
    <t>I am a  outpatient on the 5th floor for a  procedure. From the  check in staff to the  many nurses providing professional care, i am always  welcomed as i am part of  the  family  at  VA. After almost a  year and  probably  many more  to come, it is  always soothing  to know  i will receive the  personal care  that sets  the  5th floor from the rest of the  staffs.</t>
  </si>
  <si>
    <t>2022-10-20</t>
  </si>
  <si>
    <t>Please go back to the kiost system.  Trave pay and check in faster less effort.  Going on line is slow and cofusing.</t>
  </si>
  <si>
    <t>Kiosk - Good,eCheck-in - Bad</t>
  </si>
  <si>
    <t>I don't agree that the check in window should all take lunch at the same time as this causes a problem with someone that is checking out during this time due to there appointment going longer than usual and they have to get someone to check out and you have to file a travel form manually mail it in or drop it off at the VA hospital because they aren't willing to do one for you at your next appt.</t>
  </si>
  <si>
    <t>After my appointment with my Dr I was to get blood drawn. I check in but no one ever came. The security guard was the one that finally helped after seeing individuals coming and going after services but me. I was very disappointed and this was my first encounter with the Florida VA. I got better treatment at the DCVA.</t>
  </si>
  <si>
    <t>The North Charleston VA Clinic and the staff there are first rate. I was actually startled by the high quality facility , very slick kiosk/software and the fine staff. You , and we veterans, can be very proud of this facility.</t>
  </si>
  <si>
    <t>Podiatry Check in process was handled very well, and there was a comfortable place to wait for my appointment. The doctor however, started my appointment by telling me she does not believe in surgery for any foot problem because it just leads to further foot problems. All this before she even examined my foot. I was given no practical solutions and sent on my way. A total waste of my time.</t>
  </si>
  <si>
    <t>General Check-in - Good,Staff Attitude - Bad,General appointment feedback</t>
  </si>
  <si>
    <t>Positive checkin experience, negative appointment experience</t>
  </si>
  <si>
    <t>The center was very clean and had cslming colors an pretty pictures on the walls. The staff member at check in was friendly and fast. Also the staff member who booked my next appointment at the check out desk was very helpful. My medical provider was very thorough and made me feel welcome.</t>
  </si>
  <si>
    <t>Return to using the Kiosk, for submitting travel expense requests.  It was a very convenient  system.</t>
  </si>
  <si>
    <t>2022-10-19</t>
  </si>
  <si>
    <t>Danville VA Medical Center</t>
  </si>
  <si>
    <t>Only issue I have is that I don't know I need to go to lab before appointment until I check in and ask.</t>
  </si>
  <si>
    <t>Always Top Notch medical service starting with the check-in clerk, to the nurse and then to the doctor. I wish all things in life worked this smoothly!!</t>
  </si>
  <si>
    <t>You need to return to the efficient check in using our card and the kiosk.
The new method is slower, useless to veterans without smart phones.
Newer isn't always better. The new check in sucks..BIG TIME.</t>
  </si>
  <si>
    <t>Efficient check-in, nice area for facility.  A little far.
After the doctor left the exam room, I was  left without guidance to how to leave the facility, and using by which corridor.</t>
  </si>
  <si>
    <t>Good checkin experience</t>
  </si>
  <si>
    <t>Even with all the construction and walling off the size of the check-in, which caused a cramped waiting area, the service people worked with a positive attitude and helping everyone in the waiting area.</t>
  </si>
  <si>
    <t>If this is about dr canna I canâ€™t say enough good about him or his check in nurses, if this is about dr shah I donâ€™t know why we wasted each otherâ€™s time with an appointment when another needy vet could have used that timeâ€¦.</t>
  </si>
  <si>
    <t>New check in system is only good if you have a phone and know how to use it !! I donâ€™t carry a phone</t>
  </si>
  <si>
    <t>The check in procedure isn't good.  Older veterans such as myself don't use cell phones like younger people.  QR codes and texting are not a good way to check in.  I can't see monetary savings is made when a person must be working the front desk to assist individuals who don't use cell phones to check in.</t>
  </si>
  <si>
    <t>eCheck-in - Bad,QR code,Texting</t>
  </si>
  <si>
    <t>Flagstaff VA Clinic</t>
  </si>
  <si>
    <t>Changed the check in process.  Now we have to use our phone  they said. The kiosk was great and now you think our phones are better.  So I had to check in with the front desk  and then fill out a paper travel claim.  Seems like you took 2 steps back instead of forward.</t>
  </si>
  <si>
    <t>Upon arrival I participated in the covid screening and then directed to window 6 to check in. I waited.There was hardly anyone in the waiting room and the covid screener who told me to go to window 6 could see me waiting.  After 10 minutes, I walked back to the screener and asked if I should still wait at window 6 because if I waited longer I would miss the appt. She said go to any window.</t>
  </si>
  <si>
    <t>Filing for travel reimbursement via the kiosk was a great system â€” took about a minute from anywhere in the hospital. Now the Durham VA has reverted back to filing by paper at the travel pay office, in person. Such a degradation to efficiency.</t>
  </si>
  <si>
    <t>I failed to get the name of the nice man that provided check-in for me. Above and beyond to assist me with keeping my scheduled appt. A wonderful lady from Greenville....... / Chelsea, took all my requests and questions in stride. I felt welcomed. Certainly relaxing me after the crazy drive from Dallas. Everyone I had contact with, including Lab made the experience .....enjoyable.</t>
  </si>
  <si>
    <t>As usual OVAMC Cardio Clinic did a great, no a fantastic job during my last visit. Everything from helpfulness at check in waiting patiently as I looked for an insurance card that was later returned to me during my visit, on time appointment (actually they got me in early), thoroughness of the staff taking my vitals and other information including a concern was later redone and was ok, PA was very</t>
  </si>
  <si>
    <t>General Check-in - Good,Staff Attitude - Good,Wait time (arrival to check-out)</t>
  </si>
  <si>
    <t>John L. McClellan Memorial Veterans' Hospital</t>
  </si>
  <si>
    <t>The receptionist absolutely ignored me while waiting to check in. Please remember that not everyone carries a phone or (has a smartphone).</t>
  </si>
  <si>
    <t>Bad staff attitude, negative reaction to echeckin</t>
  </si>
  <si>
    <t>The only concern is the new check-in process with smartphones. I had two appointments on the 17th at Franklin VA clinic. It would not let me check into my first appointment it kept telling me to try again later. I also had issues signing in to the podiatry in Asheville at my last visit there.</t>
  </si>
  <si>
    <t>Donâ€™t like doing away with the kiosks ,new way is more complicated</t>
  </si>
  <si>
    <t>I have an ongoing issue (for years) with one of the check-in employees.  Sheâ€™s always rude to me and Iâ€™ve heard others say the same thing.  Iâ€™ve asked other clinic employees and theyâ€™ve said complaints about her go no where because sheâ€™s buddies with the supervisor.   This visit I was fortunate to get in the other check-in lane (that employee hasnâ€™t been there very long; sheâ€™s very nice).</t>
  </si>
  <si>
    <t>Bad staff attitude</t>
  </si>
  <si>
    <t>Kiosk check in would be nice.</t>
  </si>
  <si>
    <t>San Juan VA Medical Center</t>
  </si>
  <si>
    <t>I arrived to my spot at 0850 and someone from the staff asked me to change to a different station for check in. Appt was supposed to be at 0900 , at 1010 I went back to the receptionist and I was not even checked inâ€¦ I was sent to the lab to do a blood test and was received by the PA at 1212 â€¦ 3 hours to get into my appt.</t>
  </si>
  <si>
    <t>The check in kiosks downstairs donâ€™t communicate to the ones upstairs so people donâ€™t know where to go. They sit downstairs and wait and sometimes miss their appointment.</t>
  </si>
  <si>
    <t>When check-in clerks keep their office lights out, you cannot tell if their "window" is open.  (You can't even see them.)  I worked on computers in offices all my life and never turned my office lights out to see computer screens better.  Perhaps you could lower wattage of light bulbs so they are not so bright for employees if that is the problem?</t>
  </si>
  <si>
    <t>Short wait after check in, staff member was cheerful. She was knowledgeable about what I needed.</t>
  </si>
  <si>
    <t>Had a very good first visit.  [NAME], who did the check-in  was very personable and friendly/caring.  He hung out with me instead of sending me back to the waiting room while waiting for [NAME](spelling?) to finish with her previous veteran.  Made for the visit to be relaxed and comfortable.  [NAME] was also very cordial, relaxing, and helpful for our first visit.</t>
  </si>
  <si>
    <t>I Have been forgotten in the waiting room everytime I've gone there. I have had to make repeated trips to the check in to remind them I'm still there. They take all from my appointment time, then they take all from the next appointment time and i am still sitting there. If this happened once, no big deal. If this happened twice so be it, but every single time is to much.  I suspect in my case, the</t>
  </si>
  <si>
    <t>The individual that I picked-up my medication from was very courteous, and explained the reason for not having the additional medication available for pick-up. 
However, the check-in system being used could be updated. There are only three individuals available me for check-in with a 15 person wait to be seen. An adjustment in the process would allow check-ins to be done quicker and medication.</t>
  </si>
  <si>
    <t>General Check-in - Bad,Staff Attitude - Good</t>
  </si>
  <si>
    <t>Good staff attitude, negative checkin experience</t>
  </si>
  <si>
    <t>Up on my arrival, I approached the window to check in and was told to use the kiosk.  When the kiosk didn't work I went back to the window and explained my card was not being read.  She wrote my name and last four on a piece of scrap paper and told me to have a seat.  She never checked me in.  Luckily I tried the other kiosk and checked myself in.  I appeared to be late when I was not.</t>
  </si>
  <si>
    <t>Yale VA Clinic</t>
  </si>
  <si>
    <t>My appointment went good and stress free from check in to checking out. This location is much closer to my home than Detroit or Ann Arbor.</t>
  </si>
  <si>
    <t>after my check in i had to wait for almost two hrs.To see my dr.due to the desk person not properly checking me in.</t>
  </si>
  <si>
    <t>The Nurse at the Salina VA clinic in Salina, KS who has worked there for 19 years has provided great customer service. This last week there was a room full of patients checking in and the front office staff was out that day so she was working non-stop with check-in while still being courteous and respectful. If possible please pass this along.</t>
  </si>
  <si>
    <t>Lyons VA Medical Center</t>
  </si>
  <si>
    <t>The medical Rn + Dr weâ€™re Great!  The reception staff to check in and set appointmentsâ€¦well, it appeared they were less interested in the clientsâ€¦more interested in their drinks and pastries</t>
  </si>
  <si>
    <t>Staff Attitude - Good,Staff Attitude - Bad,General Check-in - Bad</t>
  </si>
  <si>
    <t>I love going to the RMR VA Medical Center. I look forward to it and every visit is an uplifting experience. The people are wonderful, the building and facilities are an inspiration, and everything runs well. The food is delicious, the art is lovely, and the kiosks are fun. Visits are certainly one of the highlights of any month. Thank you.</t>
  </si>
  <si>
    <t>on Sept 17 I had an appointment with a tech. to have my hearing aid fixed that quit working. i arrived at the clinic to check in and was told that the tech, was not there but left a box for me to mail the broken aid in. i was also told that they tried to call and left a msg on the phone. i live an hour away. i still do not have my left hearing aid back and this is the Oct 19th</t>
  </si>
  <si>
    <t>I understand that you have to check in at the Kiosk for the pharmacist to call you and assist you. My concern is, when there is no one waiting for the pharmacist to call and he is just sitting there behind the glass, can he have a least the sense of urgency and help the veteran waiting? Also, letâ€™s have respect when addressing each other, yes Sir, yes Maâ€™am is perfect.</t>
  </si>
  <si>
    <t>Would like to see on the appointment ticket upon check in which location for the waiting area to go to. There are three areas at the Rochester VA location and could be a bit confusing which section to wait at.</t>
  </si>
  <si>
    <t>General Check-in - Bad,General appointment feedback</t>
  </si>
  <si>
    <t>First time in 20 something years had to wait way to long for lab work. Especially when I have to fast. Appt. At 9:30 got there at 9 and was told I had to wait until 9:15 to check in for a 9:30 appt. And was not seen until after 10. Not good at all. Use to go check in and when in 10 - 15 in and out. And wearing a mask that long is not fun either.</t>
  </si>
  <si>
    <t>Central Alabama Montgomery VA Clinic</t>
  </si>
  <si>
    <t>Overall positive experience.  Only issue was that the check-in kiosk didn't work. I got great care from the medical team.</t>
  </si>
  <si>
    <t>Kiosk - Bad,General appointment feedback</t>
  </si>
  <si>
    <t>Lane A. Evans VA Community Based Outpatient Clinic</t>
  </si>
  <si>
    <t>What happened to the appointment KIOSK that allowed a patient to submit a request for travel?  I have to drive 60 miles to get to may appointment and have not been able to submit for travel on my last two appointments.</t>
  </si>
  <si>
    <t>Kietzke VA Clinic</t>
  </si>
  <si>
    <t>Everyone on the team, from check in, to test, to Dr [NAME] all brought their "A" game. Thank you.</t>
  </si>
  <si>
    <t>As I sat watching the monitor for the names of prescriptions that had been filled, I waited for 90 minutes for my name to be on the monitor. Finally, I went up and ask the check in person why it was taking so long to fill the prescriptions. She said I could check at window one. The prescriptions were filled, and my name never appeared on the monitor. Not the way it supposed to work.......</t>
  </si>
  <si>
    <t>The bar code check in does not work, the staff at this facility know this, but did not in form the patients this service did not work. I waited over 30 minutes to get blood drawn.  When the lab person at 800 am began to pull people back, I informed him that I had an appointment , 20 minutes later I went to the front desk and was then told the system was broken.</t>
  </si>
  <si>
    <t>eCheck-in - Bad,Wait time (arrival to check-out),QR code</t>
  </si>
  <si>
    <t>Negative reaction to echeckin, long wait time</t>
  </si>
  <si>
    <t>Waiting in line for check out or check in is ridiculous. The tellers ignore you and leave you waiting.</t>
  </si>
  <si>
    <t>We were sent out a way to check in by way of text.  I tried to do this and was informed sometimes it works and sometimes it does not.  Mine did not.  Prior to changing the check in system as the VA did, the VA should make sure it's the better way to go.  The scanned card system was great.</t>
  </si>
  <si>
    <t>Kiosk - Good,eCheck-in - Bad,Texting</t>
  </si>
  <si>
    <t>I have found it very difficult to submit my mileage for my transportation to Edward Hines hospital from my home. I tried calling for assistance but was on hold for over thirty minutes. I never got through and after several attempts I have come to a roadblock that I cannot figure out how to get around. The Kiosk was always a great way for me to inform you about my travel needs.</t>
  </si>
  <si>
    <t>When I went for my labs I did not have an appointment since my dr told me that I can walk in.  I check in up front and the clerk told me that my appointment was at 830 but the clerk check me in anyways.  After an hour and a half, I went back to the front desk and another clerk told me that I was not checked in, so that clerk checked me in and I had to wait another 30 minutes until I got called.</t>
  </si>
  <si>
    <t>Check in was fast.  I don't recall the nurse's name who took my vitals but she was very professional and was very upbeat.</t>
  </si>
  <si>
    <t>Positive checkin experience, good staff attitude</t>
  </si>
  <si>
    <t>I have a terrific doctor at the VA. He communicates so well and takes time to address any concern I might have. The check in LPN was excellent also. Just a great check up at the VA.</t>
  </si>
  <si>
    <t>Please put the
Kiosks back, some of the employees are not very nice.</t>
  </si>
  <si>
    <t>Chico VA Clinic</t>
  </si>
  <si>
    <t>On recent visit a lady at the check in/information desk was rude and talked down to me when I asked if I was covered for dental and also asked why my travel payment requests have been in Manual review for months. "well they are 5 months behind and haven't had anyone working on them" Period.</t>
  </si>
  <si>
    <t>I have had nothing but superb care at the Dallas VA.   But at the clinics on the first floor near the info desk, it is impossible to hear and hard to know when there is a line to check in and out.  Every time I've been to the those clinics, I've been panhandled while waiting.  Dr [NAME] and his staff at Clinic 14 are world class.</t>
  </si>
  <si>
    <t>Staff Attitude - Bad,Staff Attitude - Good</t>
  </si>
  <si>
    <t>From check-in to scheduling my next appointment everyone we professional, upbeat, and caring.  I have full confidence in all members of the staff and known that my medical needs are cared for.</t>
  </si>
  <si>
    <t>Delray Beach VA Clinic</t>
  </si>
  <si>
    <t>97</t>
  </si>
  <si>
    <t>Need better check in arrangement</t>
  </si>
  <si>
    <t>I unfortunately used the scan here check in. And the desk. Wasnâ€™t seen for over a hour. Then was told I didnâ€™t check in. Really was bummed. They did try to take me late. But was feeling uncomfortable as I had been there over a hour.</t>
  </si>
  <si>
    <t>eCheck-in - Bad,Wait time (arrival to check-out)</t>
  </si>
  <si>
    <t>DuBois VA Clinic</t>
  </si>
  <si>
    <t>The check-in process needs to be improved.  I noticed a couple signs to check-in with a QR code and phone but these are placed next to the check-in windows so you have to wait in line anyway.  It's not clear which windows to wait at.  I noticed almost everyone was confused about where to get in line to check-in.</t>
  </si>
  <si>
    <t>eCheck-in - Bad,QR code</t>
  </si>
  <si>
    <t>25</t>
  </si>
  <si>
    <t>I love going to the VA in Lincoln it is a great experience almost every time. I would say that I miss the check in kiosks, and I spoke to everyone as far as providers and receptionists and they all agree the kiosks were very helpful. I know how to use the text check in and that works for me but many older VA patients have trouble with them and the kiosks were much more user friendly! Thank you!</t>
  </si>
  <si>
    <t>Kiosk - Good,Texting</t>
  </si>
  <si>
    <t>New check in procedures are confusing.  Trying to apply for travel is very difficult.</t>
  </si>
  <si>
    <t>Very frustrating when I am told to check in for my appointment 15 min early and the clerks aren't even there! Then the clerks have bad attitudes first thing because there is a line of veterans trying to check-in and only one or two clerks taking customers!</t>
  </si>
  <si>
    <t>Travel pay.
The old system was easy to use and complete. I don't like the on line system and liked the kiosk. Most veteran's are older and this automation is not easy to us. Thank goodness some offices help us with travel pay.</t>
  </si>
  <si>
    <t>While I understand the scheduling challenges the VA is tasked with, a 15 minute window to check in for an appointment is not always reasonable. I travel a distance of approximately 60 miles to my facility, at times there are unforeseen traffic issues, then upon arrival at the facility (20 mins late) then being told you will have to reschedule is very frustrating.</t>
  </si>
  <si>
    <t>Negative reaction to echeckin - specifically the 15-minute window</t>
  </si>
  <si>
    <t>From check in to doing labs everyone was polite and professional. Even though they were very busy I got in about 5 minutes pass my appointed time, great job.</t>
  </si>
  <si>
    <t>I would like to recommend that the clinic get the check in machines working again. It was real easy and fast for me to check in and turn in the travel. Everything else is great.</t>
  </si>
  <si>
    <t>Positive reaction to kiosk</t>
  </si>
  <si>
    <t>Lines were long I when arrived 15 minutes early for my appointment. The check in people
quickly spread everyone around. I was checked in and finished with my appointment two minutes after my appointed time! It was great!</t>
  </si>
  <si>
    <t>Whne checking into both the Dental and Chiro the clinic front desk people refused to check people in, forcing them to use their phones. Some people spent 15/20 min trying to check-in. One tech told a gentleman she couldn't take his vitals until he checked in. When another patient said they can go to the desk to check-in the staff got angry with them.</t>
  </si>
  <si>
    <t>negative reaction to echeckin</t>
  </si>
  <si>
    <t>Doing travel online is very hard and my appointment did not show on line.  I don't think that a Vet not computer skilled will be able to do it.  Not sure why the kiosk was done away with.</t>
  </si>
  <si>
    <t>2022-10-18</t>
  </si>
  <si>
    <t>I dealt with a check in person that had an attitude less than tolerable.  I asked about a check in question and was talked about while I was waiting for my appointment.  And I could hear what he was saying because he said it very loudly.  I didnâ€™t appreciate the comments or the way he said them</t>
  </si>
  <si>
    <t>The check-in location moved and I did the online check-in. But that did not work apparently. Thankfully the nurse checked for me at the old location. Should be a sign that the check in moved back to its original location for primary care.</t>
  </si>
  <si>
    <t>U have made making a travel claim a lot more difficult.  No working kiosk, not everyone has a smart phone, maybe u should issue all vets with smart phones if u expect them to check in and file travel with one.  My appointment was on the first floor and the person I asked at the desk told me I had to go to the second floor to check in.  Went to the second floor no one at desk</t>
  </si>
  <si>
    <t>Iâ€™m always under surveillance when I go to John Dingel. Afraid always harassed. A elaborate plan was hatched on Ed I checked in. A person came in and did not check ini believe he followed me then a person on a scooter with a loud music system came and parked beside me and turned on loud music. Police were called when I said something. I donâ€™t feel safe going there.</t>
  </si>
  <si>
    <t>The staff, who I encountered throughout my visit, to include:
â€” Door Security &amp; Greeter: Great attitude and polite
â€” LVN: Sheâ€™s the best, courteous, respectful, and joyful attitude. 
â€” PCM: Dr. Lo was on-time, informative, and answered all my questions
â€” Check-in receptionist: Great attitude and helpful
â€” Phlebotomist: Great attitude and efficient.</t>
  </si>
  <si>
    <t>Twice I have went to an appointment only to check in and find out that it had been cancelled because the Doctor wasn't in. Why not call the patient to inform us before we make plans and rearrange work schedules to make these appointments. Communication would be much appreciated especially since I took off of work both times to be there only to be turn away.</t>
  </si>
  <si>
    <t>Everyone was helpful from making the appointment to the check-in process. I was quickly seen and felt the respect.</t>
  </si>
  <si>
    <t>I miss having the kiosk to do travel benefits on, trying to figure out how this smartphone works keeps me guessing.</t>
  </si>
  <si>
    <t>Person manning the front about the masks told me "the VA wants everyone to wear a medical mask and replace your cloth mask" so I complied. I got up to my check in and several people were in cloth masks, making me feel targeted/singled out.</t>
  </si>
  <si>
    <t>Supposed to check in at kiosk but only one available upstairs. Two additional are downstairs but cannot enter downstairs. It is very difficult and time consuming to walk downstairs to check in at a kiosk and/or wait in line upstairs to check in. Why canâ€™t kiosks all be at the entrance???</t>
  </si>
  <si>
    <t>The person at the check in counter for the audiology clinic was not very friendly. In fact he was rude both times I dealt with him. I made my appointment with him in the morning and when I arrived late for my appointment he gave me. He said a rude comment under his breathe about the tech that had seen me to reschedule my appointment with the proper person as she walked away.</t>
  </si>
  <si>
    <t>It is impossible to check in online or do my travel pay on my phone at the VA when there's no Wi-Fi available..</t>
  </si>
  <si>
    <t>Negative reaction to echeckin and travel pay on phone</t>
  </si>
  <si>
    <t>The last two (2) appointments the Kiosk check-in doesn't work and this causes waiting in line to check-in and then can't apply for travel pay.  First appointment filled out the 10-3542 Reimbursement for Travel Expenses and turned in at the check-in desk.  Only received reimbursement for one way travel.  This time took the 10-3542 home (photocopied completed form) and mailed it back.</t>
  </si>
  <si>
    <t>Dump the stupid mask mandate.
Also, we used to have an electronic check in option, but apparently you changed computer systems and the new one doesnt talk to the kiosk, so it was removed.
Nobody thought to check that?</t>
  </si>
  <si>
    <t>eCheck-in - Bad,Kiosk - Bad</t>
  </si>
  <si>
    <t>Travel reimbursement using computer, smartphone is to complex to reqest travel pay.(past 2questions using a kiosk, now multiple questions takes longer,more complex entering info.and confirming</t>
  </si>
  <si>
    <t>Tulare VA Clinic</t>
  </si>
  <si>
    <t>Easy to get an appointment easy checkin Nurse very nice Doctor lisened to my concerns and very helpful.</t>
  </si>
  <si>
    <t>Positive checkin experience, positive appointment experience</t>
  </si>
  <si>
    <t>This was my first visit to a Veterans Administration facility. I was very impressed with the interior of the building (considering it's in a run down shopping center), the check in staff and Dr. [NAME] (audiologist)</t>
  </si>
  <si>
    <t>check in ladies were very helpful to a first timer,and everyone was very friendly</t>
  </si>
  <si>
    <t>Looks like we have turned back at least 10 years.  Taken machines for check in &amp; out and filing travel has created the lines of years ago. Alot of us old folks do not have smart phones.</t>
  </si>
  <si>
    <t>Negative reaction to removing kidosks for travel pay and checkin</t>
  </si>
  <si>
    <t>The new check in process, did not work for me on this visit.</t>
  </si>
  <si>
    <t>Why do I have to arrive 30 minutes prior to appointment when the checkin can be done by phone?</t>
  </si>
  <si>
    <t>West Linn VA Clinic</t>
  </si>
  <si>
    <t>Entire staff, from check-in to check-out, was friendly and efficient. Dr. [NAME] is a superb clinician and a neat lady.</t>
  </si>
  <si>
    <t>General appointment feedback,Staff Attitude - Good</t>
  </si>
  <si>
    <t>I donâ€™t understand why this they have the Kinko machines for people to check in and when you get there you can check in all the sudden to now do you spell shitty watch TV while waiting now you canâ€™t watch TV no more whatâ€™s going on with the service</t>
  </si>
  <si>
    <t>Those at the check in window need to improve their customer service skills. I am never acknowledged when I enter and stand to wait my turn for check in.</t>
  </si>
  <si>
    <t>Recently, I have had several VA providers call my name before I had checked in to the scheduled appointment. This was about the 3rd time in a row from 3 different offices at the same Shallowford rd area. This creates chaos at the check in desk between the actual line, the patients and the providers. I was informed of a way to check myself into future appointments via cell app, so theres that.</t>
  </si>
  <si>
    <t>negative appointment experience</t>
  </si>
  <si>
    <t>Charlie Norwood Department of Veterans Affairs Medical Center</t>
  </si>
  <si>
    <t>I was a walk in for an  hearing adjustment.  I got to the check in a 1401  and was seen by the technician without any questions.  I thought that was great ðŸ‘.</t>
  </si>
  <si>
    <t>The person at the check in desk was extremely helpful and completed my check quickly.  The audiologist that did my hearing test was very knowledgeable and explained each step in the test in easy to understand detail.   I highly complement the people that assisted me during my appointment.</t>
  </si>
  <si>
    <t>Michael A. Marzano Department of Veterans Affairs Outpatient Clinic</t>
  </si>
  <si>
    <t>I DO NOT LIKE THE PHONE CHECK IN SYSTEM AS I RARELY CARRY A PHONE. BUT GET TOLD EVERY TIME TO BRING A PHONE.</t>
  </si>
  <si>
    <t>On the morning of my MRI and X-Rays there was a computer issue that was not allowing the checkin to communicate with the different offices.    I saw the staff quickly walking around delivering the message and communicating everything in person.  The entire staff was maintained a friendliness and concern about all the Veteran's I could hear them in contact with.</t>
  </si>
  <si>
    <t>i am old.  analog person in a digital world. your recent removal of the kiosks has placed a burden on me. i now have to fill out a form to get travel reimbursement were previously i simply used the kiosk. they say use your "smart" phone.  don't use one. i wish the kiosks were brought back. list of extensions too.</t>
  </si>
  <si>
    <t>I did not receive updated phone or email information where to check in for MRI at Urgent Care and I unfortunately entered Eagle Entrance and waited with another person in the waiting room. 
I ended up having my MRI later than scheduled because of lack of information.
Otherwise all services were excellent.
From what I understand there were others that were not informed.</t>
  </si>
  <si>
    <t>The gastrointestinal clinic should be on the sign beside the elevators on the first floor. 
Reminder texts and emails should include the clinic number or ID to check in at (like 4D).</t>
  </si>
  <si>
    <t>Texting</t>
  </si>
  <si>
    <t>When I arrived to get a ticket to get my prescriptions,  there was an employee who was refilling the paper spool in the ticket kiosk. It was clear that she was struggling and she said that she had never been shown how to refill it. I pointed out the diagram on how to feed the paper and she was able to get it filled. The delay was 5 or 6 minutes, but it could have been proper training.</t>
  </si>
  <si>
    <t>everything went well, thank you except I will check in at the front desk for sure next time so they know I was there, I caused a problem which doctor [NAME] respectfully took care of.</t>
  </si>
  <si>
    <t>My appointment through the email does not state which department my appointment is in. My biggest issue is I know where to go if Iâ€™m told, but since the covid restrictions, there is limited kiosks available near the main entrance which everyone needs to use and itâ€™s inconvenient to walk to another department to find out itâ€™s the wrong location. Employees also mentioned veterans w/ same complaints</t>
  </si>
  <si>
    <t>Negative reaction to kiosk, idea to keep location in appointment information</t>
  </si>
  <si>
    <t>Upon arriving I notified the check-in staff that I had a TB lab and that it had to be in before the first pick up. The staff never notified the lab that I arrived and luckily I notified them before the driver took the first set of labs. The woman at the desk completely ignored the fact that I told her what I told her.</t>
  </si>
  <si>
    <t>Staff Attitude - Bad,General Check-in - Bad</t>
  </si>
  <si>
    <t>The doctor and nurses were excellent. I had to check in for two appointments and both times I felt disrespected and was given cursory and incorrect directions</t>
  </si>
  <si>
    <t>The kiosk check it is great but Iâ€™m not sure how it saves time since I used the kiosk but still had to wait in a long line to have a check in personal repeat the same information I verified at the kiosk. Seems redundant and considering standing in line is painful due to injuries it should be reviewed.</t>
  </si>
  <si>
    <t>Employees hide their identities by wearing their identities badges on back words.  They ignore you while in line waiting to check in. Chit chatting with each other, on their cell phones, etc. Clinics do not answer their phones and do not return phone calls or messages left. The pain clinic and pharmacy are the worst, horrible, unsatisfactory!!!!</t>
  </si>
  <si>
    <t>2022-10-17</t>
  </si>
  <si>
    <t>I arrived at the department desk 10 minutes before my appointment, to check in. I then waited for over an hour. After checking with the receptionist, she went to find out why i wasn't called.The nurse apologized and said they didn't know that I was there. How did I get lost in the system?</t>
  </si>
  <si>
    <t>rude ass clerks at the check in window to busy talking with each other rather than treat people standings inline respectfully  ! its like your checking in is a bother to them !</t>
  </si>
  <si>
    <t>Somehow I was overlooked/passed-by for my appointment.  My appt. was for 9am, after I checked in around 845am, I waited until 920, and inquired at the check-in desk regarding the delay.  After 5min, a nurse/tech. came out to get me and apologized for the delay.  Hence my reasoning that i was overlooked following check-in.</t>
  </si>
  <si>
    <t>Just got released from Bergan Mercy, went to va for rx's. Was a holiday had to check-in see doctor, took few hours sitting while i was very uncomfortable.</t>
  </si>
  <si>
    <t>Fredericksburg VA Clinic</t>
  </si>
  <si>
    <t>As a brand-new VA patient, I received my very first appointment that was supposed to be on 12 October.  I received three different texts to confirm the appointment, but no information on where the appointment was supposed to be.  The only information in the texts to confirm the appointment was the term Fredericksburg CBOC.  I was able to Google the location.  Wrong location, faulty check-in.</t>
  </si>
  <si>
    <t>Texting,General Check-in - Bad</t>
  </si>
  <si>
    <t>walk us through the new check-in process</t>
  </si>
  <si>
    <t>Wants training on echeckin</t>
  </si>
  <si>
    <t>The first and second times that I tried to make an appointment with the North Charleston VA Clinic, my information could not be found in the kiosk...I was bewildered! So, Ms. [NAME] assisted me personally and got me in the system, I received an email and a phone message indicating that blood work and a doctor's appointment is scheduled. I was very happy that I had gotten "back" in the system.</t>
  </si>
  <si>
    <t>Kiosk - Bad,Texting</t>
  </si>
  <si>
    <t>Negative reaction to kiosk, positive reaction to text/echeckin</t>
  </si>
  <si>
    <t>The mobile check in process was unsuccessful due to my provider not having Service inside the VA office.</t>
  </si>
  <si>
    <t>My appointment on 9/29 with Audiology was 10:20.  I got to the window at 10:16, the blond women at the window was talking to someone.  I did not get acknowledged, so I utilized the computer to right.  Got a text at 10:17 saying "We'll text you a link to check in soon."    About 10:30 after 2 people were called, I went to the check my status.  She said your appt was at 10:20 and your to late. upset</t>
  </si>
  <si>
    <t>eCheck-in - Bad,General Check-in - Bad,Staff Attitude - Bad</t>
  </si>
  <si>
    <t>Bad staff attitutde, negative appointment experience</t>
  </si>
  <si>
    <t>2022-10-29</t>
  </si>
  <si>
    <t>Why did you do away with the check-in and travel kiosks? Submitting travel reimbursement online or finding the hospital's travel office now is a major pain in the... Funds wasted on kiosks.</t>
  </si>
  <si>
    <t>I am always treated with respect whenever I visit, from the valet parking personnel, the clerks and the medical providers. However I do wish you would go back to the kiosk check in and the filing for mileage at the kiosk. It is a hassle to go upstairs and fill out the form.</t>
  </si>
  <si>
    <t>Good staff attitude, negative reaction to removing kiosks for travel pay</t>
  </si>
  <si>
    <t>The staff at the Dental clinic was not only very unprofessional, but due to employees showing up late for work (weather related which is understandable) I was not only rushed through, but told because I was 5 minutes late, mind you no one was at the counter to check in with. I was told multiple times that I was lucky to be seen. Again, terrible treatment with a DDS who couldn't care less.</t>
  </si>
  <si>
    <t>Cedar Rapids VA Clinic</t>
  </si>
  <si>
    <t>Sometimes when I request an appointment, staff doesn't seem to want to okay the appointment request so I have to request stronger.  Also, the change the VA made to collect travel pay for appointments is terrible and likely done intentionally to decrease travel pay.  It used to be easy for a veteran to request travel pay for an appt. at a kiosk, now doing it by computer is very difficult!</t>
  </si>
  <si>
    <t>Staff Attitude - Bad,Travel Pay - Bad,Kiosk - Good</t>
  </si>
  <si>
    <t>Bad staff attitude, negative reaction to removing kiosks for travel pay</t>
  </si>
  <si>
    <t>I had a list of concerns for this visit. P.A. [NAME] was willing to discuss each one in detail. She continues to show great insights and concern for questions that I bring up. I also find the staff to be very professional and responsive, whether it is a telephone inquiry or an in person visit or check in. And the nursing staff also seems to be very capable, knowledgeable, and patient.</t>
  </si>
  <si>
    <t>2022-10-28</t>
  </si>
  <si>
    <t>It is screwed up that I can no longer file for my travel pay on a kiosk. In over 7 years since I opened my healthy vet account I have never and I mean never been able to get into it I tried as recently as last month I had a lady from the VA come to the cafeteria we sit down we we worked at it for over an hour and I was not able to get into it when I first started trying to get into it it said that</t>
  </si>
  <si>
    <t>The check-in system was not operating properly. Wait time was excessive and patients not seen in order. Physician didn't seem to know why I was there. Physician said he was going to look up my records, was gone for half an hour. Never came back. I left.</t>
  </si>
  <si>
    <t>The new text message/QR code check in is terrible, and hasn't worked for any of my appointments since it was implemented.</t>
  </si>
  <si>
    <t>Negative reaction to QR, text, echeckin</t>
  </si>
  <si>
    <t>The Dr was very impersonal and expected the visit to be routine check in and completely disregarded my concerns responding rudely Iâ€™m gonna switch doctors and schedule another appointment two months from now also miss work and hopefully that visit isnâ€™t a waste of time like this one was</t>
  </si>
  <si>
    <t>For some reason, the self-check-in kiosks disappeared at the Lincoln NE outpatient VA clinic. I far prefer those, as I do not like having to stand in a (long) line to check in for my visit with a live person. There were four kiosks formerly available, now there is only one agent handling all the Vets who come in for appointments. The result: a long wait standing in line.</t>
  </si>
  <si>
    <t>The check in options are so similar they are confusing. They all say something about COVID, and there often is no one in the Labs waiting  to help answer questions.</t>
  </si>
  <si>
    <t>I would like to see this changes in emergency health care . We would like to have a card for emergency hospital check in and for billing. Instead of calling several phone numbers..I would to have a dental plan . Not having a dental plan affects patches health too.</t>
  </si>
  <si>
    <t>I injured  my arm on june 7 2022 went to Albuquerque  V A, receivd care there and was told to check in with phoenix V A, i did went orthopedics,  went for mri, Dr. Said shoulder not fixable,  needs replacement but dont do it now. He said i needed to evaluation  for a carpal tunnel injury, been 4.5 months they still can't  get it together, getting very frustrated with V A .</t>
  </si>
  <si>
    <t>Very helpful in finding locations of check in place.</t>
  </si>
  <si>
    <t>I did not bring a driver for a minor surgery. I had indicated such in numerous previous conversations, but at check in was asked where my driver was. At first the team seemed to not know how to proceed, as they had not listened to my many previous statements about not bringing a driver. It worked that I did not need a driver, but the team should have already been ready for that circumstance</t>
  </si>
  <si>
    <t>The check in using the QR code seemed to have worked, but 30 minutes after check in and 15 minutes after my scheduled lab appointment (for 2:30) I  has not been called in.  I spoke to the person behind the glass enclosure who then checked me in.  This technology didn't work well.</t>
  </si>
  <si>
    <t>Negative reaction to echeckin and QR code</t>
  </si>
  <si>
    <t>2022-10-26</t>
  </si>
  <si>
    <t>have always felt i was getting quality service from check-in to Check-out.  medical staff excellent.  keep up good work and thanx</t>
  </si>
  <si>
    <t>the person checking me in was not helpful. I stood there waiting while he talked to another vet and he could see I had no mask.
Instead of directing me to the checkin area to get a mask, he waited till I got to the window, then his directions were terrible! I spent another 7-8 minutes walking around the parking lot until someone else directed me. Most people at the Mather VA are very helpful</t>
  </si>
  <si>
    <t>Venango County VA Clinic</t>
  </si>
  <si>
    <t>The check in process did not work.  It is easier to go to the window and check in instead of standing in front of a wall trying to get my phone to work.  The patient is what matters...not the technology.</t>
  </si>
  <si>
    <t>Negative experience with echeckin</t>
  </si>
  <si>
    <t>With only two available clerks, and the kiosks broken it is almost impossible to arrive â€˜only 15 minutes before an appointmentâ€™, and still check in before the appointment. 
The clerks are overwhelmed.</t>
  </si>
  <si>
    <t>Negative experience with kiosk, negative experience with checkin</t>
  </si>
  <si>
    <t>I am only referring to my walk in at the eye clinic. [NAME] at the reception area is the nicest person I have ever dealt with at the VA or anywhere. The eye clinic doctors and technicians went far beyond what was expected to address and check into my needs.</t>
  </si>
  <si>
    <t>I recommend that you have better signage displayed when people have to use their id to check in for dropping off prescriptions. At the check-in kiosk, have the signage pointing to the kiosk -- for example, a red arrow pointing up with the words START HERE FOR PHARMACY ORDERS.</t>
  </si>
  <si>
    <t>New check in with scan to phone, I do not like</t>
  </si>
  <si>
    <t>Joplin VA Clinic</t>
  </si>
  <si>
    <t>The kiosk was being taken out. And so I was unable to submit for travel pay.</t>
  </si>
  <si>
    <t>The morning of lab draw went well and seamless. Great and quick customer service. From checkin and checkout all people encountered were extremely kind, nice, and professional.</t>
  </si>
  <si>
    <t>2022-10-25</t>
  </si>
  <si>
    <t>My provider was great as always. The check in was unsatisfactory. I checked in early and I was still waiting past my appointment time. I had another appointment that I almost missed due to the clerk not checking me in as expected.</t>
  </si>
  <si>
    <t>Staff Attitude - Good,General Check-in - Bad</t>
  </si>
  <si>
    <t>Positive appointment experience, negative checkin experience</t>
  </si>
  <si>
    <t>Required to now check in with phone. May be difficult for older veterans</t>
  </si>
  <si>
    <t>Entire facility needs a renovation. It is a little confusing to check in. Ev en after check-in you have to go to a website, to let someone know youâ€™re there. Facility itself is easy to navigate, it just seems very old and run down.</t>
  </si>
  <si>
    <t>When your are waiting for your appointment you can hear everything going on at the check in station..</t>
  </si>
  <si>
    <t>I have been very pleased with all my care at the VA. I am currently working with the mental health team undergoing TMS and all the stuff to include the ladies who check in are the utmost professionals.</t>
  </si>
  <si>
    <t>I checked in early for my 1300 appointment.Was told at check in desk my appointment was for 0900. That turned out to be untrue. However it all worked out in the end. I did  make my appointment.</t>
  </si>
  <si>
    <t>Negative checkin experience, bad appointment experience</t>
  </si>
  <si>
    <t>Put the kiosks back for signing in.  I am not good with computers.</t>
  </si>
  <si>
    <t>I was sent the paper from the VA stating that I had an appt. at 8:30 on the 17th of Oct. for this procedure. We travel 40 miles to get there and arrived at 8:30 in the lobby where you have to check in and then go to the proper floor to check in again. My wife went to the lobby to wait and checked as to why I was not done. She was told our appt was 730 since we were late thats why.Rude!</t>
  </si>
  <si>
    <t>Negative appointment experience - lack of communication</t>
  </si>
  <si>
    <t>Placentia VA Clinic</t>
  </si>
  <si>
    <t>At Check in, no one is seated facing the entrance and fellow veterans end up standing there wondering if there is a kiosk to check in, since no one asks if they need help or if they are checking in.
Also the doors apparently need a key for employees to pass into the back. At the previous location in Anaheim they had keypads to unlock the doors for the employees. 
The seating is minimal at best.</t>
  </si>
  <si>
    <t>Negative checkin experience, negative appointment experience</t>
  </si>
  <si>
    <t>I am trying to put in my travel. The VAMC Charlotte, NC has a backlog. The VAMC Salisbury, NC is giving me a run around. I gave them my appointments but they want the check in, check out forms. I gave them my appointments that were outsourced with the Civilian hospitals. I gave them the approval to see the outside doctors but they want the check in form and check out form.</t>
  </si>
  <si>
    <t>Negative travel pay experience</t>
  </si>
  <si>
    <t>The women at the desk at like it's an inconvenience for you to check in your bothering them what happened to the little kiosk deals it was so much easier and nicer</t>
  </si>
  <si>
    <t>Bad staff attitude, negative reaction to removing kiosks</t>
  </si>
  <si>
    <t>Check in for appointment and travel pay should go back using the kioskâ€¦</t>
  </si>
  <si>
    <t>Providence VA Medical Center</t>
  </si>
  <si>
    <t>The automated check in to wait for an in person check in to then wait again for them to fill the script is a pain. Most of the employees in this facility of overwhelming useless for their chosen jobs.</t>
  </si>
  <si>
    <t>Negative reaction to echeckin, bad staff attitude</t>
  </si>
  <si>
    <t>Dr MacDonald and the entire staff in her area were very professional and seemed very interested in my wellbeing.  I was very pleased with the care I received from check in to check out.</t>
  </si>
  <si>
    <t>To the front door guards, 2nd floor check-in people - Great Job! Very respectful &amp; accessible &amp; helpful.
To PCP [NAME] &amp; the nurse that took my vitals &amp; gave me my COVID-19 3rd booster - Also Great Job! I felt very comfortable with them. Both listened to my needs &amp; concerns and gave me great medical advices.</t>
  </si>
  <si>
    <t>Huntsville VA Clinic</t>
  </si>
  <si>
    <t>The receptionist and phlebotomist were exceptional.  I felt heard, valued and respected from check-in to check-out</t>
  </si>
  <si>
    <t>Check in staff are always rude. Medical staff are very good.</t>
  </si>
  <si>
    <t>Their is no clinic like the Bay Pines Naple clinic.
From check-in to departure the staff deserves a 4.0 for service and care. Not just me but all vets I see being taken care of.
The Whole Health group is by far the very best in providing service to the Vets and Ms [NAME] is a very passionate individual serving in our clinic.</t>
  </si>
  <si>
    <t>2022-10-24</t>
  </si>
  <si>
    <t>Northampton County VA Clinic</t>
  </si>
  <si>
    <t>Go back to the old check in instead of text</t>
  </si>
  <si>
    <t>Negative reaction to text and negative reaction to removing kiosks for checkin</t>
  </si>
  <si>
    <t>As a Vietnam Vet on my first medical visit I didn't know what to expect; however I was very pleasantly surprised.  Dr. [NAME] was thorough and very pleasant.  I felt she listened to me and was truly committed to helping me.  Everyone from the person at check in to the lab was so efficient and caring.  The entire process was completed faster than a normal visit to my regular GP.</t>
  </si>
  <si>
    <t>Please bring back the kiosks.  Myself, I don't mind using media but the older veterans do not know how to use their phones to check in.</t>
  </si>
  <si>
    <t>ENT Clinic was not able to manage patients after check-in. Sat in the waiting area for an hour and a half after checking in. Was checked in forty minutes before appt time. Front desk clerk forgot I was still in the waiting area and had not seen provider. I had to informed clerk I was still waiting to see provider.</t>
  </si>
  <si>
    <t>Had a great check in experience with the nurse.  He did a great job asking questions and documenting the information.  My Dr listened to my concerns and together we formulated a successful plan.</t>
  </si>
  <si>
    <t>The entire staff that participated in my treatment on that day was very professional and friendly from check into my appointment, to the imagery department, to the exiting of the treatment.</t>
  </si>
  <si>
    <t>Hello, I recently checked in at the kiosk and 15 minutes pass my appointment I seen people arriving after me been seen before me, so I went up to the front desk and the REP stated I didn't check in, which I did. That problem cause another vet to be called in after I have been there and this happen to other vets as well after me.</t>
  </si>
  <si>
    <t>Negative checkin experience, negative reaction to kiosk</t>
  </si>
  <si>
    <t>Lieutenant Colonel Charles S. Kettles VA Medical Center, MI (506)</t>
  </si>
  <si>
    <t>Due to high level of work commitment trying to be available for work and appointments can prove difficult. I have requested a more personal approach for what I am dealing with. Have a check in once a month for 30 minutes to open up and then be passed off to the next class feels very uncomfortable as I am dealing with compounded stresses from multiple sources.</t>
  </si>
  <si>
    <t>South Enterprize VA Clinic, TX (740GH)</t>
  </si>
  <si>
    <t>I did not miss the appointment. I moved to Houston in August. This appointment was supposed to be online. It was to be a check-in to ensure I had gotten an appointment in Houston and my meds would be good until then. I did not receive a link and the phone numbers I have, no one EVER answers. The clinic messed up by scheduling the appointment in person instead of online. This is not the first time.</t>
  </si>
  <si>
    <t>Negative reaction to scheduling</t>
  </si>
  <si>
    <t>2022-11-15</t>
  </si>
  <si>
    <t>Check in was easy,Dr [NAME] and his staff were wonderful!</t>
  </si>
  <si>
    <t>wonderful</t>
  </si>
  <si>
    <t>Getting into building 200 was delayed because 1 man was directing veterans to their appointment so it was confusing because we thought it was a Covid check in. Masks were inside but we were lining up out the door with no mask so I put my own mask onâ€¦man checking folks in yelled at me in front of everyone to put on their mask as it wasnâ€™t clear and he was just rude. Do better man!</t>
  </si>
  <si>
    <t>Confusion due to staff directing Veterans  upon entering. Confusion about when to mask.</t>
  </si>
  <si>
    <t>new check in system is bad for seniors go back to old system</t>
  </si>
  <si>
    <t>PCI doesn't work for seniors.</t>
  </si>
  <si>
    <t>Saginaw VA Clinic</t>
  </si>
  <si>
    <t>Using the kiosk to check in and submit travel claims was so easy and user friendly. To check in now I always have to go ask for help. Then to submit my travel claim online is a huge hassle. I always have to go from the annex to the hospital to submit a travel claim. I still have travel claims from September that have not been paid. Not everyone has a smart phone to check in or a computer.</t>
  </si>
  <si>
    <t>Misses kiosk for checkin and travel pay. Travel pay online is hassle and claims aren't paid. Not everyone has a smartphone.</t>
  </si>
  <si>
    <t>Online check-in didn't work</t>
  </si>
  <si>
    <t>PCI didn't work</t>
  </si>
  <si>
    <t>Receptionist did not acknowledge my presence.  I said, "I am here to check in."  She said, "I see you. I will be with you in a minute."  I said, "I wasn't sure you knew that I was here."  I sat down.  After approximately 2-3 minutes she called me to the window and checked me in.  Approximately 10-15 minutes later, [NAME] came to get me.  She said that I had not been checked in yet.</t>
  </si>
  <si>
    <t>Staff check-in didn't actually check them in.</t>
  </si>
  <si>
    <t>It was a great experience.  I got check in and the wait time was short and my question were answered</t>
  </si>
  <si>
    <t>Wait time (arrival to check-out),General appointment feedback</t>
  </si>
  <si>
    <t>Wait time was short. Overall good experience.</t>
  </si>
  <si>
    <t>All was good. The lady at the front desk was very helpful and polite. I feel all was good from check in to check out.</t>
  </si>
  <si>
    <t>Staff helpful and polite. Overall good experience.</t>
  </si>
  <si>
    <t>The check-in kiosk should be bought back.</t>
  </si>
  <si>
    <t>Misses kiosk.</t>
  </si>
  <si>
    <t>Butte VA Clinic</t>
  </si>
  <si>
    <t>One of the receptionists was not polite and acted like she didnâ€™t care about checking me in. Waited 39 minutes after my appointment time then went back to her and asked if she checked me in.  I am not sure she ever completed the check in the first time. She acted disgusted with me for bothering her.</t>
  </si>
  <si>
    <t>Staff- Not polite, acted disgusted. Long wait time only to realize they were never checked in by staff the first time.</t>
  </si>
  <si>
    <t>The front staff and nurse was very compassionate 
I wish the check in kiosk was still available at this location</t>
  </si>
  <si>
    <t>Staff Attitude - Good,Kiosk - Good</t>
  </si>
  <si>
    <t>Staff- comassionate. Wants check-in on kiosk</t>
  </si>
  <si>
    <t>The check in and care giver were great, But as soon as I checked in and sat down they said they were behind and to be patient. I checked in at 10:15 for my 10:30 appointment like Iâ€™m supposed to, but I was not called back to be seen until 12:40.  This is simply not acceptable. To make it worse, my original appointment was in July and they canceled it and moved it to October, finally to today.</t>
  </si>
  <si>
    <t>Waited over two hours from appt time to be seen. Also original appt canceled by VA and rescheduled for 3 months later.</t>
  </si>
  <si>
    <t>Visit was very satisfactory from check in to seeing nurse &amp; doctor.</t>
  </si>
  <si>
    <t>Good experience</t>
  </si>
  <si>
    <t>The new check in system is difficult to use. The old VA card reader worked fine for us who are not computer wizards. ( and don't care to be) Bring it back, please.</t>
  </si>
  <si>
    <t>PCI is difficult to use. Old card reader worked well.</t>
  </si>
  <si>
    <t>The new facility is most impressive. Check-in was flawless, my Intake Nurse was friendly, courteous, knowledgeable &amp; thorough.  My Doctor took the time to answer any concerns, the annual exam was thorough, professional excellence inspired my confidence.  Took the time to address all my concerns, renewed my scripts, and I left 100% pleased &amp; satisfied.  Best medical experience Iâ€™ve had in 30+ years</t>
  </si>
  <si>
    <t>Excellent overall experience.</t>
  </si>
  <si>
    <t>One Front desk staff at the Eye Clinic is very loud and unprofessional. He said I was too early to check in and he then didn't check me in as he said he would at the appropriate time I had to go back to the front desk after 30 min past my appt. From there I was forgotten about and was the very last patient out. Not happy!</t>
  </si>
  <si>
    <t>Staff- loud and unprofessional. Staff told them they were too early to check-in, then didn't actually check them in at the correct time, so they had to wait.</t>
  </si>
  <si>
    <t>From check in excellentNursing Excellent, Physican Very Good so far no problems</t>
  </si>
  <si>
    <t>Good experience overall.</t>
  </si>
  <si>
    <t>Making everyone us a phone app to check in for the appointment is crazy with the lack of phone service in the building.  Still have ability to check in at the desk but was not able to do the travel pay at the desk without filling out a paper form.</t>
  </si>
  <si>
    <t>PCI bad due to lack of phone service in the building. Had to fill out paper travel pay form.</t>
  </si>
  <si>
    <t>I have noticed many provider front desk employees who receive patients are indifferent, rude, and do not make any effort to get off their ass to hear, speak, or help when arriving for check in. I witnessed 3 vets who became quite irritated about this with the lazy and snarky employees which ended in arguments and security assisting. If they dont want to help, fire them.</t>
  </si>
  <si>
    <t>Staff- indifferent, ride, not make any effort, lazy, snarky</t>
  </si>
  <si>
    <t>I traveled to 4 different builders 3 floors for my two appointments. Not one staff member, employee or volunteer offered help. As I waited to check in the admin staff ate Crackers and BS'd while several veterans were waiting to be checked in. We are still humans, many still have jobs to get to, a little more urgency and attention would go a long way.</t>
  </si>
  <si>
    <t>General Check-in - Bad,Staff Attitude - Bad,Staff Attitude - Bad</t>
  </si>
  <si>
    <t xml:space="preserve">Staff made Veterans wait. </t>
  </si>
  <si>
    <t>I wish that the people behind the desk before check in would be more understanding and helpful when the patient is asking a question â€œwhere do I check inâ€ instead of just ignoring me. Know I know the protocol and wonâ€™t have that problem going forward.</t>
  </si>
  <si>
    <t>Staff- ignored me, wishes they were more understanding about questions</t>
  </si>
  <si>
    <t>I appreciate the help that everyone offers to provide me with a smooth visit from check-in to my doctors care.</t>
  </si>
  <si>
    <t>Los Angeles VA Clinic</t>
  </si>
  <si>
    <t>Iâ€™ve had a lot of bad experiences with people at the check in desks. Usually on the 4th floor and Team A on the second floor. When you suffer from mental health and your first contact is someone that has a negative attitude towards veterans it really makes you think twice about wanting to come back to this VA. This is something that has been going on since I started coming here in 2017.</t>
  </si>
  <si>
    <t>Staff- negative attitude. Impacts Veteran wanting to come back to mental health appt.</t>
  </si>
  <si>
    <t>Donald J. Mitchell Department of Veterans Affairs Outpatient Clinic</t>
  </si>
  <si>
    <t>My entire healthcare team, from check-in to my providers, are amazing. Hopefully the Syracuse VA community care (massage) will someday return my four phone calls and/or complete the provider's order from August!!!</t>
  </si>
  <si>
    <t xml:space="preserve">Health care team is amazing Has been waiting 4 months to hear from specialist to schedule an appt. </t>
  </si>
  <si>
    <t>My appointment was for 8:30 am and got there to check in at 8:10 . The man at check in told to gave him my name and last 4 , which I did . But he didnâ€™t check me in and when it was 8:30
The ASSHOLE said I was not helpful and I said that was bullshit . If he would had done his job and check me in before I set down , then it would have been a good start to the visit.</t>
  </si>
  <si>
    <t>Checking in with staff didn't result in a check-in.</t>
  </si>
  <si>
    <t>Get the admin staff to work in the Viera Clinic EARLY ENOUGH to have their computer systems UP AND RUNNING so that patients such as I can check in on time. I was LATE to my 0730 appointment because I waited &gt; 15 minutes for the systems to be up and running although I arrived at the Clinic at 0705</t>
  </si>
  <si>
    <t>Staff set-up at first appt of the day resulted in them being checked in late.</t>
  </si>
  <si>
    <t>Living in Osceola , I love the SOUTHSIDE Des Moines VA clinic!!!  Easy to get to, new clean building with very helpful Volunteers and of course , the best check in and Health Professional STAFF!!!  Thank youðŸ™ðŸ‘</t>
  </si>
  <si>
    <t>Overall good experience.</t>
  </si>
  <si>
    <t>My in person visits to SFVA @ FT Miley are consistently good experiences.
The personnel from parking to check in are polite and professional.
My medical team is responsive and easy to engage.  Thank you VA.
[NAME]</t>
  </si>
  <si>
    <t>International Plaza VA Clinic</t>
  </si>
  <si>
    <t>VA still requires masking and the staff was apparently more concerned with masking patients awaiting check in than they were with checking in patients.  VA is the only medical provider (incl non-VA cardiology, podiatry, PCP, dental, lab, dermatology) that I use that continues to waste resources and time w masking.  It is very difficult to understand what provider is saying through a mask.</t>
  </si>
  <si>
    <t>Complaint about masking requirement</t>
  </si>
  <si>
    <t>Albion Street VA Clinic</t>
  </si>
  <si>
    <t>Check in was top notch.  My appointment was at 1000 and at 1000 I was escorted to the pcp office. All personnel are friendly, they listen, answer questions and have feed back.    My opinion...  VA is the best.</t>
  </si>
  <si>
    <t>Check-in = top notch. Staff = friendly listen. "VA is the best."</t>
  </si>
  <si>
    <t>The staff at the check in desk [NAME] and staff nurse [NAME] were especially helpful to me.  Thank you both. Also,  the lab technician was very professional.</t>
  </si>
  <si>
    <t>Staff = helpful and very professional</t>
  </si>
  <si>
    <t>Fredericksburg 2 VA Clinic</t>
  </si>
  <si>
    <t>I got my health care card months ago, but have not been able to use it due to a system malfunction of your kiosk. It will not allow anyone with a double figure day (10,11 etc.) to enter it.It will take a single day(1,2,etc). Should be something you are able to fix I would think.</t>
  </si>
  <si>
    <t>had trouble with the kiosk using their VHIC and entering info for multiple days.</t>
  </si>
  <si>
    <t>Arrived @ my appt. 15 minutes early &amp; checked in @ the kiosk. At my appt. time a worker came out &amp; took another patient back. He took the names of myself &amp; 1 other patient remaining in the waiting room. 35 minutes later I walked to another department to express my concern. They told me to go back &amp; pick up the phone there &amp; call the nurses station. I did that, a nurse came out, I told her I hadn't</t>
  </si>
  <si>
    <t>Tried checking in on kiosk and resulted in confusion</t>
  </si>
  <si>
    <t>I arrived and scanned my card in the kiosk and got my number. I was called within five minutes of arriving. Very professional.</t>
  </si>
  <si>
    <t>Used VHIC to check-in. Staff = very professional</t>
  </si>
  <si>
    <t>I have a condition called Primary Aldosteronism which the doctor does not know how to treat or follow best practices 
He delayed removing the tumor 10 years which led to NonAlcholc Fatty Liver Disease. When for NAFLD appointment and doctor wants to recheck in 6 months. My understanding is treatment is diet and exercise why was I not given further testing and a treatment plan? Community Care reqstd</t>
  </si>
  <si>
    <t>Problems getting treatment plan</t>
  </si>
  <si>
    <t>Need to bring back Kiosks . Not every person has or needs Smart Phones.</t>
  </si>
  <si>
    <t>Wants kiosk back. Not everyone has smartphones.</t>
  </si>
  <si>
    <t>Robins VA Clinic</t>
  </si>
  <si>
    <t>The staff was very courteous from the check in desk to getting the labs done. Technician knew I was nervous and was respectful throughout the procedure. They were very punctual with the appointment.</t>
  </si>
  <si>
    <t>staff-respecttful, punctual</t>
  </si>
  <si>
    <t>Department and check in desk needs to be on the same page for patients procedures. I arrived 2 hrs early as told to do. When I got there I waited an hr to be taken back to get a Cat Scan. Once there I was asked if I was given a liquid solution at 2pm needed for the scan. Nope had to take it and wait an extra hr to get the scan. Other than that experience was pleasant</t>
  </si>
  <si>
    <t>Coordination could be better between arrival time and the timing of thigns that need to be doen before a CT.</t>
  </si>
  <si>
    <t>All the staff are always friendly and quick with check-in. I have small veins and the phlebotomist never misses or have to stick me twice. Very wonderful staff</t>
  </si>
  <si>
    <t>Staff = Friendly, wonderful</t>
  </si>
  <si>
    <t>From the check in to the nurse onto the doctor this was an exceptional visit.</t>
  </si>
  <si>
    <t>Good overall experience</t>
  </si>
  <si>
    <t>From check in receptionist, to Nurse and Techs, I was treated with respect.  I let them know that I do appreciate what they do for us Veterans.</t>
  </si>
  <si>
    <t>Treated with respect</t>
  </si>
  <si>
    <t>Easy check in, no long wait, not more than 10 minutes, very professional and always friendly, a well oiled machine experience.</t>
  </si>
  <si>
    <t>Easy check-in, Short wait time, Staff = very professional, friendly</t>
  </si>
  <si>
    <t>When you walk in the front desk was very helpful and pointed you where to go was a fast check in and did a wonderful job the l staff at the lab was great explaining what you are having and let you know your next appointment</t>
  </si>
  <si>
    <t>Helpful, fast, great explaining</t>
  </si>
  <si>
    <t>Absolutely top-notch people and care from the appointment check-in to walking out the door on my way home!</t>
  </si>
  <si>
    <t>The people that work in the pharmacy are respectful and very helpful,I feel that the wait time to check in takes a long time my wait time was over a hour I do have to say the pharmacy staff are GREAT</t>
  </si>
  <si>
    <t>Staff = great, respectful, helpful. Long wait time.</t>
  </si>
  <si>
    <t>Soldotna VA Clinic</t>
  </si>
  <si>
    <t>Everything was great.  Check-in was a breeze and everything was on time.  Thanks.</t>
  </si>
  <si>
    <t>Overall good experience. Check-in easy.</t>
  </si>
  <si>
    <t>Fix the kiosk for check in &amp; travel pay. They were so much better than the current B.S.</t>
  </si>
  <si>
    <t>Past check-in and travel pay was so much better than current.</t>
  </si>
  <si>
    <t>LaGrange VA Clinic</t>
  </si>
  <si>
    <t>My first time here I felt lost as to where to check in. I would like to see a sign (welcoming to your VA and  please check in at the ie door to the right). Everyone was very polite and look forward to my appt on the 22nd Nov</t>
  </si>
  <si>
    <t>Staff = polite. First time wayfinding experience = felt lost.</t>
  </si>
  <si>
    <t>Getting Travel Pay has become Horrible to non-existent....   put it back on the kiosks to be available for veterans at ALL VA medical facilities...   no exceptions...       I am more than a year and a half behind because doing in online is difficult,,,,</t>
  </si>
  <si>
    <t>Current online travel pay system is horrible. 1.5 years behind in filing, because online is difficult</t>
  </si>
  <si>
    <t>I checked in at 7:30 am for an 8:30 am appointment. I was the first patient to check in. I was boo my there for a tetanus shot. I was not called until I made a complaint. I was finally called after after 9:00 am.</t>
  </si>
  <si>
    <t>Long wait time.</t>
  </si>
  <si>
    <t>hi, this was the first time I've picked up meds at the hospital, usually they're mailed to me.  I went to the pharmacy and waited in line only to be told I had to check in at a different office to get the script filled.  My suggestion is to have some signage explaining the process so people don't wait in the wrong line.
Also need more staff; they were both harried working alone.</t>
  </si>
  <si>
    <t>Didn't understand pharmacy check-in process, so stood in line to only be told that they need to go somewhere else.</t>
  </si>
  <si>
    <t>On my visit and also the phone call to remind me of my visit.  The phone call was very respectful and courteous and pleasant.  I was very happy with it and wish more phone calls were similar.  My check in with the radiation department was also very pleasant and courteous.  I did not feel like I was a leper or a bother but an actual person with feelings.  The check in woman was wonderfully pleasant</t>
  </si>
  <si>
    <t>Overall I've been very satisfied with the care provided by the VA.  My only comment is to voice my dismay over the removal of the appointment check kiosks in favor of using a cell phone app. If I cannot afford a cell phone or it gets lost, I have to check in with a VA associate anyway so what's the benefit?</t>
  </si>
  <si>
    <t>Dismayed over kiosk removal. States that if they can't pay for a cellphone or they lost it, then they have to check-in with an associate anyway, so why have the app.</t>
  </si>
  <si>
    <t>Quick check in and appointment on time.</t>
  </si>
  <si>
    <t>Short wait time.</t>
  </si>
  <si>
    <t>When I checked in at the kiosk, my wait time was less than five minutes and my medicines were already ready for pick up.  It was a very awesome to know that the Pharmacist prepared my medicines ahead of time.  The pharmacist who helped me was very professional and great customer oriented individual.  Her attitude and professionalism is greatly appreciated.  Well done!</t>
  </si>
  <si>
    <t>Great check-in at pharmacy using kiosk</t>
  </si>
  <si>
    <t>Easy process to check in, appointment on time, provider explained everything.</t>
  </si>
  <si>
    <t>Check-in was easy. Provider on time.</t>
  </si>
  <si>
    <t>Lansing VA Clinic</t>
  </si>
  <si>
    <t>The front office and greeting personnel are always cheerful and friendly.   The check in-out window personnel are pleasant and respectful.   I always feel comfortable.</t>
  </si>
  <si>
    <t>staff = cheerful and friendly, pleasant, respectful</t>
  </si>
  <si>
    <t>Homestead VA Clinic</t>
  </si>
  <si>
    <t>I think the check in booths at the Homestead Clinic are terrible.  The Computer Monitors completely block the visibility of the receptionists and making talking to and understanding  the receptionist extremely difficult and impersonal.  Terrible layout.  Could easily be improved upon.</t>
  </si>
  <si>
    <t>Staff = difficult, impersonal. Terrible physical layout.</t>
  </si>
  <si>
    <t>Visits to the VA CLINIC in Beaver Dam are always pleasant.  The personnel at the checkin counter are welcoming and the waiting room is clean and quiet which is nice and the wait to be called is usually short.  The Nurses are always pleasant and efficient.  The Lab personnel are also pleasant and efficient.  The Doctors are pleasant and willing to take the time to answer any questions you may have.</t>
  </si>
  <si>
    <t>Staff = Welcoming, pleasant, efficient, take time to answer questions. Physical space is clean and quiet. Short wait time.</t>
  </si>
  <si>
    <t>Once I realized the the check-in kiosk wasnâ€™t working I went to the desk and the wait was minimal. The rich is ion was friendly and did an outstanding job drawing my blood.</t>
  </si>
  <si>
    <t>Kiosk - Bad,Wait time (arrival to check-out),Staff Attitude - Good</t>
  </si>
  <si>
    <t>Didn't realize the kiosk wasn't available for check-in. Short wait time. Staff = friendly</t>
  </si>
  <si>
    <t>Have always had great care at the CBOC. However, during the recent visit there was a mistake due to the lack of the kiosks. I was to have labs done early, then, return late in the day to get the test results and get a flu shot. I do not have a smart phone and the person at the desk was multi-tasking. That resulted in a 40 minute wait for what should have been done in 10 minutes.</t>
  </si>
  <si>
    <t>sees lack of kiosk check-in as causing confusion. Doesn't have a smartphone and had a long wait time.</t>
  </si>
  <si>
    <t>Bring back the check in kiosks.</t>
  </si>
  <si>
    <t>Wants kiosk back</t>
  </si>
  <si>
    <t>I have been seen in at least 3 separate clinics since I affiliated with the Palo Alto VA and every experience exceeds my expectations. Everyone from the door greeters, check in staff, nurses and doctors are friendly, compassionate and very professional. I am so fortunate to have such an amazing group of people taking care of all of my needs.</t>
  </si>
  <si>
    <t>Staff = friendly, compassionate and very professional</t>
  </si>
  <si>
    <t>Just a recommendation for the person checking in ER patients. Show some compassion and empathy during the check-in process. His tone, in my opinion, was overly aggressive. I tried to answer his questions, but I was dealing with multiple things and in a lot of pain. I felt like he was rushing me to answer the same questions multiple times. I cried once I made it to the waiting area.</t>
  </si>
  <si>
    <t>staff = overly aggressive, lacked compassion and empathy, made them feel rushed. They cried in the waiting area as a result.</t>
  </si>
  <si>
    <t>Everything went the same as all my visit there.
You get an appointment that meets my schedule.
You get a reminder about your appointment time. You go and check in.
I have the highest respect for all the staff at all the VA facilities.
They do their jobs and show their respect AND empathy when necessary.</t>
  </si>
  <si>
    <t>Good overall experience. Staff = respect and empathy</t>
  </si>
  <si>
    <t>I was treated by very professional staff, from the person at the entrance, check in, and all individuals in the Cardiology Dept. Happy for the care provided.</t>
  </si>
  <si>
    <t>staff = professional</t>
  </si>
  <si>
    <t>The nurse and the check in staff were friendly and helpful!</t>
  </si>
  <si>
    <t>friendly and helpful</t>
  </si>
  <si>
    <t>Annual meeting with Dr.[NAME] in Vascular Health was excellent. Very thorough caring and considerate. Dept. Staff check in helpful above and beyond getting blood work order placed.</t>
  </si>
  <si>
    <t>excellent, caring, considerate, above and beyond</t>
  </si>
  <si>
    <t>Get check in kiosk reinstalled. Check in process was disappointing.</t>
  </si>
  <si>
    <t>Wants kiosk resintalled, current check-in process was disappointing</t>
  </si>
  <si>
    <t>Always a pleasure to have an appointment at the Lebanon VA.  From the first greeting by the CoVID check folks, to the checkin and checkout process, along with my appointments have always been respectful and friendly! Much Appreciated!</t>
  </si>
  <si>
    <t>Respectful and friendly</t>
  </si>
  <si>
    <t>Entry customer support/check in needs improvement. Checking in at the kiosk afforded veterans privacy. We didn't need to announce private information to the waiting room population. It's embarrassing to be either party in this situation. The check in process has changed from the kiosk to a text process that is either not working or requires internet access. My Med team is great.</t>
  </si>
  <si>
    <t>eCheck-in - Bad,Kiosk - Bad,Staff Attitude - Good</t>
  </si>
  <si>
    <t>Kiosk afforded Veterans privacy. PCI requires internet access or is not working. Staff - great</t>
  </si>
  <si>
    <t>bring back the kiosk to input info for travel pay! The internet can be tough to file for travel pay from home as the web-site is not always functioning correctly.</t>
  </si>
  <si>
    <t>Wants kiosk for travel pay. Internet connection at home and current travel pay website doesn't always function.</t>
  </si>
  <si>
    <t>The Staff at the VA medical center in Mt. Vernon is very helpful, they listen to your concerns, and do what is necessary to improve your quality of life. I wish I could say the same about the "new" process for travel reimbursement. This used to be easily accomplished on one of the kiosks but I have not successfully been able to apply for travel reimbursement over the web. I constantly get bogus er</t>
  </si>
  <si>
    <t>Staff = helpful, listen. Hasn't been successful once with current online travel pay system.</t>
  </si>
  <si>
    <t>My limited experience at VAMC has been very efficient in the appointment, check-in, procedure and follow-up aspects.  While I do not enjoy poor health, I do look forward to my visits to the campus and the wonderful people working there.</t>
  </si>
  <si>
    <t>Overall good experience</t>
  </si>
  <si>
    <t>The early check in doe not work in early mornings I tried for over half hour and still couldnâ€™t heck in till I went to the window at the office</t>
  </si>
  <si>
    <t>Couldn't get to work.</t>
  </si>
  <si>
    <t>Check-in video system did not function well. Better upgrade the system!</t>
  </si>
  <si>
    <t>Check-in video system didn't function well. (Do they ean VVC?)</t>
  </si>
  <si>
    <t>I struggled with the Kiosk that has to be used to select what service you're their for. I have above intelligence and still had to go get assistance. thats after 10 to 15 minutes. It was a total nightmare with no one around to help you. Someone should be assign to assist those to need help, or a sign saying if you need help where to go. Thank you.</t>
  </si>
  <si>
    <t>Had difficulty using kiosk and had to get assistance.</t>
  </si>
  <si>
    <t>I called in for an appointment on the 14th and was told that I could come in the next day if the time suited my schedule.  It did, I showed up at the appointed time and was seen within 10 minutes of my check in.  I couldn't be more pleased !</t>
  </si>
  <si>
    <t>Short wait time for scheduling and on day of appointment.</t>
  </si>
  <si>
    <t>Staff very professional.  No hassle check-in. Quick turn around from pharmacy.</t>
  </si>
  <si>
    <t>Staff Attitude - Good,Wait time (arrival to check-out),General Check-in - Good</t>
  </si>
  <si>
    <t>2022-11-14</t>
  </si>
  <si>
    <t>Bring back the check-in kiosks in the lobby. Now everyone has to stand in line to check into appointments and the line moves very slowly.</t>
  </si>
  <si>
    <t>bring back kiosk. Long lines to check-in now.</t>
  </si>
  <si>
    <t>Check in is no longer available through the kiosk. The kiosks now have a URL info (or QR code) to check in online, but I was unable to successfully access the website. Really nice idea to go to electronic/online check in, and the direction some many services are going, but that does require "simple" data access, including wifi, and "simple" certificates for browser security.</t>
  </si>
  <si>
    <t>Wasn't able to access Pci website. Likes the idea, but requires wifi, certificates for browser secuirty, and data access.</t>
  </si>
  <si>
    <t>The new check in system works wonderfully. I easily processed from getting my 4th Covid shot - to the blood work screening and to my PC.  My PC, Dr. [NAME] is absolutely wonderful.  She has a sense of humor and shows concern over my medical conditions and takes my wife's concerns over things I ignore into her consideration.</t>
  </si>
  <si>
    <t>eCheck-in - Good,Staff Attitude - Good</t>
  </si>
  <si>
    <t>PCI works wonderfully. Staff = wonderful, sense of humor, listens, shows concerns over ssues brought up</t>
  </si>
  <si>
    <t>I had 2 appointments on back to back days.
I arrived on Tuesday for my Gastro appointment and was told that it was for Endo. I went to Endo to check in and was told old it was for Gastro.
Went back to Gastro and was told I didnâ€™t have an appointment. The next day when I checked into Endo, I saw the doc and he asked me why I was a no call no show the day before for Gastro.</t>
  </si>
  <si>
    <t>bounced around between departments when they tried to check-in.</t>
  </si>
  <si>
    <t>From checkin to [NAME] - LPN assessment and Dr Santiagoâ€™s TLC Iâ€™m blessed.  Iâ€™m trying to get my Husband to change to her as well.  The care is Exceptional - I speak so Highly of my care team and the VA - keep up the fantastic job. Thank you so much</t>
  </si>
  <si>
    <t>exceptional care, fantastic job</t>
  </si>
  <si>
    <t>Dr [NAME] and his assistant [NAME] were very professional and helpful. The front desk (check-in) could be a little more friendly and cheerful; they maintain a bored, perfunctory demeanor.</t>
  </si>
  <si>
    <t>Staff good = professional, helpful. Bad = boredm, perfunctory demeanor.</t>
  </si>
  <si>
    <t>I appreciated the entire team from check in to discharge</t>
  </si>
  <si>
    <t>overall good experience</t>
  </si>
  <si>
    <t>I went to Radiology and told them I needed X-rays for my appointment that was about 10 minutes later.  
It took them over an hour to see me.  I had to go to the check-in counter and tell them I had been waiting for over 45 minutes.  They said I would be the next person taken back.
After seeing two more patients go in before me that I saw come in after me, they finally took my X-rays.</t>
  </si>
  <si>
    <t>The visit went great.  I drove up to Palo Alto from Gilroy.  My concern is trying to be reimbursed for mileage.  To complete the request on line is next to impossible for me.  I recommend we return to using the kiosk.  Or make the online request more user friendly!</t>
  </si>
  <si>
    <t>Go back to kiosk for travel pay. Make online travel pay more user friendly. Current ravel pay system is next to impossible.</t>
  </si>
  <si>
    <t>I am a female veteran. When I check into MY appointment, I expect them to assume it is for ME, not someone a male.</t>
  </si>
  <si>
    <t>Doctor and Assistance were great.  Checkin was fast and good also.</t>
  </si>
  <si>
    <t>good overall experience</t>
  </si>
  <si>
    <t>When I went to the check-in at the RX I thought the Dr.'s orders were already in the PX system. I feel silly waiting 10 minutes before checking on it. Thanks</t>
  </si>
  <si>
    <t>Didn't know to check on if the doctor's orders were sent to pharmacy already or not.</t>
  </si>
  <si>
    <t>One set of South elevators was out of service, and the signage wasn't clear that the other set would take me to the 7th floor.  The check in process was a bit confusing - even though I checked in at front desk of the clinic, my provider called me on my cell phone to confirm I had showed up for my appointment.  Luckily I had my cell phone turned on - normally once I turn it off when I'm in the VA.</t>
  </si>
  <si>
    <t>Confused about check-in, because provider called to see if they there were there.</t>
  </si>
  <si>
    <t>Very disappointed with the check in process. Had a 9am appointment and checked in at 8:47am. At 15 mins after 9 I went back to inquire if my appointment would be late and was told they would notify my nurse again. At 9:26 I went back to the desk and requested to speak with someone in admin. Only then I was called to see my primary care. No one seemed to had an explanation of the long delayðŸ‘Ž</t>
  </si>
  <si>
    <t>When I checked in my appointment was not submitted to the system by the pt department although I made my next 3 appointments last week at my last visit once the checkin clerk got it all entered it was fine however waiting room was beyond capacity no where to sit and at least 5-6 other veterans were standing awaiting their appointment, required to wear a mask yet we were packed in the waiting room</t>
  </si>
  <si>
    <t>General Check-in - Bad,General Check-in - Bad</t>
  </si>
  <si>
    <t>Clerk couldn't find appt in the system</t>
  </si>
  <si>
    <t>The check into the building might be more efficient if it were incorporated into the building proper instead of outside.</t>
  </si>
  <si>
    <t>Mixed results
Despite texting me 3x on my phone (and me confirming twice) your system "We don't have this phone number in our records" when I attempted to check in.
Dr and assistant were polite, professional.
But, given it was my first mtg w/PCM I intended to review my list of conditions.  I got about halfway thru and was told I could make a follow-on appt to review the rest; 
[ran out of space]</t>
  </si>
  <si>
    <t xml:space="preserve">Received Pci error message that we don't have their phone in our records, but they get other VA text messages on that phone. Staff - polite and professional. </t>
  </si>
  <si>
    <t>This clinic can not keep doctors. Every time I go they give me a new doctor. You should check in on this. The only doctor they have now will only only take call appointments. To me this is not acceptable</t>
  </si>
  <si>
    <t>Have a new physician every time they come. New doc only doesn't call appts, which they find not acceptable.</t>
  </si>
  <si>
    <t>Although it was my first visit for dental care, I felt very comfortable and was treated with courtesy and professionalism at all times. The staff at the check-in point was friendly and helpful.</t>
  </si>
  <si>
    <t>Courtesy, professional, friendly, helpful</t>
  </si>
  <si>
    <t>I stepped off a ladder from second step and not the bottom step and injured my right hip and arm. I emailed my VA to see if I could get a x ray. I was told to check in and I did. I was never checked in by the person at the desk but never knew that. So after 4 hours waiting  to closing time no time left doctor to see me. Was told to go to urgent care but it was so late in the day I went home.</t>
  </si>
  <si>
    <t>Blood tests are always easy and quick!!! Check in was easy and quick!!</t>
  </si>
  <si>
    <t>Short time time. Check-in easy and quick</t>
  </si>
  <si>
    <t>I arrived about 20 minutes early for my appointment. I was met at the clinic by a volunteer who directed me to the kiosk to sign in and then proceeded to the labs waiting area. In about 4 minutes sitting there my name was called. I was in and out in no time. It was all very efficient!</t>
  </si>
  <si>
    <t>overall great experience</t>
  </si>
  <si>
    <t>Drawing a paper number to wait to get a pager is not inefficient. Wait for lab is the biggest complaint online. Rec check in and then wait once. The â€˜2x waitâ€™ method only upsets pts. And batch appts rather than walkin to control flow. Once called the 2nd time, lab tech was kind and skilled. Total wait 70mins but the 2x wait ticket/pager made it feel longer. Labs came back online quickly.</t>
  </si>
  <si>
    <t xml:space="preserve">Long wait time. Does not like the double check-in process at the lab. </t>
  </si>
  <si>
    <t>Personnel worked diligently to serve crowed patient check in/check out with minimal wait time.</t>
  </si>
  <si>
    <t>diligent</t>
  </si>
  <si>
    <t>Easy check in , very respectful staff, happy camperâ€¦.ðŸ‘ðŸ‡ºðŸ‡¸</t>
  </si>
  <si>
    <t>Easy check-in, staff - respectful</t>
  </si>
  <si>
    <t>There was an issue with the computers and it took several minutes longer for me and others to check in</t>
  </si>
  <si>
    <t>computer problems equalled longer check-in with staff than normal</t>
  </si>
  <si>
    <t>Parking was horrible.   I had to continuously drive through the parking lot for about 20 minutes before someone left and I was unable to fine a parking spot.
Checkin process did not work out well.  I checked my app and I could not find which clinic I needed to report to.  Lincoln has a kiosk that makes checkin very easy and tells me where I need to go to in the building.   I was seen after pts who</t>
  </si>
  <si>
    <t>Wants kiosk, because check-in is easy and it tells them where to go. Couldn’t find available parking.</t>
  </si>
  <si>
    <t>Sometimes. I have a caregiver that brings me early. And when l check in they tell me. I'm to early. So. Have to wait around for 30 minutes or so. And when my appointment is the Dr. Don't show up right away.</t>
  </si>
  <si>
    <t>Too they are too early to check-in with staff. Long wait time.</t>
  </si>
  <si>
    <t>Montrose VA Clinic</t>
  </si>
  <si>
    <t>My experience with the VA lab in Montrose was good. The lab tech was efficient and very nice. Check-in was a little uncomfortable at the front desk and if you want to know more youâ€™ll have to call me. I couldnâ€™t access my lab results in my healthy vet and no one called me about my results. I had to reach out for my results.</t>
  </si>
  <si>
    <t>Staff = efficient, very nice. Check-in with clerks was uncomfortable</t>
  </si>
  <si>
    <t>One used to be able to request travel reimbursements at a kiosk. It was easy and effective. Now one has to jump through hoops on a difficult to use website, and the reimbursements are so delayed and random it makes it difficult to know when or if to expect them. I lost months of reimbursements before figuring out the new system and even now several are rejected for reasons that I donâ€™t understand</t>
  </si>
  <si>
    <t>travel pay at kiosk was easy ad effective. Website is difficult to use. It is difficult to know if reimbursement will happen or not. Lost months of reimbursements.</t>
  </si>
  <si>
    <t>Would like to have the option to file travel via the kiosk.  Line to get in travel office.</t>
  </si>
  <si>
    <t>Wants kiosk back for travel pay</t>
  </si>
  <si>
    <t>Need kiosk or something better for check in.
Need to improve phone communications when trying to ask questions or contact your Doctor. Almost impossible to talk with someone on the phone.</t>
  </si>
  <si>
    <t>Need kiosk for check-in.</t>
  </si>
  <si>
    <t>2022-11-13</t>
  </si>
  <si>
    <t>Go back to the card reader check in that was replaced with the POOR excuse phone check in. I have attempted to check into my appointment twice now. It failed twice. I had to check in via the window. Most vets I have seen ignore the phone check in and use the window for check in. The old card reader was fast and ALWAYS checked you in.</t>
  </si>
  <si>
    <t>Pci is poor excuse for phone check-in. Failed at PCI twice. See people ignore PCI and check-in with clerk. Bring back kiosk, which was fast.</t>
  </si>
  <si>
    <t>Checking in is getting harder to do. I used to be able to just swipe my VA card; they've changed the routine.  I feel like most people have to check in manually now.  They are very nice at the counter, though.</t>
  </si>
  <si>
    <t>Pci is harder to do. Kiosk was easy. You swipe your VA card.</t>
  </si>
  <si>
    <t>deciding to check in on your personal cell phone was nice. But what was the expenditure for the stand alone machines that barely worked for thr same process. was anything recouped for the stations. Also can my personal cell phone ne used to handle vicinity mileage requests.</t>
  </si>
  <si>
    <t>Decision to make Pci was nice. Wants to do travel pay on phone.</t>
  </si>
  <si>
    <t>There was a new way to check in using a QR cose that did not work. I thought I was checked in but I was not.</t>
  </si>
  <si>
    <t>PCI doesn't work. They thought that they weren't checked in, but they weren't.</t>
  </si>
  <si>
    <t>2022-11-12</t>
  </si>
  <si>
    <t>had an appointment at another date and time and when I arrived to check in found that it was cancelled ,reason given was clinic cancelation. I was given no advance notice of this.</t>
  </si>
  <si>
    <t>Went to check-in and found out appointment was canceled.</t>
  </si>
  <si>
    <t>After my eye are appointment ... great, I had set up an appt. for a Moderna Covid booster #3. When I Check-in, verified in person that Moderna was available. After appt. was directed to 2nd floor lobby by check in. I sat + 45 min. Found an uninvolved staff who relayed alert. Another 15 min., back to check in. Convinced to go back up. +15 min. 2 staff walked past me. Informed I was leaving,1was Tec</t>
  </si>
  <si>
    <t>when I got to the VA I found you neede a "smart" phone to check in. Some of us dont have a smart  phone. the only thing we use a phone for is making calls. I had to go to the window tio check in for my appointment. Bring back the kiosks like other places have.</t>
  </si>
  <si>
    <t>Doesn't have a smart phone. Bring back kiosks.</t>
  </si>
  <si>
    <t>I recently checked in at 8:15 for an 8:30 appt with Dr. [NAME] in Canton. At 8:45 I went back to the front desk and said "hey, I'm still waiting and just wanted to double check". Front desk seemed annoyed. Dr. [NAME] reminded me that I really need to try to show up on time. Bottom line is - front desk never followed through on the check in, which impacted by visit and all the ones following me.</t>
  </si>
  <si>
    <t>Staff never checked in the Veteran.</t>
  </si>
  <si>
    <t>Why did you make travel reimbursement so difficult? Why did you take it off the check-in menu on the machines? Why brake something that was fixed?</t>
  </si>
  <si>
    <t>Wants travel pay back on kiosk. Current online system is difficult.</t>
  </si>
  <si>
    <t>Dr [NAME] and her nurse who attended to me are always respectful and kind.  In the check in area it would be wise to keep casual conversations at a low volume.  I don't expect there to be any conversations at all, its just that the conversations have been quite loud.  Also, Endocrinology is NOT listed on the visual post.  Would be nice to see it so you know your in the right area.</t>
  </si>
  <si>
    <t>Respectful and kind. Wants improved wayfinding.</t>
  </si>
  <si>
    <t>i tried to telephone the Vision Clinic several times prior to keeping my appointment. The phone disconnected each time I called. The person at the desk agreed with me that their phone system was not in good working order. Second, there are no more Kiosks to claim mileage and no paper form was provided for me to claim mileage. I had to go to the Clinic in LeCanto to get help filling out a mileage.</t>
  </si>
  <si>
    <t>General appointment feedback,Travel Pay - Bad</t>
  </si>
  <si>
    <t>Coudlnt' get through on the pnone to the clinic. Traveled to a different location to get help filing travel pay, since it isn't on the kiosk anymore and they didn't receive a paper form.</t>
  </si>
  <si>
    <t>Do not care for the new type of check in that requires a smart phone to read a bar-type code versus reading your VA card.
Additionally, I was told that I still needed to go up to the clinic receptionist to let her know I was here, smart phone checkin or not.
Making it harder!</t>
  </si>
  <si>
    <t>Doesn't care for PCI. Clinic also told them to go to window to let them know they are there anyway, so why use PCI.</t>
  </si>
  <si>
    <t>Things are always changing at the VA hospital from one visit to the next. This time, there was no kiosk. I also didn't recognize my Primary Care Provider due to the mask. I know, it required, but I dislike them so much.</t>
  </si>
  <si>
    <t>eCheck-in - Bad,General appointment feedback,Kiosk - Bad</t>
  </si>
  <si>
    <t>Misses kiosk. Dislikes mask requirement.</t>
  </si>
  <si>
    <t>Unless I'm doing it wrong, it isn't easy and requires some time to go online to verify my appts to apply for my travel benefits. Again, maybe I'm doing wrong, but I go into MyHealthe Vet, &gt; Travel &lt; and then scroll and evaluate my past, present, and future appointments. I stopped applying for them, and maybe that's what our government wants us to do.  Maybe at check-in of appt, it can be verified?</t>
  </si>
  <si>
    <t>Can't figure out how to file travel pay online, so stopped submitting claims. Was travel pay connected to check-in.</t>
  </si>
  <si>
    <t>The healthcare provider at the Podiatry clinic was courteous, respectful, and professional. Very thorough and pleasantly engaging.
The admin assistant at check out and check in was very nice and tried very hard to accommodate my needs for follow up appointments.</t>
  </si>
  <si>
    <t>courteous, respectful, and professional. Very thorough and pleasantly engaging. Very nice.</t>
  </si>
  <si>
    <t>check in at the clinic that morning was far from professional and caused a back log for those having blood work done and those collecting blood work.</t>
  </si>
  <si>
    <t>Long wait times.</t>
  </si>
  <si>
    <t>Lab  work was scheduled for a specific time and we got there 15 minutes early to find out that the PAPER NUMBERS FOR MACHINE were NOT working...why did the Village take away the computerized check in kiosk for most there departments...with no numbers they called names from list printed much earlier...they were over 1 hour and 45 minutes behind..I felt bad for all the patients that had fasting test</t>
  </si>
  <si>
    <t>Misses kiosk for lab check-in. Long wait time.</t>
  </si>
  <si>
    <t>why cant we check in in the lobby on the kiosk and get our travel pay without having to go to a different office.</t>
  </si>
  <si>
    <t>Wants to check-in on kiosk. Had to go to different office now to file travel pay</t>
  </si>
  <si>
    <t>It takes to long to check in at Saturn for appointments. Saturn always have a long line, sometimes I get close in being late for my appointments and my anxiety kicks in. Lots of issues, not enough personnel to check in for GI, Cardiology, PT, OT ext, veterans long winded in talking, veterans checking out needs more than one future appointments.
Please fix it. Thank you</t>
  </si>
  <si>
    <t>Long wait times to check-in with staff.</t>
  </si>
  <si>
    <t>2022-11-11</t>
  </si>
  <si>
    <t>From check in to meeting with my care team, to visiting the lab, I was made to feel welcome, respected, and sufficiently informed.
A job well done!</t>
  </si>
  <si>
    <t>welcomed, respected,sufficiently informed</t>
  </si>
  <si>
    <t>Check in was quick and easy, the main receptionist was at lucnch and her replacement handled the process.</t>
  </si>
  <si>
    <t>Check-in was easy and quick</t>
  </si>
  <si>
    <t>I arrived at the facility about 30 minutes early for labs and I did check in at the same time. I was waiting about 30 to an hour to be seen. I almost peed all over myself for the wait. When I finally got someone's attention, they said I had no orders. How am I scheduled for an appointment, get clocked in and not have orders? This is what makes me very upset.</t>
  </si>
  <si>
    <t>Long wait time. Only to find out that thre aren't any orders in the system for them at the lan.</t>
  </si>
  <si>
    <t>The Check In system using the terminals was nice. Would like to see that brought back.</t>
  </si>
  <si>
    <t>Missed check-in on kiosk</t>
  </si>
  <si>
    <t>This was in the prosthetics department check-in. When we arrived to check in the guy had ear pods and pointed at a sign that read "staff in a mandetory meeting" He did not say anything. We waited for 30 min. I asked again. He said almost done. I went upstairs to turn in paperwork. When returned dad was only one left. This was at 1630. He was at clinic for 4 hrs already and guy did not check on him</t>
  </si>
  <si>
    <t>Nov 1 was my first visit to VA Philly. From the time I arrived I was treated exceedingly well. Everyone I dealt with, from initial check-in to check-out was very friendly, helpful and respectful. I was very pleased with my first visit to VA Philly.</t>
  </si>
  <si>
    <t>Very friendly, helpful respectful.</t>
  </si>
  <si>
    <t>Perry VA Clinic</t>
  </si>
  <si>
    <t>Friendly and professional staff including security guard greeter, check in clerk, and phlebotomist.</t>
  </si>
  <si>
    <t>friendly, professional</t>
  </si>
  <si>
    <t>I was provided a text message to complete â€œpre-check inâ€.  It asked if all of my personal information was correct. Most of it wasnâ€™t. THEN NOTHING HAPPENED!  NOTHING!</t>
  </si>
  <si>
    <t>Frustrated by not being able to update incorrect personal information in PCI.</t>
  </si>
  <si>
    <t>Adrian upstairs in check in  Savannah VA is an awesome free spirited worker. He took my husband David Thornton needs like we were his relative. 
Thank you [NAME] keep up the good work.Mrs. [NAME]</t>
  </si>
  <si>
    <t>Being force to add VA app to my phone for check in. Not comfortable adding more unsecure informations to my phone.  Why was the kisko not available for veterans to check-in on and out for travel benefits?</t>
  </si>
  <si>
    <t>eCheck-in - Bad,Kiosk - Bad,Travel Pay - Bad</t>
  </si>
  <si>
    <t>Didn't want to add VA App for check-in. Not comfortable adding unsecure information to phone. Missed kiosk for check-in and travl pay.</t>
  </si>
  <si>
    <t>The check in staff are professional and
Courteous, everytime I come there.</t>
  </si>
  <si>
    <t>Professional, courteous</t>
  </si>
  <si>
    <t>Very competent lady at the check-in desk.</t>
  </si>
  <si>
    <t>competent</t>
  </si>
  <si>
    <t>GOPC</t>
  </si>
  <si>
    <t>While my satisfaction with the pharmacy transaction was good my interaction with the Audiology department was disappointing. I had documentation showing that â€œwalk-inâ€assistance was availableâ€¦ upon trying to check in as a â€œwalk inâ€ patient, I was advised I could not be seen and was required to set up an appointment for the next month. I my request was merely to have Audiologist 
check a ear aid</t>
  </si>
  <si>
    <t>Miss communication on if walk-in appointments were available and they were turned away.</t>
  </si>
  <si>
    <t>Ioannis A. Lougaris Veterans' Administration Medical Center</t>
  </si>
  <si>
    <t>Checking in at Primary Care: The one or two receptionists on duty seem to be tasked with too many duties to properly handle the Vets waiting, in person, in line. They spend a lot of time on incoming telephone calls. When busy, there should be backup staff to receive telephone calls so that vets waiting, in-person, in-line would be better served. I have experienced up to 16 vets in line to check-in</t>
  </si>
  <si>
    <t>Long lines at check-in, due to staff busy on phones.</t>
  </si>
  <si>
    <t>All aspects of my visit were satisfactory.  Check-in staff at Dermatology clinic were cheerful and provided guidance/direction without my having to ask.  Provider (Dr. [NAME] was thorough, efficient, explained both the conduct of the examination and the findings, and took the time to answer in clear, concise terms my several questions regarding preventive care/measures I could take between exams.</t>
  </si>
  <si>
    <t>Considering that the self-check-in kiosk is removed, perhaps the sign instructing me to use the kiosk is unnecessary.</t>
  </si>
  <si>
    <t>2022-11-10</t>
  </si>
  <si>
    <t>EVERYONE including phone assistance, nurses, staff, doctors, check in staff have been wonderful to work with.   THANK THEM ALL .    The property is clean as a whistle including the bathrooms.   USA can be very proud of this hospital.</t>
  </si>
  <si>
    <t>The ID Kiosk were removed and I was instructed by the security guard to wait, and wait and wait. finally, she instructed me to check in at the front window, just two feet away.  Her attitude was condescending and rude.</t>
  </si>
  <si>
    <t>condescending and rude</t>
  </si>
  <si>
    <t>The parking was completely full, the VA needs to consider acquiring additional spaces, perhaps across the street in a shopping center.
Also, I think it was a strange decision to remove the automatic check in stations and relying on QR codes &amp; cell phones.  Not every veteran has a cell phone.</t>
  </si>
  <si>
    <t>eCheck-in - Bad,General appointment feedback</t>
  </si>
  <si>
    <t>Parking was full. Not every veteran has a smartphone for PCI.</t>
  </si>
  <si>
    <t>Bring back the checking kiosks - the travel app does not work -</t>
  </si>
  <si>
    <t>Bring back kiosk for travel pay</t>
  </si>
  <si>
    <t>The care I receive at the VA is thorough, competent, and extremely convenient.  Every phlebotomist, check-in staff, nurse, and radiologist treated me with kindness and concern, all in just 2 hours.  Thank you, Roudebush VAMC for *your* service!</t>
  </si>
  <si>
    <t>thorough, competent</t>
  </si>
  <si>
    <t>Check-in on my phone was fast and easy and while I arrived 15 minutes early, I was called right in in, in less than one minute and was on my way back home before my schdeuled appointment time. The entire staff is exceptional.  The Doctors, Nurses and all the staff member are the best!!!</t>
  </si>
  <si>
    <t>Pci was fast and easy. Short wait times.</t>
  </si>
  <si>
    <t>The only thing I am upset with is that every time I check in, I  can't get a number,  they can't tell me why</t>
  </si>
  <si>
    <t>It was difficult finding where I needed to go or what kiosk I needed to check into. Had to ask around a couple of times. My email/text only included the building address and unknown jargon.</t>
  </si>
  <si>
    <t>Wayfinding was difficult and informatino sent ahead of time wasn't helpful.</t>
  </si>
  <si>
    <t>My appointment &amp; Care was provided by Dr [NAME] &amp; Team [NAME] at Mt Vernon Skagit Med Center, not in Seattle. I hadnâ€™t been in since 2019, before Covid,&amp;had some catching up to do. Everyone from checkin to Dr [NAME] &amp; her Team, including Sylvia in the Lab&amp; the Blood Lab, were extremely competent, professional and friendly. I was really impressed&amp; felt lucky to receive such quality care.Thankyou</t>
  </si>
  <si>
    <t>courteous, respectful, and professional. Very thorough and pleasantly engaging.</t>
  </si>
  <si>
    <t>I was kept up to date regarding my up coming appointments with my Primary Care Doctor and the other areas I had to check in with for my hearing loss.</t>
  </si>
  <si>
    <t>I try not to visit  the VA clinic in Stockbridge because the service is always poor.  They say you donâ€™t need an appointment for x-ray and ask you to come in early.  I arrive at 0740 and did not see the technician until 0845.  There must be a better way to enhance the service to veterans.  The employers at check in look at you as if they are want the next person to check you in.</t>
  </si>
  <si>
    <t>staff seem bothered when checking in people. Long wait times.</t>
  </si>
  <si>
    <t>2022-11-09</t>
  </si>
  <si>
    <t>Bring back the self service kiosk.</t>
  </si>
  <si>
    <t>Want kiosk back</t>
  </si>
  <si>
    <t>They lost one of our appointments. We waited, finally someone came and they tried took care of us.. This seems to be due to the loss of the check-in kiosks.</t>
  </si>
  <si>
    <t>Checkin was lost, so they weren't actually checked in.</t>
  </si>
  <si>
    <t>Chillicothe VA Medical Center</t>
  </si>
  <si>
    <t>Need to get on one page with check in!  Each visit itâ€™s something different!  One time itâ€™s with the receptionist,next time you use the kiosk with your ID; the last time was with your smart phone; NOT EVERYONE has one!  So you look like an a** at the kiosk when you turn around and have to BOTHER the receptionist to check in!; If you can get her attention.</t>
  </si>
  <si>
    <t>Not everyone has a smartphone</t>
  </si>
  <si>
    <t>The front desk check-in staff was very helpful and extremely courteous the medical staff took me directly to an examination room and I was extremely pleased with meeting my medical providers it was a pleasant experience all around.</t>
  </si>
  <si>
    <t>Courteous</t>
  </si>
  <si>
    <t>Lawton North VA Clinic</t>
  </si>
  <si>
    <t>Put back the kiosk it made it easier to check in and request travel</t>
  </si>
  <si>
    <t>Want kiosk back for check-in and travel pay</t>
  </si>
  <si>
    <t>The entire team at JD VA hospital is always professional, friendly, either on time or earlier, when I check in for scheduled appointments.  Please continue to do what you do for me and other vets.  Thank you</t>
  </si>
  <si>
    <t>professional, friendly, either on time or earlier</t>
  </si>
  <si>
    <t>Check into your phone call in system. After calling in you only get one choice and that is pharmacy, you cannot be able to call any extensions such as Hematology or leave messages to other extensions.</t>
  </si>
  <si>
    <t>Had hard time get through on the phone.</t>
  </si>
  <si>
    <t>It takes wait times at check in, to many people on the phone prohibiting check in to check in</t>
  </si>
  <si>
    <t>[NAME] at the check in desk is awesome.</t>
  </si>
  <si>
    <t>Bring back the kiosk for travel I tried to do it online and got nowhere I had to go to the clinic and fill out a form to send in they told me at the desk that I was not the only one seems like there are a lot of people that has the same PROBLEM</t>
  </si>
  <si>
    <t>Bring back kiosk for travel pay. Tried to do it online and got nowhere.</t>
  </si>
  <si>
    <t>This visit was at the Lackland VA Optometry Clinic. From check in to preliminary check with the tech and with the optometrist was an exceptional experience. All were caring professionals throughout my visit. Thank you for taking such great care of me.</t>
  </si>
  <si>
    <t>The check in / out personal do not seem to be concerned about the veterans.  More so about personal conversations with other personal. 
I observed the check out personal carry on a 2 + minute conversation with someone while elderly veterans had to stand waiting. Another check  out personal finally stepped in to get the veterans out. She was still talking . This is not acceptable. 
We need help.</t>
  </si>
  <si>
    <t>There was at least a half a dozen or more people at the front desk check in area but all of them were in separate discussions with each other. It seemed as though they all were sure one of the other pairs of people having a discussion would check me in. As a result, no one checked me in for an appointment that I already know the location of. I even stepped in and out of the automatic front door.</t>
  </si>
  <si>
    <t>Staff were too busy to check-in them.</t>
  </si>
  <si>
    <t>Hershel "Woody" Williams VA Medical Center</t>
  </si>
  <si>
    <t>I had/ a appointment Tuesday November the 8th and came on time but, I went to check in and the girl told me the stress test was cancelle. I had no idea they will call m when itâ€™s rescheduled in December. It was aggravating and I used up Gas bcause the girl didnâ€™t notify me. Itâ€™s terrible and I hated it.</t>
  </si>
  <si>
    <t>Didn't know their appointment was canceled until they tried to check-in.</t>
  </si>
  <si>
    <t>Easy to check in, quick response (short wait), visit was completed prior to or by my scheduled appointment time.</t>
  </si>
  <si>
    <t>Short wait time. Overall good experience.</t>
  </si>
  <si>
    <t>Check In counter was very helpful after a detected mess up in initial appointment assignment.</t>
  </si>
  <si>
    <t>My provider for my teeth cleaning appointment was wonderful.  Just super in every way.  The staff at the Dental check in desk appeared to be offended that another patient and I were disturbing their personal conversation by trying to check in for our appointments.  
This has been pretty consistent over the last year.</t>
  </si>
  <si>
    <t>Check-in staff seemed bothered when they tried to check-in.</t>
  </si>
  <si>
    <t>The new kiosk check-in process was not productive...didn't work.  The old procedure of scanning my ID worked well, and every time.  The new procedure of using a smartphone to scan a QR code requires far too many steps (get out phone, open phone, unlock phone, find photo app, open photo app, scan QR code, hope to get a response, wait for response, select response)...and then I gave up.</t>
  </si>
  <si>
    <t>PCI requires too many steps.</t>
  </si>
  <si>
    <t>I was unable to complete my travel reimbursement at the check in kiosk. And i HAVE NOT BEEN ABLE TO COMPLETE IT ON THE WEB SITE FOR SOME REASON.</t>
  </si>
  <si>
    <t>Haven't been able to file travel pay via the website.</t>
  </si>
  <si>
    <t>The old system of checking in was simple and reliable so why the change to something that does not work and requires a cell phone to accomplish the check in?  The means that you people go to to make simple complicated baffles me.</t>
  </si>
  <si>
    <t>Why require a cell phone for check-in. It is complicated.</t>
  </si>
  <si>
    <t>1. Return the check in kiosks. I had to wait 30 minutes to check in at a window when I was able to do it in seconds with the kiosk. 
2. Why have you not updated your Covid proceedures. This is the only place in my city that still requires masks.</t>
  </si>
  <si>
    <t>Kiosk - Bad,General Check-in - Bad,General appointment feedback</t>
  </si>
  <si>
    <t>Long wait times to check-in with staff. Bring back kiosk for check-in. Masking requirement complaint.</t>
  </si>
  <si>
    <t>Never on time love to have you wait for one to three hours to make them look good I have left in the past when you check in they donâ€™t log in on the computer just put your check in on apiece of paper than try to call you a no show I went to the advocate office never heard back</t>
  </si>
  <si>
    <t>when changing lo- in proceedures at the Hearing and Vision clinics you MUST inform client about new procedure.  when I arrived the Kiosk was not there. The person behind the window was somewhat short with me when I tried to sign in with her. She waved a hand toward the railing and said "its up there".  Maybe she could have said New instructions are posted on the support beam behind you.</t>
  </si>
  <si>
    <t>Staff rude when telling new PCI instructions.</t>
  </si>
  <si>
    <t>I think your questions need to be updated for specialty clinics/hospital that provide better results. Example - 11/4 was for nail care which I do every 4 months or so. It's clear-cut - I check in, I wait my turn and then I'm escorted by my tech to her work room and she begins the nail care. When she's done we set the next appoint. and I leave. Try questions that lead to drop down box specialties</t>
  </si>
  <si>
    <t>Easy parking, quick check-in helpful in directing me to appt. Location.  Why still masks?</t>
  </si>
  <si>
    <t>Overall good experience.Masking requirement question: Why</t>
  </si>
  <si>
    <t>very easy to do. check in with card and takes about 10 minutes total. thank you</t>
  </si>
  <si>
    <t>Check-in with card is easy.</t>
  </si>
  <si>
    <t>I would like to see the travel pay app put back on the check in computers at all VA it makes it easier.</t>
  </si>
  <si>
    <t>I walked up to check-in the clerk ignored me...I just stood there saying good morning and she ignored me.  So i spoke with the other clerk &amp; checked in 910Am on 10/24/2022 at the clinic DC/PACT Red RN. My apt was 930.  I sat there until literally every single person in the waiting area was seen except me.  Evidently, I'm the wrong race &amp; sex treated me like crap, never saw doc or temp or BP....</t>
  </si>
  <si>
    <t>Never checked in by staff.</t>
  </si>
  <si>
    <t>Conway VA Clinic</t>
  </si>
  <si>
    <t>I have never had a bad experience at the Little Rock or the Conway clinic. I am almost always seen within a few minutes after I check in. Thanks for being there.</t>
  </si>
  <si>
    <t>I went to the emergency room because I had extreme pain in my right knee. Couldn't find any close parking. There was no easy way to get the emergency room. Once I got to the emergency room, I had to limp and extreme pain to the check-in and to the room that I was going to be seen in. I had to request  an injection so I could navigate the hallways to get to my prescription with less pain.</t>
  </si>
  <si>
    <t>I find the new checkin procedure to be unhelpful. I prefer to see the assistant.</t>
  </si>
  <si>
    <t>PCI is unhelpful. Prefers clerk.</t>
  </si>
  <si>
    <t>My first two visits to the Cobb County VA Clinic began when I was encountered by guards from a third-party (non-VA) protection service, asking me if I had an appointment.  In both instances, I was told "...we don't have that yet."  I replied "Yes, you do"  and then proceeded on my own to the REAL checkin counter.  These guards are telling visitors that services which ARE available aren't open yet.</t>
  </si>
  <si>
    <t>guards are misinforming Veterans on what services are open.</t>
  </si>
  <si>
    <t>Smart phone check-in does not work. I have no cellphone reception in hour facility. I had to wait several minutes to register at the appointment desk.</t>
  </si>
  <si>
    <t>PCI doesn't work due to no cellphone reception at facility.</t>
  </si>
  <si>
    <t>The kiosk system works very well-efficient operation.</t>
  </si>
  <si>
    <t>Kiosk was efficient.</t>
  </si>
  <si>
    <t>I could not ask for a better experience from check in to discharge.  The staff kept me informed comfortable and were friendly.  I have nothing negative to say about this appointment.</t>
  </si>
  <si>
    <t>I am treated with the utmost respect the minute i walk into the clinic. 
 It would be nice if the staff at the check-in desks would not wave -in the next client waiting their turn on line when the are holding  a White Cane.  We can't see you waving to us  that its our turn.</t>
  </si>
  <si>
    <t>Respectful.Staff should be trained to not wave to have someone with a white cane come to the desk.</t>
  </si>
  <si>
    <t>The sign at the hospital entrance had an arrow that pointed to the desk and the entrance and not to the hallway for the lab.  This was confusing to me and another Veteran.  We thought we were supposed to check-in at the front desk because of the paper sign.</t>
  </si>
  <si>
    <t>General appointment feedback,General Check-in - Bad</t>
  </si>
  <si>
    <t>Signage made it confusing about where to check-in.</t>
  </si>
  <si>
    <t>It has been over a month since I have been allowed to fill out my mileage reimbursement requests online. I stopped to talk to the lady that handles travel at Ernest Childers and she said she was aware it was not working and to keep trying. It needs to be fixed or go back to doing travel on the kiosks at the clinic</t>
  </si>
  <si>
    <t>Go back to kiosk for travel pay. Haven't been able to file for travel pay online in over a month.</t>
  </si>
  <si>
    <t>The kiosk should be clearly identified as working or out of service. I waited an extra 1/2 hour because it was not working and I used it to sign in.</t>
  </si>
  <si>
    <t>didn't know kiosk didn't check them in, so they waited a long time.</t>
  </si>
  <si>
    <t>To save time and effort I think they should reinstall the kiosks. Less work and effort to register a patient</t>
  </si>
  <si>
    <t>Bring back the kiosk.</t>
  </si>
  <si>
    <t>I made the appt. In Oct. for Nov. because I missed an appointment for which I was never notified that I had.  When leaving dental on my last appointment the person behind the check in desk said I would receive a letter, which I never received. Because of this this would have been my fourth appt. Instead of my third.</t>
  </si>
  <si>
    <t>Hasn't been receiving appointment notifications and missed an appointment as a result.</t>
  </si>
  <si>
    <t>Why when you go to the VA to check in the  clerks are rude and always on there personal phones. Laughing, joking not being helpful or professional.  
Just sad!</t>
  </si>
  <si>
    <t>Rude, always on their personal phones, joking, not helpful, not professional</t>
  </si>
  <si>
    <t>The service, wonderful doctors, nurses, all caregivers, employees at the check-in desks, and the volunteers (from the front door throughout the facility), are excellent!!  Everyone takes the time to greet me, make me feel welcomed, smile, listen carefully, and respond to my needs and questions with skill and concern.  I consider myself to be blessed beyond words and am very grateful.</t>
  </si>
  <si>
    <t>excellent!!  Everyone takes the time to greet me, make me feel welcomed, smile, listen carefully, and respond to my needs and question</t>
  </si>
  <si>
    <t>Just a good experience from check in to ch close out</t>
  </si>
  <si>
    <t>The individuals who support the clinic during check in and appointments are friendly and professional.  I felt welcomed the first day. Thank you.</t>
  </si>
  <si>
    <t>friendly, professional, welcoming</t>
  </si>
  <si>
    <t>It took a few weeks to get seen, I took off half a day, waited for 1 hour in the lobby only to have my appointment canceled. Had to repeat this two weeks later.
Thereâ€™s no sign on what floor you go to when you walk in. You have to wait in line to talk to check in clerk only to find out youâ€™re on the wrong floor 
Wifi domain does not exist amd thereâ€™s no cell phone service</t>
  </si>
  <si>
    <t>Didn't know appointment was canceled. Wayfinding was difficult</t>
  </si>
  <si>
    <t>You don't allow enough space to fully explain the complicated predicaments VA appts and services get me involved within.  I need 1000 words.  But your appts result in a 70 mile drive for me and drinking 64 oz of water for a procedure and hold it until called.  After waiting an hour, I approached the check-in desk and they had no explanation.  So I told them I was gonna piss and go home.  tyvm VA</t>
  </si>
  <si>
    <t>Long wait time for procedure where you had to drink a bunch, so they left before the procedure happened.</t>
  </si>
  <si>
    <t>Castle Point VA Medical Center</t>
  </si>
  <si>
    <t>Woman (I forgot her name) at check-in window was courteous, friendly, and competent.</t>
  </si>
  <si>
    <t>courteous, friendly, and competent</t>
  </si>
  <si>
    <t>make sure that check in appiontments is in order</t>
  </si>
  <si>
    <t>It appears that all of the Travel Kiosks have been removed.  I feel this creates an additional burden to veterans.  The veteran is already at the facility and having the kiosks available makes it easy for the veteran to claim their travel. logging in to BTSSS can be difficult at times and is somewhat "clunky" to use.  Overall the Travel Kiosks can not be that expensive to maintain.</t>
  </si>
  <si>
    <t>Bring back kiosk for travel pay. BtSSS is difficult to use.</t>
  </si>
  <si>
    <t>Check in needs to be simplified. Nobody I talked with was comfortable and weâ€™re unsure if they did things correctly.</t>
  </si>
  <si>
    <t>Check-in needs to be simplified.</t>
  </si>
  <si>
    <t>I loved the check in kiosks. Now they've been replaced by having to use the phone. Why? I didn't know how to do it or my phone couldnt do it ( I don't know which) and the jerk checking me in was " well that's the way of the future! " and I still don't know how to check in. And not everyone has a smart phone! Go back to the easy kiosks! Everyone has an ID card. That was dumb.</t>
  </si>
  <si>
    <t>Didn't get PCI to work. Not everyone has a smartphone. Go back to the kiosks for check-in.</t>
  </si>
  <si>
    <t>Please remove the check-in kiosk.  Myself and others have checked in at the kiosk and were not called for our appointment.   We finally decided to ask the desk rep, why werenâ€™t we called yet.  We were told that she had no idea we were there.  It very clear that the kiosk does not communicate with the check in desk.  We were also told by doctors to check in at the desk and do not use kiosk check in</t>
  </si>
  <si>
    <t>If you can't check-in on the kiosk, then remove the devices. Accidentally checked in on them and waited.</t>
  </si>
  <si>
    <t>The ladies in the lab are very nice, from check-in to taking the blood</t>
  </si>
  <si>
    <t>Nice</t>
  </si>
  <si>
    <t>I recommend having travel pay reimbursement kiosks available at the RMVAMC, because I can never get to the correct site from home.</t>
  </si>
  <si>
    <t>Bring back kiosk for travel pay. Can't connect to online travel payat home.</t>
  </si>
  <si>
    <t>Personnel at check-in desks could be a little more friendly.</t>
  </si>
  <si>
    <t>Although the doctor was fine..some personally at the clinic didn't seem to want to be there. The guard/ greeter appeared to be asleep while standing near the front door, and was quite curt in his instructions as to what I should do to check in.</t>
  </si>
  <si>
    <t>I arrived a little before my scheduled appointment time of 8:00am unaware of the procedure change instead of using my Veterans ID card to check in you take a number from a ticket dispenser a woman waiting with her Vet husband told me what I needed to do. Which was fine. Then it was over an hour before my number and I was called into the Lab and saw only three Lab techs drawing blood.Seems long.</t>
  </si>
  <si>
    <t>long wait times</t>
  </si>
  <si>
    <t>Close the wait time from check in till the doctor sees you</t>
  </si>
  <si>
    <t>1.  I am a 100% disabled vet.
2.  I qualify for travel to and from my home.
3.  I have not received a check for travel since they shut down
     the Kiosks in the Baltimore VA in 2020.
4.  I continue to fill out the travel forms at the travel desk on the 4th floor
    for what reason?</t>
  </si>
  <si>
    <t>Fills out paper form, since kiosk aren't available and haven't received payment in a long time.</t>
  </si>
  <si>
    <t>I had an appointment yesterday and it was outstanding.  From check in to check out it was a great experience.  I'm assuming someone was employed to run the front desk,  because it was definetly a different  vibe, they were awesome.</t>
  </si>
  <si>
    <t>Flint VA Clinic</t>
  </si>
  <si>
    <t>I waited a loooooog time after the nurse did her thing before getting to talk to the intern. 
THEN they told me to go to the lab for a couple of test. NOBODY told me I had to check in AGAIN. Why didnâ€™t the doctor or intern do this?</t>
  </si>
  <si>
    <t>Long wait time. Not told they had to check-in again after going to lab.</t>
  </si>
  <si>
    <t>When I came in, to check in for my appointment, there was only one receptionist. I and other veterans had to wait for at least 15 minutes, before another receptionist came in to help and I could check in. my pain level increased for standing up line long. This is a reoccurring problem with 46th Street.</t>
  </si>
  <si>
    <t>long wait time to check-in with staff.</t>
  </si>
  <si>
    <t>The check in clerk &amp; nurse, where very kind &amp; professional.</t>
  </si>
  <si>
    <t>2022-11-08</t>
  </si>
  <si>
    <t>NP [NAME] does a great job. She is professional and thorough. I trust her. The rest of the staff from check in-vitals are courteous and competent. I appreciate being able to manage my health care through the Hyannis clinic.</t>
  </si>
  <si>
    <t>Yes arrived at the VA knew I had an eye appointment I want to check in like I always do and the yellow department The gentleman told me to sit down I was logged in I was sitting for a long period of time went back up talk to the woman she said yes we have you take a seat The eye clinic called me they are lost downstairs</t>
  </si>
  <si>
    <t>Long wait time and told they were in the wrong area.</t>
  </si>
  <si>
    <t>Don't advertise on line check in if it's not really available.  I was unable to check into my dermatology appointment using online check in.  There were multiple signs in the clinic lobby indicating I could and how to do so.  When I attempted to check in on line, I received the message that my clinic (dermatology) was not using this capability.</t>
  </si>
  <si>
    <t>Frustrated by trying to using PCI for a clinic that wasn't enabled. Asked why we advertise the capability, if it can't be used.</t>
  </si>
  <si>
    <t>After checking in at the elevator check-in location, I went to what appeared to be the Orthotics Waiting Room. It had an Orthotics sign. Turns out it was not and I was directed to go to the Central area waiting room after I had been there for about 5 minutes. OK thereafter.</t>
  </si>
  <si>
    <t>Wayfinding to the correct waiting area was difficult.</t>
  </si>
  <si>
    <t>The PC clinics have been rearranged and the check in process has changed -- I suggest that patience be notified of these two things to avoid confusion.</t>
  </si>
  <si>
    <t>Wanted to be notified of check-in process change.</t>
  </si>
  <si>
    <t>There are kiosks that ask basic questions about if your address is correct, if you have health insurance, etc. so you can check-in without talking to anyone. This is good. Yet, when you are done, you get called up to wait in line and answer the same questions. This is redundant &amp; unnecessary. The kiosks are a way to reduce personnel costs and save taxpayer dollars, hopefully they get used wisely.</t>
  </si>
  <si>
    <t>Questions on kiosk are repeated by staff.</t>
  </si>
  <si>
    <t>Jefferson City VA Clinic</t>
  </si>
  <si>
    <t>Everyone from the check in to the nurse, Dr. and lab tech were excellent.</t>
  </si>
  <si>
    <t>More pleasant staff to greet you when you arrive at your team check in. Most are grumpy and short with you.</t>
  </si>
  <si>
    <t>Grumpy and short with Veterans</t>
  </si>
  <si>
    <t>I just think it is ridiculous that we have to check in twice for every appointment. Once at entry and then again at your clinic. This doesnâ€™t happen at civilian clinics. I shouldnâ€™t have to wait in a line just to get in to the building. Sometimes thatâ€™s the reason I am late because I didnâ€™t know how to anticipate the stupid wait at the door.</t>
  </si>
  <si>
    <t>Doesn't like checking in with guards, then checking in again.</t>
  </si>
  <si>
    <t>New check-in procedure using one's phone makes no sense.  There was no cellular signal available in the building; the receptionist said to log-in to public wi-fi but I won't log into public wi-fi anywhere!  I watched other vets, some older than me, trying to log-in but fumbling with the phone and not sure of the process.  Why were the VA card readers abandoned?  It was much simpler.</t>
  </si>
  <si>
    <t>No cell signal and refuses to use public wifi. Wants kiosk with card readers back.</t>
  </si>
  <si>
    <t>The wait time for eye appointment are 1 to 2 hr after check in, that's unacceptable.</t>
  </si>
  <si>
    <t>While the providers were great the demeanor of the front desk check in personal left a lot to be desired. Fell somewhere between apathetic and borderline rude.</t>
  </si>
  <si>
    <t>providers were great. Clerks were apathetic and borderliner ude.</t>
  </si>
  <si>
    <t>The representation at too many check in stations do not display the level of professionalism I'm sure VA expects.  While waiting for my appointment, I can see how they increase the anxiety levels of some vets by their behavior.  They are Brittle, short and sometimes disrespectful and lack listening skills.  Its not exclusive, but more excessive than I'm sure would be tolerable.</t>
  </si>
  <si>
    <t>Brittle, short and sometimes disrespectful and lack listening skills</t>
  </si>
  <si>
    <t>Everyone was so kind including the check-in staff, nurses, providers....even the security guard.  Thanks for taking such good care of me and my fellow veterans.</t>
  </si>
  <si>
    <t>Dr [NAME] is very patient and helpful.
This was a progress check-in, and felt like the appropriate follow-up.</t>
  </si>
  <si>
    <t>All people the check in lady,the tech before the doctor and the Doctor were great .I am thankful for the help .</t>
  </si>
  <si>
    <t>You get a number when you check in with the machine but the humans call you out by name.  I think my name is easy but some have a problem with pronouncing it.  Why give me a number?</t>
  </si>
  <si>
    <t>Cnfused by given number, but name called out.</t>
  </si>
  <si>
    <t>I went to the front desk and I thought I had checked in for my appointment there.  I found out later I had to check in for my appointment around the corner to the right,</t>
  </si>
  <si>
    <t>Checked in in wrong area.</t>
  </si>
  <si>
    <t>Checkin was much easier last year</t>
  </si>
  <si>
    <t>Earlier last year</t>
  </si>
  <si>
    <t>The lab set up is confusing which causes a lot of frustration with Veterans. When you get off the elevator you naturally look for the fabricated sign for the lab which tells you to turn left for the lab, you don't notice the hand written signs telling you to sign in at the kiosk (if working) or take a number and have a seat in the waiting room.</t>
  </si>
  <si>
    <t>Wayfinding for check-in is difficult</t>
  </si>
  <si>
    <t>Every one of my visit, it seems like no one wants to check me in. I tried self check in first two visits but the machine just directed me to the front staff.</t>
  </si>
  <si>
    <t>Tried PCI twice and got redirected to staff.</t>
  </si>
  <si>
    <t>Since they discontinued the kiosk for milage it now takes over 4 months to get reimbursed.
we should go back to the kiosk</t>
  </si>
  <si>
    <t>Albert Lea VA Clinic</t>
  </si>
  <si>
    <t>Great experience from check-in, to blood draw and visit with Dr. - the level of care expected.</t>
  </si>
  <si>
    <t>Dr. [NAME], [NAME] RN, [NAME] LPN and [NAME] at the check in are excellent ðŸ‘Œ</t>
  </si>
  <si>
    <t>A larger waiting room. The waiting room/check in/vitals area is not large enough. Veterans on wheelchairs have extreme difficulty accessing the area. Other people hear your business.</t>
  </si>
  <si>
    <t>Waiting room not big enough. Wheelcharis had problems accessing area.</t>
  </si>
  <si>
    <t>check-in kiosk?? bad hip and knee vet. standing uncomfortable while check-in clerk handles phone and check-in!</t>
  </si>
  <si>
    <t>Want kiosk back. Long lines to check-in with staff.</t>
  </si>
  <si>
    <t>The entire visit, from the check-in receptionists to the medical team, they were outstanding!</t>
  </si>
  <si>
    <t>G.V. (Sonny) Montgomery Department of Veterans Affairs Medical Center</t>
  </si>
  <si>
    <t>Rapid check-in, courteous nursing staff, and attentive providers</t>
  </si>
  <si>
    <t>I was 15 minutes early to my 1300 Dermo appointment and the check-in clerk said the DR. Was 1 hour late this day.</t>
  </si>
  <si>
    <t>My wife and I waited over an hour before seeing the Dr.  My wife inquired with the personnel at the check-in counter asking why it is taking so long. There is a sign at that counter telling us to inquire if you are waiting longer than 15 minutes.  We understand delays can happen, but this time it seemed excessive.</t>
  </si>
  <si>
    <t>The employees at check in and check out are more concerned with their personal conversations than Veterans.</t>
  </si>
  <si>
    <t>While at the Pahrump VA, the front check in with the representatives. They need to be more friendly and cordial, I found that they talk "at us" instead of "to us" veterans. Often times I have felt disrespected.
They could use a course in a friendly welcome, not an impatient staff.</t>
  </si>
  <si>
    <t>I am really happy with my experiences in Santa Maria VA Clinic, from check in and out, to nurse preparation everyone was pleasant, helpful, Knowledgeable, provided extra assistance which I never really get in other clinics. Dr. [NAME] was on top with my health needs and offered health care knowledge which was great and she is very pleasant, caring and intelligent. I am in very good hands. Thank yo</t>
  </si>
  <si>
    <t>The woman at the check in was not very courteous. She also took a private phone call, on her cellphone, that was very intense. She could be heard very loudly appearing to argue with someone. Very unprofessional, from check-in to the phone call. No customer service for people who served our country!
However, the lady drawing blood was very pleasant!</t>
  </si>
  <si>
    <t>The construction and lack of markings and â€œwhere to enterâ€ on my pre appointment paperwork made entering at the right spot a problem.  
When I made entry a lady at the info desk was kind enough to draw me a map! Outstanding!!
Then a nice pair of folks walked with me. 
THEN! The lady administering my appointment helped me check in as I walked in the door. She already knew who I was. 
Thank you!</t>
  </si>
  <si>
    <t>Wwayfinding to appointment area was difficult. Pre-appointment paperwork didn't take construction into account.</t>
  </si>
  <si>
    <t>Very Impressed with Dr. [NAME] in Dental Professional Care. Also the ladies at their Check In in the Dental Deptment Have worked with me to make sure my dates are not on other dates I have at other places. Being 2 Hours away from Danville makes timing very important</t>
  </si>
  <si>
    <t>Travel pay was no long done by the kiosk. No one told me of the change. No one explained why. No one state why we are going backwards. No staff told me where to go and fill out the paper. It was a fellow veteran that saw my confusion and told me what I needed to do. Why are we going back to filling out papers and then submitting them into a mail box for approval.
Seems backwards.</t>
  </si>
  <si>
    <t>Confused why travel pay on kiosk was removed and they are back to filling out a paper form.</t>
  </si>
  <si>
    <t>There needs to be an order of calling in patients, which can be achieved very easily if patients were brought in for their lab work in the order they check-in and sit in the waiting room.  A nurse came out and asked everyone in the seated area "Ok, who is next?" lol
I really don't mind waiting for other veterans to go in ahead of me but that type of system is very unorganized and unfair.</t>
  </si>
  <si>
    <t>Lab didn't really have a check-in process.</t>
  </si>
  <si>
    <t>The kiosks are gone. Instead there was a scan code. I scanned it, the website said I was checked in. As of 0915, I still had not been called, so I went to the desk. I tried to show the lady the webpage that said I was checked in but now it said it couldnâ€™t check me in. The lady then told me that we canâ€™t use that system for labs and we have to talk to her to check. This was not posted anywhere.</t>
  </si>
  <si>
    <t>Thought they successfully checked in for lab. Didn't know that PCI couldn’t be used for labs.</t>
  </si>
  <si>
    <t>Was not contacted for services recommended by Dr.
The kiosk for travel pay is non existence it was a lot easier with the kiosk fire the persons responsible for messing up a system that worked fine before..</t>
  </si>
  <si>
    <t>Wants kiosk for travel pay.</t>
  </si>
  <si>
    <t>Building this new facility was terribly conceived and horridly designed and well over what the budget should of ben. Why does a DV have to walk over 100m to get in the front door? Then walk over 100m to the Check in station? Why did you not acquire the local buildings that were available at the Eastgate complex? Easy facilities and all utilities. Take the Osborne Center Save MM$$ for rent/purchase</t>
  </si>
  <si>
    <t>physical layout not optimal.</t>
  </si>
  <si>
    <t>The people when you first walk in really make you feel like you  are important, they were very helpful in trying t help me with the Kiosk a I was trying to load the images of my insurance cards which wouldn't load and the attendant help me navigate it a Marine.
We talked and found out we had been to some of the same places on deployments.</t>
  </si>
  <si>
    <t>Staff helped with kiosk.</t>
  </si>
  <si>
    <t>Since becoming a patient at the James J.Howard clinic, the staff has become more knowledgeable with their duties to the Veterans. Checking in now goes much smoother than in the past. There is less patient stacking as before. previously you could not check in more than 15 minutes due to the overload of patients. Now you check in when you arrive and for me within a given short time I am called in.</t>
  </si>
  <si>
    <t>Everyone is respectful and very helpful. Thank you to all. Thank you to [NAME] (and Dr. (Dental) Dr. [NAME] and Check in person was very helpful. I don't know names. Also Dr. [NAME] MD pain clinic.</t>
  </si>
  <si>
    <t>I arrived and checked in and was directed to lab for blood and urinalysis. The tech stated no order in system and sent back to checkin and now 20 people in line. I decided it may be quicker to call. [NAME] answered phone and had me come to window 7. [NAME] solved getting an order into the system. Went back to lab and waited ~20 minutes. In short the order should have been placed into the sys.</t>
  </si>
  <si>
    <t>Missing lab order in system upon arrival</t>
  </si>
  <si>
    <t>My CT scan went great. Check in was fast and I was told where to wait.  The technician let me know ahead of time that warm gel would be applied. The appointment was efficient. I felt quite at ease.</t>
  </si>
  <si>
    <t>Good overall experience.</t>
  </si>
  <si>
    <t>I showed up to the American Lake VA for labs 15 mins prior to 7 to make sure I missed as little time at work as possible. The lab did not even open there roll up for the windows to check in until 10-15 minutes past seven and only had one tech taking labs until another ended up showing up late. I understand things like this happen but they could atleast have opened up on time and given a warning</t>
  </si>
  <si>
    <t>lab didn’t open on time</t>
  </si>
  <si>
    <t>Front desk check in was very fast</t>
  </si>
  <si>
    <t>Please relook at the sign when you sign in and the whole process of signing in. Very vague directions on where to sign in. At the point that you sign in at the kiosk, there is no way of knowing if you actually signed in.</t>
  </si>
  <si>
    <t>Sign vague directions. When checking in on kiosk, you don't know if you actually checked in.</t>
  </si>
  <si>
    <t>John J. Pershing Veterans' Administration Medical Center</t>
  </si>
  <si>
    <t>Excellent care, great personnel.  Check in person, [NAME] is the best at checking you in to your appointment.  Fantastic customer service skills.</t>
  </si>
  <si>
    <t>fantastic customer service.</t>
  </si>
  <si>
    <t>Spirit Lake VA Clinic</t>
  </si>
  <si>
    <t>Bring back self service terminals. Very convenient to check in, request travel pay, etc.</t>
  </si>
  <si>
    <t>Bring back kiosk for check in and travel pay</t>
  </si>
  <si>
    <t>Get the kiosks working there and in Leeds. It will really help vet's rather than mailing in forms.</t>
  </si>
  <si>
    <t>Had lab appointment 1045. Arrived on time there was no check in everyone took a number and then you were called in when your number came up. I was behind 20 people. I waited an hour after my appointment time because of this. Most of the people had appointments after mine and just came early and got a number.  No one checking appointment times. Very flawed system in my opinion. Very disappointed.</t>
  </si>
  <si>
    <t>Number check-in system conflicted with appt time.</t>
  </si>
  <si>
    <t>check in for apt used to be simple. NOT NOW! Go back to the check in stations.</t>
  </si>
  <si>
    <t>Want kiosk back for check-in</t>
  </si>
  <si>
    <t>During one of my visits I was directed to go to a different building(as an walk in urgent care) because my primary care physician was out of the office on an much needed and well deserved break; I was then directed to check in(ok I understand) these ladies were less than professional and said Iâ€™d have to go back to my primary even though I had explained the circumstances and here I am on my cane.</t>
  </si>
  <si>
    <t>Bounced between urgent care and PCP</t>
  </si>
  <si>
    <t>I had an appointment for a Follow up for my Surgery
 Staff at check in were not to nice. The Dr and his staff were very attentive and caring. Great .</t>
  </si>
  <si>
    <t>The lack of customer service when I call in to make an appointment or when I speak with someone at the check-in counter is mind-blowing. There has been attitude given and no respect. I cannot imagine the treatment of our older Veterans. I will not stand for it. It does not take much to show kindness. If you don't like your job then leave. 
Also, it should take months to get an appt.</t>
  </si>
  <si>
    <t>Newburg VA Clinic</t>
  </si>
  <si>
    <t>The people doing the check in/ check out should know how to do a work release form for people that need a note to return back to work.</t>
  </si>
  <si>
    <t>had trouble getting work release form from MSAs</t>
  </si>
  <si>
    <t>2022-11-07</t>
  </si>
  <si>
    <t>Would be nice to use the kiosk for travel pay. The website is a big hassle. I find it easier to fill out the paperwork and give it to the travel clerk.</t>
  </si>
  <si>
    <t>Want kiosk for travel pay. Website is a hassle.</t>
  </si>
  <si>
    <t>I checked in at the main desk, thinking it would save time. It did not. I sat in the waiting area for 30 minutes until I went to an available person who checked me in again. I was seen after that. If the front desk check in serves no purpose, why have it?</t>
  </si>
  <si>
    <t>Staaff check-in didn't actually check them in.</t>
  </si>
  <si>
    <t>The entire team was great except the reception team, who has always been an issue and I dread having to interact with them. I would ask the person working there to keep the lights on and be ready to assist people instead of looking to hide and being upset when they are asked to check-in.</t>
  </si>
  <si>
    <t>Weeks before I visited, I messaged both V.A. scheduling and audiology to discuss an issue with new hearing aids. A caller from VA advised that I could visit any time for the walk-in clinic and have it looked at but when I arrived at the Manchester audiology clinic check-in desk I was advised that this type of problem could not be addressed as a walk-in, but I must pre-schedule an appointment.</t>
  </si>
  <si>
    <t>Confusion about if something could be a walk-in activity or must be a scheduled appointment</t>
  </si>
  <si>
    <t>I forgot the name of the technician who greeted me at check-in, but I'll remember next time.  At any rate, I can say without hesitation all 3 of my visits have been beyond excellent.  The staff at check-in are super friendly and attentive, and willingly take the time to make sure I'm heard and understood.  [NAME] is an awesome provider!  Simply a great team!!</t>
  </si>
  <si>
    <t>The check-in process has been improved with the removal of the kiosks.
The Lab tech I had was friendly and effective.</t>
  </si>
  <si>
    <t>Liked the removal of the kiosk</t>
  </si>
  <si>
    <t>EMERGENCY MEDICINE SURVEY</t>
  </si>
  <si>
    <t>The entire emergency dept staff, from check-in to discharge was very professional &amp; compassionate. I appreciate their time and care. I hated that I had to use the emergency dept &amp; take up the doctor/nurse's time when this could've been handled with an outpatient orthopaedic follow up. Ortho could not see me for 2 &amp; a half months, forcing me to use the emergency department. Thanks for the care!</t>
  </si>
  <si>
    <t>Minneapolis VA Medical Center, MN (618)</t>
  </si>
  <si>
    <t>Develop autopay for travel pay upon the veterans checkin to the VA. Shouldnâ€™t have to be a whole process, work smarter not harder.</t>
  </si>
  <si>
    <t>Wants to file travel pay during check in</t>
  </si>
  <si>
    <t>GENERAL COVID-19 SURVEY</t>
  </si>
  <si>
    <t>Phoenix 32nd Street VA Clinic, AZ (644GI)</t>
  </si>
  <si>
    <t>VISN 22: Desert Pacific Healthcare Network</t>
  </si>
  <si>
    <t>check-in staff were great. I question the background of the doctor. Made things sound worse than they were. Simple blood lab work is good for 6 months. She didn't seem to know that. I paid to see another doctor and he confirmed. I also spoke to a Teledoc, with the same results. I brought in a recent blood test from Sonora Quest Labs, which was an extensive lab. Needed cholesterol prescrip.</t>
  </si>
  <si>
    <t>RCS - Client Counselor Relationship</t>
  </si>
  <si>
    <t>Dr. Cameron McKinley Department of Veterans Affairs Veterans Center, AZ (0518V)</t>
  </si>
  <si>
    <t>Male</t>
  </si>
  <si>
    <t>the staff talks to much instead of listening to the problems of veterans. closing the meeting with a very quick check in only allows for a very short response not any time to bring up concerns and problems they may be dealing with.  maybe starting your meeting with every person getting to share what's on their minds. then close the meeting with your classroom lectures.</t>
  </si>
  <si>
    <t>GEC Access Survey - Veteran</t>
  </si>
  <si>
    <t>VISN 2: New York/New Jersey VA Health Care Network</t>
  </si>
  <si>
    <t>Canandaigua VA Medical Center, NY (528A5)</t>
  </si>
  <si>
    <t>Our family loves our case manager and nurse practitioner who helps with my father's home-based primary care. They are very attentive and check in with us to make sure everything is going well.</t>
  </si>
  <si>
    <t>2022-11-01</t>
  </si>
  <si>
    <t>Charlotte Vet Center, NC (0317V)</t>
  </si>
  <si>
    <t>Female</t>
  </si>
  <si>
    <t>[NAME] called to check in on me during the pandemic. He also provided extra coping techniques while in isolation. This is a therapist who genuinely cares about the health and well-being of each client. I am truly grateful for the change that he has made in my life.</t>
  </si>
  <si>
    <t>2022-11-05</t>
  </si>
  <si>
    <t>Jennifer Moreno Department of Veterans Affairs Medical Center, CA (664)</t>
  </si>
  <si>
    <t>Many of the VA appointments take much longer than 90 days. The VA has made it more difficult for veterans to get reimbursed for travel. They know who is approved for travel reimbursement and had it where you could use the kiosk but the administrators believe that by making it more difficult they are saving money.</t>
  </si>
  <si>
    <t>Kiosk - Bad,Travel Pay - Bad,Wait time (arrival to check-out)</t>
  </si>
  <si>
    <t>Wait time to get an appointment is long. Difficult to get reimbursed for travel.</t>
  </si>
  <si>
    <t>2022-11-04</t>
  </si>
  <si>
    <t>Stockbridge VA Clinic, GA (508GG)</t>
  </si>
  <si>
    <t>VISN 7: VA Southeast Network</t>
  </si>
  <si>
    <t>My appointment was @ 1500 and when I inquired about why I had not been called 1520, I was advised have a seat, someone will come get you in a while.
The complex was very noisy. There was a lot of laughing and giggling going on @ the check-in/check-out positions. It appeared the nurses were back there with the receptionists talking loud. It appeared there was no organization.</t>
  </si>
  <si>
    <t>physical space not organized.</t>
  </si>
  <si>
    <t>2022-11-03</t>
  </si>
  <si>
    <t>Providence VA Medical Center, RI (650)</t>
  </si>
  <si>
    <t>VISN 1: VA New England Healthcare System</t>
  </si>
  <si>
    <t>I was unable to attend the appointment primarily due to my inability to disengage from my workplace at the time.  I feel the need to check in with my provider and am finding it difficult during the day to find time to reschedule.  In the future, I will need an in person appointment given that its too difficult to step away from work due to the stress and anxiety.</t>
  </si>
  <si>
    <t>2022-11-02</t>
  </si>
  <si>
    <t>Fort Wayne VA Clinic, IN (610QA)</t>
  </si>
  <si>
    <t>The koisk did not process my appointment. I was early and waited for 20 min.before saying anything .if the koisk was not there I would have talked to a person who would have ensured my presence, and therefore I would not have been counted absent. I know nobody reads these surveys so I don't anticipate any changes I just can't use your self check-in koisk again .One time is enough .In my opinion.</t>
  </si>
  <si>
    <t>kiosk didn't actually check them in</t>
  </si>
  <si>
    <t>2022-11-06</t>
  </si>
  <si>
    <t>From check in clerk , to intake nurse, PA and ED doctor; all showed concern and presented themselves in a positive and professional manner.ðŸ‡ºðŸ‡¸</t>
  </si>
  <si>
    <t>Had to check in with staff multiple times.</t>
  </si>
  <si>
    <t>It was an easy check in &amp; out. I was greeted early &amp; the exam was thorough. My provider is very friendly &amp; professional.</t>
  </si>
  <si>
    <t>Service was excellant for my health care.  POV travel pay is a problem for appointments, input information correctly in pay system yet does not get processed in a timely manner or at all, second compliant about this process, working better with kiosks.</t>
  </si>
  <si>
    <t>Travel pay doesn't get processed in timely manner.  Kiosks for travel pay worked ebtter.</t>
  </si>
  <si>
    <t>There wasnâ€™t anyone a desk when I came in. There was a sign saying step away for a few minutes be back shortly. I waited until 5 minutes before appointment time. I used my smart phone to check in. The txt I received said they would come get me from waiting room. 15 minutes after no one had come. I went next door to check in at that desk. The online check in was ignored.</t>
  </si>
  <si>
    <t>PCI check-in was ignored</t>
  </si>
  <si>
    <t>The phrase "Cradle To Grave" explains the excellent service I received on this appointment. Every aspect of the appointment was outstanding.  From when I checked in the greeting was warm and the conversation was very professional. To the pre-check-in which I enjoyed the conversation while she did her responsibilities. The doctor was very thorough going thru my medical conditions. Happy Veteran</t>
  </si>
  <si>
    <t>Stuart VA Clinic</t>
  </si>
  <si>
    <t>My first visit which was to basically document my file. Too early to assess capabilities of office or staff. I would like to compliment the staff on promptness. I had no waiting time for my appointment and check in and out.</t>
  </si>
  <si>
    <t>Current check-in system leaves a lot to be desired. The old kiosk system was much more fluid than what is now morphing.</t>
  </si>
  <si>
    <t>PCI leaves a lot tobe desired. Preferred old kiosk system.</t>
  </si>
  <si>
    <t>Outstanding service by check in person and the radiology tech who did an outstanding job thankyou</t>
  </si>
  <si>
    <t>The staff at the Pharmacy were friendly, efficient and very helpful. The check in process was quick and I only waited a few minutes before being called to the window. I came back later to pick up my Rx and it was ready. Thanks to the staff at the Pharmacy, my visit was made even better.</t>
  </si>
  <si>
    <t>There use to be Free parking for the Olive St location but its closed now I had to park on the street and pay for parking. Is there another place we are suppose to PARK? Also I am tired of the Scanning a QR code to check in. It never works for me and its easier to do the kiosk they use to have.</t>
  </si>
  <si>
    <t>QR code never works for them. Kiosk was easier. Parking problem with free lot closed.</t>
  </si>
  <si>
    <t>Iâ€™ve been to the Wausau clinic now a few times and it always seems bogged down at check in. The covid screener at the door seems confused as to which desk is open. You canâ€™t see the people until you are standing right in front of the desk.</t>
  </si>
  <si>
    <t>Long wait time to check-in with staff. Physical layout at check-in not good.</t>
  </si>
  <si>
    <t>my appt was for 1300 &amp; 1400. i checked in at 1230. i had a feeling that the girl at check in did not know what she was doing. i was correct. i was called at 1330 for my 1400 appt.  after i got every thing straightened out, the nurse practitioner was very helpful in getting me back on schedule.</t>
  </si>
  <si>
    <t>Personnel are outstanding.  The Kiosks are helpful so more of them would be beneficial.  Label the rooms a little bit more clearly, the building can be a maze.</t>
  </si>
  <si>
    <t>Staff Attitude - Good,Kiosk - Good,General appointment feedback</t>
  </si>
  <si>
    <t>Who ever decided to take out the self check in devices is an Idiot..</t>
  </si>
  <si>
    <t>Liked kiosk</t>
  </si>
  <si>
    <t>The check in station was not available and the only person at the desk could not see because she was on the phone and couldn't be interrupted.</t>
  </si>
  <si>
    <t>when you have to check in at the podiatry and dermatology clinic the desk is down stairs and is very diffulcult to check need to find a way to move check in desk . my opinion move the patient advocate to the bottom floor and put checkin in this area. after all the patient advocate is not or has not been much help to me.</t>
  </si>
  <si>
    <t>I arrived early for my 1000 AM appointment to hopefully get done early.  Instead, I was told at check-in that I would need to have an EKG and blood sample.  I've had this appointment for 9 months, which seemed extreme in and of itself, and could have been done leading up to as opposed to last minute.  I was not taken back for colonoscopy prep until ~1130 AM.  The procedure didn't start until ~1300</t>
  </si>
  <si>
    <t>Not told about pre-procedure tests, so the process took a long time.</t>
  </si>
  <si>
    <t>Goshen VA Clinic</t>
  </si>
  <si>
    <t>I was impressed how organized and fast the check-in was! The Doctor was very professional and informational. Had a very good visit. Thank You!</t>
  </si>
  <si>
    <t>The check in stations at front do not work and could not check in</t>
  </si>
  <si>
    <t>Thought kiosks should work</t>
  </si>
  <si>
    <t>Nurse [NAME] is always very helpful and the front check in desk is very helpful also.</t>
  </si>
  <si>
    <t>The old emergency entrance is closed. I use a walker due the size of the hospital campus. This requires I go through the Mental Health Clinic entrance because the ramp at the Main Entrance is closed or I go to the new Emergency Room entrance. I have to double back through the building to reach the Blue Team Check In. If the old emergency entrance was open from 7 to 7 Mon to Fri it would help.</t>
  </si>
  <si>
    <t>Entrances aren't optimal for walker.</t>
  </si>
  <si>
    <t>Mare Island VA Clinic</t>
  </si>
  <si>
    <t>[NAME] did her usual excellent job.
Two suggestions:
The time between appointments is very long and needs to be improved and
The check-in desk for specialty appointments needs to be manned during the lunch hour.</t>
  </si>
  <si>
    <t>Wait time between appointments is too long</t>
  </si>
  <si>
    <t>The check-in and the pre-evaluation was excellent. But when meeting with the MD it was disappointing. He questioned my concerns and repeatedly mentioned that I wasn't understanding him. I would like to have some other ophthalmologist.</t>
  </si>
  <si>
    <t>Everyone from check in desk, nurses, and doctor were excellent and treated me very well.</t>
  </si>
  <si>
    <t>North Bexar VA Clinic</t>
  </si>
  <si>
    <t>North Bexar VA Clinic is my new clinic after filing a complaint against my previous clinic. I must say, the staff here was beyond awesome. From the check-in staff to the doctor. I feel very comfortable at this location.</t>
  </si>
  <si>
    <t>Sussex County VA Clinic</t>
  </si>
  <si>
    <t>I was greeted in a friendly manner and after being asked the purpose of my visit I was directed to a particular window to check in. I was called in 5 minutes later. The nurse was professional and efficient. I saw Doc [NAME], NP. He examined me and was clearly interested in my concerns. He was thorough and I was very satisfied with the visit.</t>
  </si>
  <si>
    <t>The whole gang was respectful and courteous--the check-in girls, Dr. [NAME], [NAME] and when she sees me, [NAME]. I am very lucky to have such a team working on me.</t>
  </si>
  <si>
    <t>I believe it is a travesty that the travel reimbursement kiosks are not working.  We know you can't get Covid from a touch screen.  I tried to file a claim online and the website is not working.  The past several claims I have filed online are all "Working in Process."  I called the Finance Office and they acknowledged a backlog and problem and recommended I contact my Congress person, which I did</t>
  </si>
  <si>
    <t>Want kiposk for travel pay. Online website isn't working. Complained to Congress person.</t>
  </si>
  <si>
    <t>Much improvement needed between the check in window and the nurse or anybody in back that is in charge.</t>
  </si>
  <si>
    <t>All went well with my appointment...check in was easy, followed by a short wait, saw the doctor, then checked out...all in all I was done in less than an hour...can't beat that.</t>
  </si>
  <si>
    <t>I observed the gentleman at the check in desk for mri/pet scan for about 1:45 while my husband completed his pet scan.  He was courteous, clear with his instructions, and expertly handled the continuous flow of people without any change in his easy going demeanor.  As I left, I knew he was busy, but interrupted him to compliment him and told him he deserved a raise!</t>
  </si>
  <si>
    <t>For the third week in a row I was unable to check-in at the kiosk.  The error I received indicated I was at the wrong location.   I went to the window and successfully checked-in and was told (3 weeks in a row) that my providers location had not been updated in the system.  It is not necessary to contact me, but if someone needed additional information thatâ€™s fine.</t>
  </si>
  <si>
    <t>Provider location not updated in system, but they weren't able to check-in on kiosk</t>
  </si>
  <si>
    <t>The self check in was not working</t>
  </si>
  <si>
    <t>Kiosk wasn't working and they expected it to</t>
  </si>
  <si>
    <t>The Doctor was amazing and the PA. However, the receptionist where short and seemed was not very helpful. They are three people behind the desks, I go to check in and they state GO TO THE KIOSK. They can easily check the veterans in. Very short with me and others that I observed. Then after I checked at the Kiosk sat down they called me up to fill out a form to give to (not enough space to answer)</t>
  </si>
  <si>
    <t>THE CHECK-IN CLERK WAS VERY FRIENDLY AND GAVE ME A MASK SINCE I FORGOT MINE.  THE NURSE TECHNICIAN WAS FRIENDLY AND PROFESSIONAL</t>
  </si>
  <si>
    <t>From check-in to check-out Brownsburg made me feel welcome, valued, and well taken care of by the front desk and blood draw team. A pleasant visit to the VA.
Thank you.
[NAME], x7404</t>
  </si>
  <si>
    <t>I had a cardio procedure for the 1st time&amp; was VERY nervous. The staff on the 5th floor was AMAZING. From check inâ€”to changing into my robe &amp; the procedure I was made to feel comfortable.
Dr. Sami N. &amp; his staff were the best!!!</t>
  </si>
  <si>
    <t>I dont know how to use my smart phone for checkin or checkout. To tell the truth this was a Bad idea. need to go back to the way it was.</t>
  </si>
  <si>
    <t>Don't know how to use smartphone to check-in.</t>
  </si>
  <si>
    <t>My concern was that I had fallen through the crack on annual welfare checkups as it's been over 2 years since I was seen and was told that they would contact me to set up a appointment a year and a half ago. I just happen to check into it while I was there getting my flu and COVID vaccines.</t>
  </si>
  <si>
    <t>Thank God for the pharmacy department check-in representatives keen attention to detail. Richmond VA nurse practices was not on the authorized list to fill the prescription she gave me and the pharmacy representative at [NAME] suggested I go the ER there to get the prescriptions I needed. The doctor on duty gave me entirely different prescriptions. Awesome pharmaceutical representative!</t>
  </si>
  <si>
    <t>Some other clinics need to send their employees to this clinic to understand and see how a patient should be respected and treated.  From check in to check out, the respect and compassion I receive while I am there is outstanding, it is so good that I don't even mind the 1 hour drive to get there.</t>
  </si>
  <si>
    <t>Newnan VA Clinic</t>
  </si>
  <si>
    <t>The lab experience was great as always, the nurses were caring, efficient and proficient in drawing blood. the issue came afterwards! I had requested a flu shot when I set the appointment and notified the check-in attendant of that when I reported for the lap work. The lab work was done immediately (around 8:35 for a 9 AM appointment); sadly at 9:45 I left without the flu shot...</t>
  </si>
  <si>
    <t>The Goose Creek Eye Clinic is a great care provider team. It is well run.  The check in is efficient and friendly.  The pre-visit exam are through and attentively conducted.  Dr [NAME] is an exceptionally caring person and knowledgeable doctor. Her interest in her patient is obvious.  She makes you feel like she cares because she listens and then provides expert guidance.</t>
  </si>
  <si>
    <t>The tech that drew my blood was great. I've known him for quite some time. The person at the check in desk was less than pleasant. Kind of reminded me of the old VA before Trump told them to get their shit together or hit the road. The VA needs to fix this before it gets back to the way it was before.</t>
  </si>
  <si>
    <t>[NAME] and [NAME] did an excellent job in trying to find out what was the cause of my unsteadiness and other issues.  The check in nurse was also very helpful, but unfortunately, I couldn't remember her name at 7:30 AM...It was a good experience.</t>
  </si>
  <si>
    <t>Quick check in, then assigned to room to visit doctor was less than 5mins. Staff is very nice and respectful. VA Medical Center is very organized.</t>
  </si>
  <si>
    <t>I was in and out in less than minutes including check in time.
Very efficient and compassionate.</t>
  </si>
  <si>
    <t>This apt was made for the Covid Booster for myself and my wife as were all the other appointments for shots.  We have both received 2 Vaccines and 3 Boosters since the 
Vaccine became available in Mar. of 2021. Somehow my wife's apt did not get listed on the check-in sheet, but we were blessed that there was an xtra Booster available.  I don't know what caused the mix-up and am glad it worked out.</t>
  </si>
  <si>
    <t>X-ray and ultrasound techs were helpful and friendly. Check in for appointments was fast and courteous and there was plenty of room for the patients in line to have personal space. The whole process was smooth and waiting times were minimal.</t>
  </si>
  <si>
    <t>Appreciate the removal of the kiosks, stops creating bottlenecks, though it is easier to hear people give their information to the clerks</t>
  </si>
  <si>
    <t>Likes that the kiosk was removed</t>
  </si>
  <si>
    <t>The Eye Clinic- Ophthalmology was terrific. Check in was fast and the clerk was very nice. The nurse who I saw in Eye Clinic was top notch- very pleasant, skillful, experienced, and fast. The ophthalmologist was also very personable.  He listened to what I had to say. 
He explained my conditions and also showed me pictures of the retina. He showed patience and interest   -Doctor [NAME]</t>
  </si>
  <si>
    <t>I have had excelent service by all my Drâ€™s and the check in people Hansen really good on taking of of my needs</t>
  </si>
  <si>
    <t>The check in, check out, wait time, actual visit and having lab work was all done in a very timely manner . I have no complaints and am so thankful to get the services I receive from them.</t>
  </si>
  <si>
    <t>PLEASE bring back the Kiosk for travel. Waiting 6 to 8 weeks for reimbursement is crazy. When we used the Kiosk it was less than a week.</t>
  </si>
  <si>
    <t>Wants kiosk for travel pay. Long wait to get reimbursement.</t>
  </si>
  <si>
    <t>Extremely hard to check in. The number listed to text didn't work.  There has to be a better way, please find one.</t>
  </si>
  <si>
    <t>Hard to use PCI. Number to text didn't work.</t>
  </si>
  <si>
    <t>I am not a fan of the new "text/QR Code" check-in. This brings up questions about security and the kiosks used to be a source of other info about next appointments. Also, we seem to be moving more and more away from human interaction and relationship building with a care team.</t>
  </si>
  <si>
    <t>PCI brings up secuirty concerns for them. Kiosk also had other features, like next appointments.</t>
  </si>
  <si>
    <t>Great Falls VA Clinic</t>
  </si>
  <si>
    <t>After I checked in at the kiosk, I had to wait almost 45 minutes before I was seen because I was told I wasn't checked in.  I spoke to the clerk at the front desk and they verified I was checked in.  So I went back to the waiting room and they told me I still wasn't checked in but the provider saw me anyway.  This was very frustrating since I still work and have to take time off to see the doctor.</t>
  </si>
  <si>
    <t>Confusion about if they were checked in  or not. They used the kiosk and clerk.</t>
  </si>
  <si>
    <t>Great attention from check in clerk and Dr nurse.</t>
  </si>
  <si>
    <t>Not a fan of getting rid of the check in kiosks!</t>
  </si>
  <si>
    <t>I drive  an hour and fifteen minutes to the hospital to receive an injection that takes about two minutes to administer. Waiting for an additional hour and twenty to thirty minutes to be seen once I check in to the desk is unacceptable! This happens way too often on my visits to my appointments. It's upsetting and gives me plenty to tell others about after my hour and fifteen minute drive home.</t>
  </si>
  <si>
    <t>long wait time</t>
  </si>
  <si>
    <t>The  link to check in was very slow, had to reload twice to  show I was checked in</t>
  </si>
  <si>
    <t>Long line to check in with staff</t>
  </si>
  <si>
    <t>I found it difficult to check in without help. Two times (Lab and Pharmacy ) I was told I had an old card (I was in service during the Korean War) and another patient helped me check into the lab. In the pharmacy a person came out and checked me in. No one suggested I get a new card. When I got home I called the VA and they thought I could get a new card at  J.B. Yes you can contact me. [NAME]</t>
  </si>
  <si>
    <t>had trouble using VHIC card to check in.</t>
  </si>
  <si>
    <t>Why did the VA do away with the kiosks for requesting travel pay? We now have to fill out our travel voucher on paper. Just like the old times. We need to be moving forward in technology. Thanks</t>
  </si>
  <si>
    <t>Why did kiosk for travel pay go away. Paper form seems like a step back</t>
  </si>
  <si>
    <t>As you walk in the door the desk personnel greet you with a smile, ask the COVID questions discreetly and assist you with how and where to check in. They offer directions and/or assistance if needed to your appointment. Very professional and informative they try to make your visit as stress free as possible.</t>
  </si>
  <si>
    <t>On entering, the staff were welcoming and cheerful. It took less than a minute to check in and get directions to the hearing clinic. Once at the appointment the technician was respectful, courteous, and made sure I understood every step and what to expect while performing the calibration and fitting of my hearing aids and the the final testing. A great job! Well done!</t>
  </si>
  <si>
    <t>The check in stations have been removed and now requires the use of a smartphone. Does everyone have a smartphone?  Seems a bit presumptive to me. I don't like the idea.</t>
  </si>
  <si>
    <t>Why were kiosk removed. Not everyone has a smartphone</t>
  </si>
  <si>
    <t>Dr [NAME] is an excellent doctor. He listens carefully, is thorough and his exams and his conversation with me. The south west clinic is by far the best clinic that I have ever been associated with. You are all professional, polite and most of all efficient. Thank you all from the check-in desk, the nurse, and my doctor Dr [NAME].</t>
  </si>
  <si>
    <t>Everything was very god Check in was easy to do Didnâ€™t wait very long at all</t>
  </si>
  <si>
    <t>Somebody dropped the ball at check-in.  About 30 minutes past my scheduled appointment time the Audiologist I was scheduled with came to the main waiting area and asked my name.  She then asked if I had checked in (I had) and apologized saying the computer did not show that I had checked in.</t>
  </si>
  <si>
    <t>Wasn't checked in after they thouht they checked in</t>
  </si>
  <si>
    <t>The check in nurse was exceptional Dr. [NAME] was ABSOLUTLY great like always ðŸ˜ŠðŸ˜ŠðŸ‘ðŸ»ðŸ‘ðŸ»ðŸ‘ðŸ»ðŸ‘ðŸ»</t>
  </si>
  <si>
    <t>Put the kiosk back, because I still havenâ€™t got paid from my derma visit yet, and I filled out the paperwork</t>
  </si>
  <si>
    <t>Wants kiosk for travel pay</t>
  </si>
  <si>
    <t>The people at the check-in desk are always professional and friendly. The doctor [NAME] was also very professional and explained in detail everything that I needed to know on how to use my new hearing aids and the peripheral equipment that came with it. I have been to the Oceanside VA clinic several times for vision/hearing appointments and it has always been a pleasant experience.</t>
  </si>
  <si>
    <t>Show Low VA Clinic</t>
  </si>
  <si>
    <t>The gentleman in Window 4 for check-in and scheduling at the Show Low CBOC is rude and shows no interest in even being at work.</t>
  </si>
  <si>
    <t>Podiatry, from the central elevators, is all the way down to the end of a hallway, &amp; a turn - this for people who may, hobble, limp, or otherwise self mobility patients walk a long way.
  Fazing out the kiosks used to checkout for travel is problematic for (me) many who don't have access to a computer is a pain</t>
  </si>
  <si>
    <t>No kisk for travel pay is problematic. Website is a problem for people without a computer</t>
  </si>
  <si>
    <t>The self check in is a great concept, but it does not identify what building your appointment is being held. I checked in 30 mins prior and sat in the wrong building. Would have been nice to have the self check in notify me of my appointment location.  Thank you.</t>
  </si>
  <si>
    <t>Didn't have the building location, so they were in the wrong place.</t>
  </si>
  <si>
    <t>Check in personnel need trained pn HIPPA since it was clearly violated when they tracked me down to discuss my health in front of other patients after I had already checked in.</t>
  </si>
  <si>
    <t>Health info discussed in open area</t>
  </si>
  <si>
    <t>Laboratory Technicians from check-in to departure was outstanding.  The wait time was very minimal, in fact, I was taken prior to my scheduled appointment time.  Everyone was extremely helpful and friendly, and very courteous.  I thoroughly enjoyed my visit and appreciate everyone for what they do.  Thank You Very Much !</t>
  </si>
  <si>
    <t>Both during the check in  procedure and lab technician taking lab samples they were courteous and professional. Thank you to both</t>
  </si>
  <si>
    <t>The assigned appointment is followed very well. One have only a few minute wait
after check in.</t>
  </si>
  <si>
    <t>Short wait time</t>
  </si>
  <si>
    <t>Usual extreme professionalism and expert knowledge based individuals ads always.  Usual very friendly staff and check-in.  Usual superb info both before, during and after procedures.  I couldn't speak more highly of the VA Dermatology Staff and the Minneapolis VA in general.</t>
  </si>
  <si>
    <t>The improvement in attitude over the last 10 years is greatly appreciated.  The appointment clerks and check in clerks are a lot nicer than they used to be.  Good for you VA.</t>
  </si>
  <si>
    <t>Your Lab operates very efficiently.  I was called within minutes of check in, my blood was drawn and I was on my way.  My wifeâ€™s doctor order blood work for her today.  He advised her to be at the hospital at 06:00 or be prepared to wait hours to get her blood drawn.  What a contrast.</t>
  </si>
  <si>
    <t>Why were the sign on kiosk not working - no reason given. A printed sign, to sign in with your iphone. Just went to the counter to sign in. Don't need more apps on the iphone.</t>
  </si>
  <si>
    <t>Don't need more apps on the iPhone</t>
  </si>
  <si>
    <t>Why did you get rid off the kiosks. They were convenient to file the travel claim.</t>
  </si>
  <si>
    <t>Wwant kiosk for travel pay</t>
  </si>
  <si>
    <t>Due to discontinuance service, it has not been possible to receive posted travel reimbursement requests.  Four claims were made for visits in late spring and early summer of 2022.  All claims were posted to the travel office at Puget Sound Health Care System.  The Kiosk terminal, until early spring, functioned properly and reimbursement was paid by check.  Four payments are outstanding.</t>
  </si>
  <si>
    <t>Travel claims have not been reimbursed.</t>
  </si>
  <si>
    <t>Laguna Hills VA Clinic</t>
  </si>
  <si>
    <t>Check-in was fast and easy! The blood draw was painless. My best experience thus far with the VA.</t>
  </si>
  <si>
    <t>PFC James Dunn VA Clinic</t>
  </si>
  <si>
    <t>Please bring back the kiosk for check-in and filing for travel reimbursement.</t>
  </si>
  <si>
    <t>I was surprised by the new check in with the smart phone.  It was not a issue with me, but I heard other Veterans complain.</t>
  </si>
  <si>
    <t>PCI worked for them, but surprised that it existed.</t>
  </si>
  <si>
    <t>No welcome or directions to which of three windows to check in.  If I hadn't called a week ahead of time there would have been no lab prescription for my blood work.  I would have been told to come back.</t>
  </si>
  <si>
    <t>Wayfinding to location was difficult</t>
  </si>
  <si>
    <t>They have taken out the kiosk making it difficult to fill for travel.  I dont know how now and the online site si not easy to use.  I was unable to file.  Ive had 2 claims denied because they said I didnt complete my appointment.</t>
  </si>
  <si>
    <t>Online system isn't easy to use and had claim denied.</t>
  </si>
  <si>
    <t>They have the best doctors here every department that I go to has been great.cardio,dental, optometrist, podiotrist, lab,nail care  pharmacy and check in they're all the best thank them all.</t>
  </si>
  <si>
    <t>I was a walk in lab for some blood test my Dr had ordered, check in was quick the wait was about 5 minutes to get labs drawn.  The nurses are always so friendly and make you feel at ease getting blood drawn.  Alway have no problem hitting a vein.</t>
  </si>
  <si>
    <t>1. Not enough - check-in staff...</t>
  </si>
  <si>
    <t>Need more check-in staff.</t>
  </si>
  <si>
    <t>Montevideo VA Clinic</t>
  </si>
  <si>
    <t>Why did you remove all the kioskâ€™s for travel pay? Was it to easy? Also I only get a check up once a year and only have 30 minutes to go over everything,
Always cut short never was with doc
[NAME]. Why?</t>
  </si>
  <si>
    <t>Why were kiosks cut for travel pay</t>
  </si>
  <si>
    <t>When checking in you stand back 6 feet . The clerk in close to 10 feet from you, But the computer for check in blocking the clerk view is blocked The clerks on each side of the  is blinded buy a wall</t>
  </si>
  <si>
    <t>The reception lady at the check in desk was Awesome!</t>
  </si>
  <si>
    <t>Card reader didn't work at the pharmacy check in had to manually enter data. Not really a complaint just a note incase not yet reported</t>
  </si>
  <si>
    <t>I like the kiosk makes everything go smooth and everyone was very courteous and thank you all for what you do for us Veterans</t>
  </si>
  <si>
    <t>kiosks makes things go smoothly</t>
  </si>
  <si>
    <t>Be consistent with check-in process (in ortho). Every time I check in it has been different. Use the kiosk, don't use the kiosk, kiosk out of order, check-in at this counter, no, check-in at that counter, no one at first counter, no one at second counter, escorted back to first counter. Attitude from person who called out my name before I could get back to second counter because I wasn't there.</t>
  </si>
  <si>
    <t>Gets different information about how to chek in everytime that they come</t>
  </si>
  <si>
    <t>Sometimes you guys are stupider than a rock bring bring back the  Kiosk,</t>
  </si>
  <si>
    <t>Bring back kiosk</t>
  </si>
  <si>
    <t>Appointment scheduled for next day which never happened before. Staff extremely nice. Glad to see kiosk removed and interaction with front desk restored</t>
  </si>
  <si>
    <t>Likes that kiosk is removed</t>
  </si>
  <si>
    <t>I was asked to checkin 15 mins early and wasnâ€™t seen until 20 mins after my appointment. Also, one of the staff didnâ€™t apologize after stepping on my foot. Despite this, other staff members were nice and answered my questions. I decided to also get X-rays and flu shots while I was there. The X-ray techs &amp; nurses who administered my flu shots were a delight &amp; wonderful.</t>
  </si>
  <si>
    <t>Add check in location to appointment printout. At Wilkes Barre VA the entrance is on ground floor but check in is up one floor and no signs directing new patients upstairs</t>
  </si>
  <si>
    <t>Add location to appointment prinout. Wayfinding is difficult.</t>
  </si>
  <si>
    <t>Everything was smooth and fast. Check-in, the x-ray technician, check-out. Everyone was professional and pleasant. 10/10</t>
  </si>
  <si>
    <t>The new check in system is extremely difficult for a person with low vision and has very limited knowledge of computers.  The travel pay check in is impossible for a person with these limitations.</t>
  </si>
  <si>
    <t>After having lab work I was told that I could proceed to my primary care visit without having to go through the kiosk again, this was not the case, but I had plenty of patience. My recommendation is to advise patient to go through sign procedure again.</t>
  </si>
  <si>
    <t>Confusion on check-in method needed and when to checkin for multiple appt.</t>
  </si>
  <si>
    <t>Like always, perfect service. I do miss the kiosk, tho!</t>
  </si>
  <si>
    <t>Kiosk - Bad,Staff Attitude - Good</t>
  </si>
  <si>
    <t>Missses the kiosk</t>
  </si>
  <si>
    <t>Lenexa VA Clinic</t>
  </si>
  <si>
    <t>The check in was easy. The audio section was very professional and they went the extra effort to help me. Thanks</t>
  </si>
  <si>
    <t>Ogden VA Clinic</t>
  </si>
  <si>
    <t>I believe that the VA is wasting funds in the appointment check-in process, that would be better utilized to directly benefit veterans. 
The former check-in process used a kiosk system that was relatively reliable and did not require staff to complete check-in!
The new process of using a QR code does not work well, especially with older vets.
Check-in now requires additional staff for check-in.</t>
  </si>
  <si>
    <t>QR code doesn’t work for older Vet. Liked kiosk system</t>
  </si>
  <si>
    <t>From check-in to check-out, the experience was fantastic! The nurses were friendly &amp; professional. Five minutes after meeting Dr. [NAME], I thought I "won lotto"! A lot of her questions &amp; details, were never asked or given to me before? I was comfortable &amp; satisfied with my visit! Maybe, Dr. [NAME] and the Lake Wylie Team should "Mentor" other clinics? They were a, "Breath of Fresh Air"!</t>
  </si>
  <si>
    <t>Exceptional team of professionals.  Two appointments in one day and both were expeditious and without delay.  Checking in (two different areas) was easy and the upbeat demeanor of not only the check-in staff but the support team was superb.  I often brag about the VA compared to Kaiser and will continue to do so solely based upon the consistent care I receive from the professionals at the VA.</t>
  </si>
  <si>
    <t>please improve signage to get to clinics during construction on Basement floor.
please have a staff member working in the check-in area, as no-one was working there when I tried to check in.</t>
  </si>
  <si>
    <t>Wayfinding is difficult.</t>
  </si>
  <si>
    <t>Go back to using kiosks for mileage. We are in the 21st century. Paperwork should be gone!</t>
  </si>
  <si>
    <t>at the Joliet Clinic,veterans can no longer request mileage reimbursement at the kiosks,this was a convenience for veterans that was well appreciated by the majority of veterans that use the Joliet Clinic.It would be nice to see this convenience reinstated.</t>
  </si>
  <si>
    <t>The first time I visited the PT Clinic at this location check-in process did not work properly and the receptionist treated me as if I was an interruption in her day.  The issues with check-in process were corrected by my next visit, thankfully minimizing my interaction with the receptionist.</t>
  </si>
  <si>
    <t>Recommend the clinic decide if there is electronic check in or manual check in.  The either or system does not work to be seen in timely manner or in the order of arrival.</t>
  </si>
  <si>
    <t>The new check-in policy is a disaster making veterans walk from one end of the hospital to the other to check in and then go back to the providers it doesnâ€™t alleviate anything just congestion nothing</t>
  </si>
  <si>
    <t>Waited at front entrance check in window only to be told to check in at MRI station. Should have been instructed to report directly to MRI station when appointment was confirmed.</t>
  </si>
  <si>
    <t>Didn't know where to check-in.</t>
  </si>
  <si>
    <t>When I arrived at the window, the greeter was annoyed that I did not have my VA card out. Even though we had to wait a few minutes because she was in the back talking to her co-workers instead ensuring that there were no Veterans waiting. Anyway, I finished venting... my recommendation is to have a sign posted at the kiosk and at the window to remind the Veterans to have their VA ID ready.</t>
  </si>
  <si>
    <t>I warm greeting  when I entered the building. The staff at the check in desk were also nice and welcoming.</t>
  </si>
  <si>
    <t>My lab visit was great. From the check in people to the lab techs everyone was kind and professional.</t>
  </si>
  <si>
    <t>the check-in staff told me where to get my shot.  It was in a different place then last years shots</t>
  </si>
  <si>
    <t>Wwayfinding was difficult</t>
  </si>
  <si>
    <t>I had a recent lab appointment that wasn't signed so wasn't allowed to do the labs and sent home. Also no travel pay. Then when rescheduled again lab wasn't sure about what was needed, but was able to complete labs. However I didn't ask for travel pay. I never know where to check in or where my team is if I have one. Thank you</t>
  </si>
  <si>
    <t>Please open travel kiosk
 Doing online is a nightmare!</t>
  </si>
  <si>
    <t>Checking in is a mad house, for my experience I checked in at front desk to be told to check in at the specialty desk. No one was at the specialty desk with no indication on what to do. This mad it a mad house with veterans trying to check in everywhere. Mean while my wife tells me my provider came out and called my name. Plus all the check in/travel computers are down which added to the mad house</t>
  </si>
  <si>
    <t>No staff at check-in desk, but a lot of Veterans needed checked in</t>
  </si>
  <si>
    <t>Easy to check in and was seen on time. The hearing specialist listened to all my hearing concerns and addressed each concern. The audiologist department has always taken great care of any problem I have had. Professional Team.</t>
  </si>
  <si>
    <t>The dental receptionist was very helpful in helping me check in with the new 53079 system manager. 
Dr [NAME] and her assistant were friendly and caring as always.</t>
  </si>
  <si>
    <t>Everyone I encountered from check-in to check-out was courteous, competent and professional.  My PCP spent a lot of time with me to go over my bloodwork, symptoms, and solutions. He even asked if I wanted a flu shot, and I received it almost immediately.  From time to time I hear gripes and stories about the VA. I have never had an issue in Newington!</t>
  </si>
  <si>
    <t>waited 45 mins past my scheduled appt. time, Never saw my provider for 2nd appt. Check in is HORRIBLE and procedure often leads to NO show status, as they want you to check in at front desk for each appointment. if you have a  9, 10 &amp; 11 o'clock appt. they want you to go to each one then come back to front desk to check for the next..etc..etc. So you have to get in line again.</t>
  </si>
  <si>
    <t>long wait time. Checking in for multiple appt is difficutl</t>
  </si>
  <si>
    <t>appointment for physical therapy was scheduled for 0700, on multiple days, patients are requested to be there at least 15 minutes before scheduled appointment...however no one from the office was there till after 0700...leaving patients, who are disabled to stand in the dark hallway waiting for someone to open the office to check in and sit down...</t>
  </si>
  <si>
    <t>Staff not at check-in desk at opening time</t>
  </si>
  <si>
    <t>I like WR VA Med Cen and have never felt uncomfortable there with any individual or treatment.  When I arrived at the ECHO/EKG check in desk, the check-in person was a little rude. After I gave her my information, she rudely stated that I was there for EKG and not ECHO.  I asked if I should go somewhere else, she rudely replied, no, they will call for you. It may have been just her personality.</t>
  </si>
  <si>
    <t>My experience wasn't as to expected. I was seen by a nurse in the emergency area, but when I got my paperwork, The level of pain and allergies I stated wasn't reflected on my discharge papers. Nor, the bracket tag. The check in said they had no info. on me there and I had to do whole check in paperwork process all over to check in. How is that possible. Visit wasn't reassuring.</t>
  </si>
  <si>
    <t>From check in to fitting to questions and answers everything went well. Everyone was polite and courteous.</t>
  </si>
  <si>
    <t>Would like to see the check in kiosks put back into use. Although not an issue for me at this time I saw many veterans with mobility/resperatory issues that struggled to get down to the basement in order to check in after doing their bloodwork. Also it is a long walk to get down to the cafe open to veterans in order to get food/drink after their 12 hour fast for bloodwork. Need something closer.</t>
  </si>
  <si>
    <t>I would like to see the kiosks back for check-in and travel pay.  It was a fast process and no paperwork.  Now I have to fill out paperwork to get my travel pay and usually wait in line to get checked-in.  I do not use my phone to check-in.</t>
  </si>
  <si>
    <t>Want kiosk for check-in and travel pay</t>
  </si>
  <si>
    <t>Short handed staff. Only one lady on the check in/out desk greatly slowed entry. Combined with a patient on an ambulance gurney with 2 paramedics in attendance.</t>
  </si>
  <si>
    <t>Check-in cleark short staffed.</t>
  </si>
  <si>
    <t>Not everone has a smartphone to be able to check in with and having to find a where a person is to enable checking is stupid.  Go back to being able to check in with your VA identity card which was the best way to do in person.  VA has taken a step backward as far as I am concerned with checkins...</t>
  </si>
  <si>
    <t>Not everyone has a smartphone.Go back to kiosk</t>
  </si>
  <si>
    <t>Bring the check in kiosks back in service.  More efficient and wouldnâ€™t have to wait in line.</t>
  </si>
  <si>
    <t>I was referred out into the community for a MRI. A disk was provided for VA of my images. My primary care check in desks wouldnâ€™t take it. Radiology wouldnâ€™t take the disk. I walked to neurology front desk and it was taken. Why isnâ€™t there a procedure for radiology to take it to scan into a patientâ€™s records?</t>
  </si>
  <si>
    <t>I have always been treated kindly and quickly from check-in staff to the nurses and Doctor.</t>
  </si>
  <si>
    <t>Robert D. Maxwell Department of Veterans Affairs Clinic</t>
  </si>
  <si>
    <t>Getting rid of the check in kiosk is a major mistake. They were fast and easy to use.  Now Iâ€™m back to waiting in line.</t>
  </si>
  <si>
    <t>Everybody from check in to check out was Great. I even got in a little earley. My appointment went very well with no issues.</t>
  </si>
  <si>
    <t>the check-in lady at the front desk of the Audiology Dept that day should try smiling and maybe even greeting patients and address them like human beings not like just another number. Her demeanor was very dry and condescending.</t>
  </si>
  <si>
    <t>The secretary was very nice in checking me in,  the Kiosk was not working, My Provider, [NAME], is very nice and knows his business. He is easy to talk  too and have nothing but good things to say about his service.</t>
  </si>
  <si>
    <t>Veterans should be able to sign up to get shots and boosters for Covid -19 and flu shots at the check in counter, and I think if you get milage for a visit it should be automatic, I had forgot last time and need to go back to sign in for it. Thanks so much for the great service the VA provides to all the veterans and myself. Its a very great help to all of us .</t>
  </si>
  <si>
    <t>The technician Linda was very helpful and easy to work with!
Having to go across the street for a â€œCovid checkpointâ€ was rather silly. All the usual questions that could have been asked at appointment check in.</t>
  </si>
  <si>
    <t>This office check in has completely gone down hill, with the lack of help, if you call this office, donâ€™t expect anyone to answer, you get pushed to another location. That need help immediately.</t>
  </si>
  <si>
    <t>Harlingen VA Clinic-Treasure Hills</t>
  </si>
  <si>
    <t>The service I had was great. From check in to seeing the nurse and getting what I needed.</t>
  </si>
  <si>
    <t>There were two different people at the open walk-in stations that seemed not to care and after waiting more than 2 minutes without an acknowledgement I went to another station for assistance. This occurred during check-in and checkout. I suffer from severe back pain and standing without moving is really painful for me.</t>
  </si>
  <si>
    <t>I found it difficult to get in the door for the the appoint at Audio Clinic.  Sometimes standing in the cold too long just to get a slip of paper that was sometimes not even asked for at the clinic.  The check-in people had a hard time hearing me as I did them.</t>
  </si>
  <si>
    <t>With kiosks being phased out, checking in for appointments is cumbersome and generally slow.  Check in desks are sometimes vacant.</t>
  </si>
  <si>
    <t>Check-in desks are vacant. Current check-in with staff is slow.</t>
  </si>
  <si>
    <t>Staff in all sections from the front desk, sign in sections for appointments and overall were great. Only exception is the gentleman at the prosthetics section who signs you in. Airforce lanyardâ€¦went in to check in to see if they had a brace recommended to me by the Dr. Gentlemen told me it would have to ordered as they were OOS. I was a bit confused so I asked again and he seemed to get agitated.</t>
  </si>
  <si>
    <t>It would be nice if the folks that work the check-in and check-out desk have a better attitude towards the veterans as they check in.</t>
  </si>
  <si>
    <t>After using check in kios I wasnâ€™t sure which pod to sit near. Doctor name on board was different from where they called me into.</t>
  </si>
  <si>
    <t>Wasn't sure where to go sit after checking in on kiosk</t>
  </si>
  <si>
    <t>There is absolutely no patient privacy in the much too small lobby/waiting area. Anyone waiting can hear entire conversations between patients and the staff behind the plastic/glass at the check in/out windows.  There is no clock in the waiting area.  There is not security personnel visible in the waiting area. York can take notes from the Las Vegas VA which was outstanding.</t>
  </si>
  <si>
    <t>No privacy in waiting room</t>
  </si>
  <si>
    <t>The persons at the check-in counter are not people friendly with the customers or people checking in with appointments. The person that checked me in had an unfriendly attitude we need the automated check in machine to avoid non morning VA employees. Courtesy and respect is a two way street and your employees have neither ones.</t>
  </si>
  <si>
    <t>With the new sign-in system, assistance was provided to get check-in.  Medical staff was superb.</t>
  </si>
  <si>
    <t xml:space="preserve">Need assistance to complete PCI. </t>
  </si>
  <si>
    <t>Once you get an appointment (sometimes it takes a while) the service is fine, check-in is easy, and there is usually little or no wait time to get into the Doctor's office...</t>
  </si>
  <si>
    <t>Very disappointed in the fact that you all have removed the Keyosh where one can check in and file for travel, which is easy, but difficult for one to do on enter net</t>
  </si>
  <si>
    <t>Bring back kiosk for check-in and travel pay</t>
  </si>
  <si>
    <t>Check in process was broken.  My primary provider informed me that she would no longer be my primary provider.  I still don't know who it will be.  Am awaiting appointment for Cat Scan.   Waiting for my prescriptions to be renewed.  Don't feel very important to the VA based on email and provider/nurse interactions.</t>
  </si>
  <si>
    <t>The check in process was easier and more secure with the kiosk check in.</t>
  </si>
  <si>
    <t>I do not like the QR code check-in. 
I do not like the QR code to a website for travel reimbursement which Iâ€™ve been unable to file for</t>
  </si>
  <si>
    <t>Doesn't like pCI.</t>
  </si>
  <si>
    <t>The front desk ladies are always friendly and helpful. My wife, who usually sits in the waiting area while I see the doctor, has told me that they are very patient with folks who are hard of hearing or who just want to have a conversation with them. They make check in and check out easy and pleasant.</t>
  </si>
  <si>
    <t>I didnâ€™t like the removal of the kiosk, made it harder to put in for travel pay!</t>
  </si>
  <si>
    <t>Removal of kiosk made travel pay harder.</t>
  </si>
  <si>
    <t>Understanding the system for moving/promoting physicians and PAs from within, I have to say that it was REALLY NICE to have Dr. [NAME] check-in with me during this visit. He is no longer my Primary Care Physician but, if I actually had a choice, he would be. He is the model that the VA should use in deploying excellence in health care.</t>
  </si>
  <si>
    <t>Check in personnel at Pharmacy were not very helpful.  They were unable to answer questions as to if I should stop one medication before starting another and did not seem to know where or who to turn to for assistance (they may have been in training, I'm not sure). I could just be being picky here, I was tired, but it did put me off a little so just sharing in case it's a trend. Opted for delivery</t>
  </si>
  <si>
    <t>The Dental clinic staff and doctors are great but the receptionist should be trained to make eye contact, answer questions, and communicate with veterans to help check them in when the kiosk is not working</t>
  </si>
  <si>
    <t>This was my first visit to a VA Clinic since 2007 because my PCM is at Nellis AFB Hospital.  The volunteer staff at the front assisted in using the sigh-in kiosk. The nurse practitioner was very thorough and organized.  She updated my record and submitted the referral to audiology per my request.  The audiology clinic called the next day to schedule my appointment.  Great job all around!</t>
  </si>
  <si>
    <t>"Great job all around!"</t>
  </si>
  <si>
    <t>From the shuttle driver to the check in ladies to the doctors I was treated with respect, and shown friendly caring serviceâ€¦.thank yâ€™all</t>
  </si>
  <si>
    <t>My appointment was at 0800. Security would not allow anyone to enter before 0800. Therefore No one could check in the required 15 min prior to this time. It was cool out and there were several older vets waiting to enter. This is ridiculous! Don't have 0800 appointments if you won't let anyone In  the building before 0800!</t>
  </si>
  <si>
    <t>Couldn't check-in early, because building wasn't open.</t>
  </si>
  <si>
    <t>I found the nurse and doctor to be extremely professional, attentive, and respectful. Respectfully addressed my concerns. 
With empathy and kindness, I explained my condition and proposed treatment. 
!!The person checking you in was unprofessional. Instead of maintaining awareness of the patients waiting to check in and out, they were conducting personal business.</t>
  </si>
  <si>
    <t>Do not stop using the check in kiosks. The kiosks are easy to understand and use. The kiosks are more efficient than waiting for a person.</t>
  </si>
  <si>
    <t>Kiosks are easy to understand and use.</t>
  </si>
  <si>
    <t>The check in took an abnormally long time.</t>
  </si>
  <si>
    <t>Check-in took a long time</t>
  </si>
  <si>
    <t>I like walking in and walking up to a real person to check in. I'm not capable to go on my phone and check in.</t>
  </si>
  <si>
    <t>Not capable of going on phone to check-in.</t>
  </si>
  <si>
    <t>Alpha Team from check in to setting up my next appointments was absolutely fantastic! Anthony and Dr. [NAME] werr amazing as well.
This was my first VA healthcare appointment after retiring, and I was very impressed on how well the VA treats itâ€™s Veterans. Thank you.</t>
  </si>
  <si>
    <t>When claiming travel mileage it was so easy using the kiosks at the VA, but now we have to go to a website and enter the information and it is very confusing.  It worked good before, why change to a confusing program?  I have not seen a travel payment since the change.</t>
  </si>
  <si>
    <t>I arrived 20 minutes early for my 11:00 appointment and spent ALL of my extra time circling the parking tower. I found a spot 5 minutes before 11, and barely arrived at the check-in on time. More parking is needed on campus due to the increased numbers of veterans, and I don't know the answer.</t>
  </si>
  <si>
    <t>More parking needed</t>
  </si>
  <si>
    <t>The tech doing my study was very nice and the check in folks were very nice. For a first visit I give them an A+.</t>
  </si>
  <si>
    <t>The front door check-in is intimidating! Does not make me feel like I can be trusted to manage my own health. If masking are needed, then ask the person to put one on. If not, no treatment. Thank You.</t>
  </si>
  <si>
    <t>The new way of checking in sucks. Bring back the kiosks. Travel pay is difficult  to get now and check in takes alot longer. The new app that I was instructed  to install for these dosnt work and I now get ads from the site . Why fix a system that worked</t>
  </si>
  <si>
    <t>Check-in takes a lot longer. Bring back kiosks. Travel pay is difficult now.</t>
  </si>
  <si>
    <t>I showed up the day of my appointment to get my labs done prior. I was the first to check in and sat in the waiting room for 45 minutes while no one was taken for labs. I conducted my appointment with my PCP and then had to wait to do labs after the appointment.  If the lab opens at 0730 then they should start taking patients at that time. I cant take more time off of work just to do lab work.</t>
  </si>
  <si>
    <t>Long wait time without successful lab visit</t>
  </si>
  <si>
    <t>Request elimination of the mask mandate.
Restore kiosk for travel reimbursement.</t>
  </si>
  <si>
    <t>I again arrived for my appointment 30 minutes ahead of time but stood fo over 10 minutes(5 minutes of the time only me) with three people sitting at the check in counter and none even acknowledging me.  I soon had more in line and 5 + minutes I was told to come forward.  This is happening a lot as it was several years ago.  Taking out the kiosks has caused much longer lines and the clerical</t>
  </si>
  <si>
    <t>Long lines to check in with staff</t>
  </si>
  <si>
    <t>I have been using the Stephens City VA Clinic for almost 20 years now and have had the BEST health care in my 89 years. Every employee that I have met is tops in every category that you can name from the check in desk to the blood test to the nurses and doctors. Appointments are made easily and I have never had to wait more than 15 minutes from my scheduled time.</t>
  </si>
  <si>
    <t>return to kiosk requiring entering v.a. member card to check-in for appointments.  current kiosk requires using smart phone to check-in which most vets do not have.</t>
  </si>
  <si>
    <t>Wants kiosk back for check-in. Vets don't have smartphones</t>
  </si>
  <si>
    <t>The automated check in failed to complete my check in I waited nearly 30 min past my appointment before getting checked in.</t>
  </si>
  <si>
    <t>PCI failed to check them in and they waited a long time</t>
  </si>
  <si>
    <t>go back to the automated kiosk for check in, checking in and out now takes longer. Instead of 8 people taking questions and checkouts you have 4.</t>
  </si>
  <si>
    <t>Go back to kiosk for check-in. Check-in takes longer now.</t>
  </si>
  <si>
    <t>Upon arrival, access to the upper decks of the parking garage were unaccessible and there were no other parking spaces. I had to search for local parking making me late for my appointment.  My appointment email gave me a room to go to: B3000. It was difficult to find and once there, it redirected me to another room.  The door had a notice posted for electronic check-in, which did not work.</t>
  </si>
  <si>
    <t>PCI didn't work.</t>
  </si>
  <si>
    <t>At the Lab/clinic there should be someone at the front desk. I saw Veterans knocking on doors in order to check in.</t>
  </si>
  <si>
    <t>Staff not at check in desk</t>
  </si>
  <si>
    <t>It would be perfect to see a sign for "labs check in " .</t>
  </si>
  <si>
    <t>Everything went well. There was minimal waiting for check in and the same to see the doctor. Both persons were great, good communication, answered questions, the clinic was clean, wifi was available. The doctor reviewed my labs, made suggestions for healthcare tests exams that were coming due. Overall a great appointment.</t>
  </si>
  <si>
    <t>Need a app to check in for appointment.</t>
  </si>
  <si>
    <t>From walking in, up to the clinic to check in, during the procedure till I was leaving, everyone was great! Thank You!  
The parking lot is a different story. It is tight and the roadway going in as well as the speed humps are tough.</t>
  </si>
  <si>
    <t>Oak Lawn VA Clinic</t>
  </si>
  <si>
    <t>The check in process was quick and easy. I sat for about a minute in the waiting room and was greeted by the lab technician. I sat in the chair and was done with my blood draw in less than 5 minutes.</t>
  </si>
  <si>
    <t>Check-in was easy and quick. Short wait time.</t>
  </si>
  <si>
    <t>would like to be able to use the kiosk for travel pay as we did in the past. Not everyone has a smart phone or home computer.</t>
  </si>
  <si>
    <t>Checking used to be fast and easy using the kiosk system.  Now I have to wait in line a long time to check in with only one clerk at the desk.  Why did they do away with the kiosk system?  It was much better.</t>
  </si>
  <si>
    <t>Kiosk check in was fasat and easy. Now there are long lines</t>
  </si>
  <si>
    <t>I don't drive so I was there early and from the time I checked in till the time I checked out was just great the young lady at the check-in desk thanked me for my service and had a great positive attitude. The gentleman who drew my blood also thanked me for my service and was very helpful and he to had a great positive attitude which made it a great day for me. I'm sorry I didn't get there names.</t>
  </si>
  <si>
    <t>I checked in for labs, but my check in was not relayed to the people taking blood. After waiting an extended time I questioned why I was not called. They indicated they never received my check in.</t>
  </si>
  <si>
    <t>Staff never got their checkin</t>
  </si>
  <si>
    <t>People often forget that that the hard-working crew at the Floyd Lindstrom Clinic lab complex do what they do day after day.  The not only do it well, but with a smile on their faces.  I'm not certain I could do it.  They are courteous, knowledgeable, and highly professional.  Kudos to everyone from check-in, blood draw technicians, the whole gang.  Keep up the great work!</t>
  </si>
  <si>
    <t>Please bring back the kiosk for travel pay. Many veterans are having a difficult time trying to maneuver the web for results.</t>
  </si>
  <si>
    <t>Staff at Clinic was very friendly and courteous.  At check in at the main desk, there were 3 gentlemen staff members working.  Two of them were in  a conversation with each other and the patients were in line for a long period of time waiting on just the one to wait on us.
Conversations at the front desk should be held to a minimum and patients waited on first.</t>
  </si>
  <si>
    <t>The checkin process was not very good.  There is no kiosk to check in on, the sign on the window says you can scan the code and checkin in your smartphone.  After checking in and waiting approximately 30 minutes I asked the clerk to check and make sure I was checked in.  To which she replied, â€œoh we donâ€™t use thatâ€.  Everybody was very courteous and friendly, just not very well organized.</t>
  </si>
  <si>
    <t>Tried PCI , but was told after waiting that the clinic doesn't use PCI.  Commented on no kiosk being available</t>
  </si>
  <si>
    <t>Stillwater VA Clinic</t>
  </si>
  <si>
    <t>There was something wrong with the automated check in and was was there for over a hour because I missed the appointment time.</t>
  </si>
  <si>
    <t>Used PCI andwaited a long time, because they were told they missed the appointment time.</t>
  </si>
  <si>
    <t>When we are scheduled to be at Surgical Center at 6am and told to have a Covid test prior to Surgery you need to change check in Tome as Covid Station not open until 6am. The results are 15 minutes later</t>
  </si>
  <si>
    <t>Persons at check in counter went above and beyond to help with community care travel reimbursement.</t>
  </si>
  <si>
    <t>Pahrump VA Clinic</t>
  </si>
  <si>
    <t>It was an easy check in/out - nurse was wonderful - I was in and out. Thank you for kind personnel.</t>
  </si>
  <si>
    <t>At the hallway check in I was asked if I knew where I was to go for lab work. She directed me to main floor blood lab and I thanked her.</t>
  </si>
  <si>
    <t>Stood in line over five minutes waiting to check in although there were three people behind the window.  Only one was waiting on a patient--the other two appeared to be checking computer and other items.  Besides me there were three other people waiting to checkin.  The one person that was actually working had a patient that needed a lot of individual attention so the other two should have helped.</t>
  </si>
  <si>
    <t>Danbury VA Clinic</t>
  </si>
  <si>
    <t>Made a appointment  for  blood work at quest,when I tried to sign  in at the kiosk didn't show my appointment. Nice lady helped me make my appointed time on time.
Oos</t>
  </si>
  <si>
    <t>I believe that the check in process could be done with more respect</t>
  </si>
  <si>
    <t>I witnessed most of the older veterans struggling with the new check in procedure. I didnâ€™t much care for it myself. The gentlemen in the lobby did their best to help them but most older people struggle with technology. Check in needs to be easier and faster</t>
  </si>
  <si>
    <t>Didn't care for PCI. Check-in needs to be faster and easier</t>
  </si>
  <si>
    <t>This clinic provides the best patient care of all the VA clinics and hospitals in the area. Iâ€™ve been treated with respect and concern since I transferred here from the Lakeland clinic! 
Here when you check in they actually greet you and look at you! Small point but it shows they care!
Medical staff really try to help and not act like you are bothering them!
Bravo to Riverview clinic!</t>
  </si>
  <si>
    <t>The MRI Team [NAME], [NAME] and the receptionists at the check in desk are  always courteous, friendly, and extremely helpful.  Thank you so much.</t>
  </si>
  <si>
    <t>The new check in procedure via phone is slower and less convienent.</t>
  </si>
  <si>
    <t>Sometimes the electronic check-in devices are used. Sometimes they are broken. The last time I checked in for a lab, the person at the desk seemed annoyed that I didn't know the check-in routine. No big deal, everyone is human but a heads up on procedure changes would be nice. Keeps the stress levels down for everyone.</t>
  </si>
  <si>
    <t>Confused when kiosks are used and when they aren't</t>
  </si>
  <si>
    <t>slow getting check in</t>
  </si>
  <si>
    <t>Ukiah VA Clinic</t>
  </si>
  <si>
    <t>The nurses are fantastic in the ketamine infusion clinic.  They are very supportive and caring.
I donâ€™t see the doctors as much, but Iâ€™m impressed with the way they check in.
I wish all medical facilities were as efficient as SFVA</t>
  </si>
  <si>
    <t>Beaver County VA Clinic</t>
  </si>
  <si>
    <t>The staff that handles the check-in and sets appointments are very mannerly and accommodating in a very professional way. The Doctors and Nurses that I have had the pleasure of getting care from are professional and well mannered.
I appreciate them all.</t>
  </si>
  <si>
    <t>Travel reimbursement should be an automatic process linked to appointments. Kiosks at facilities was convenient,  submitting travel reimbursement on the VA site is not user friendly.. Furthermore,, not everyone is tech savvy or have internet access. I have been attempting to submit my travel numerous times through the access site to no avail.</t>
  </si>
  <si>
    <t>submitting travel reimbursement on the VA site is not user friendly.. Furthermore,, not everyone is tech savvy or have internet access. Not successful submitting travel recently</t>
  </si>
  <si>
    <t>I checked in at 7:45 AM. I did not get to the lab for blood draws until after 9:15.  I asked the person who checked me in if it should be taking this long ( it was more than an hour after check in). She said itâ€™s normal and to have a seat and wait.  Turns out my name never got back to the lab.  I finally asked someone from the lab about it.  The lab staff is GREAT. The reception staff is horrible.</t>
  </si>
  <si>
    <t>Never checked in after checking in at lab</t>
  </si>
  <si>
    <t>During my check in and wait period to see my primary care provided, I was left waiting, with the doctor not knowing that I had arrived (the required 1/2 hour before) and was in the waiting area. 
They were surprised that I was there, and asked if I had checked in via phone, which I did not.  There was no follow up and I was not made aware of my status.</t>
  </si>
  <si>
    <t>Long wait time and told they weren't checked in in the system</t>
  </si>
  <si>
    <t>The check in lady need to be courtesy and respectful.</t>
  </si>
  <si>
    <t>There weren't enough people to check in the patients and was very chaotic.</t>
  </si>
  <si>
    <t>Not enough check in staff</t>
  </si>
  <si>
    <t>When I came in, there were no visible signs for check-in.</t>
  </si>
  <si>
    <t>Didn't know what to do to check-in</t>
  </si>
  <si>
    <t>The clinics I tried to make appointments with were at lunch with no one to replace them. In particular dental. There was a sign on her door and it said sign in using the kiosk, the kiosk was broken and another sight on the door said do not knock on the door window even though the the kiosk was broken. There was no way to sign in nor was there a sign board inside of the office.</t>
  </si>
  <si>
    <t>Was told to use kiosk, but it was broken. No staff were around.</t>
  </si>
  <si>
    <t>Impressed with Dr. [NAME] and the new facility.
You need more than one person who handles both check-in and check-out.</t>
  </si>
  <si>
    <t>I normally have prescriptions mailed.  This time I needed it right away and had to pick up from the pharmacy.  I was a little lost about the procedure.  A very nice lady volunteer helped me check in and as I waited, she was very busy helping everyone.  I don't know her name but she was most appreciated.</t>
  </si>
  <si>
    <t>Upon check in, my patient wrist band was forgotten until after the IV was started.
My appointment was for 1:30PM and I was there early. At 1:35, I was told it would be 5 more.minutes. After 40 more minutes I was preparing to leave as nobody checked on me and staff had left. Then I was told ER had put a patient ahead of me. Nobody told me! I got in approx 2:20. I was patient but then mad.</t>
  </si>
  <si>
    <t>check-in process should be computer streamlined.</t>
  </si>
  <si>
    <t>The lack of respect the lady has at the visitor check in on the 1st floor.  Horrible person. And the way she wears her mask(have pics).  OMG  let's not go there.  She demanded me to put one on, then handed to me with her bare hands touching the part wear my mouth goes.  I said please pull your mask up.  she ignored me. she caused a big scene as im already late because of the horrific parking there</t>
  </si>
  <si>
    <t>Pharmacy wait times (in person) are too long.  Serious lack of â€œsense of urgencyâ€ from staff at â€œcheck inâ€ windows.</t>
  </si>
  <si>
    <t>pharmacy wait times long</t>
  </si>
  <si>
    <t>The system for getting my INR (blood Thinner) checked is screwed up. I get my blood drawn at my local CBOC ( Spotsylvania ), but all my appointments show Richmond. When I try to check in on the kiosk is says I'm in the wrong location and see the check in desk for help. When I questioned this they said "that is just the new system!"</t>
  </si>
  <si>
    <t>System told them they checked in at wrong location</t>
  </si>
  <si>
    <t>I canâ€™t say enough about everyone at the VA. My Doctors and nurses and check in are very nice and very helpful.</t>
  </si>
  <si>
    <t>The self-check-in is still now working with either of my phones. This is helpful for me since it is difficult for me to stand in lines due to my back issues. Please check into this or bring back the Kiosk. (Those were great).</t>
  </si>
  <si>
    <t>PCI doesn't work on their phone, but they like the idea.  Otherwise, they want the kiosks back.</t>
  </si>
  <si>
    <t>When I first received services there, there was an air of up to date technology, somehow now its just wait in line talk to someone, and then come back in two hours. The high tech treatment its gone, even the check inn kiosk are gone. Who have two and a half hours to come back for your prescription?  Even the waiting area lack enough sitting.</t>
  </si>
  <si>
    <t>Misses high tech feel of check-in. Misses kiosk. Now just waits in line at the pharmacy.</t>
  </si>
  <si>
    <t>When I arrived I was greeted by a group of desk clerks who had an attitude.  I followed the instructions on the kiosk for check-in, started to walk to a seat, and the desk clerks scolded me because I didn't check-in with them because in their words, we don't know you're here unless you check in with us. They could have just greeted me, but they were busy chatting amongst themselves.</t>
  </si>
  <si>
    <t>I thank Dr. [NAME] and her staff for the outstanding care from check-in to check-out. Thanks for a job well done.</t>
  </si>
  <si>
    <t>Shawnee VA Clinic</t>
  </si>
  <si>
    <t>The staff is wonderful from the person at the front check-in desk to the last person I speak to. They are always willing to explain thoroughly and not make be in a rush. They help the patient feel as if they are important and the only patient at the moment than rushing out of room to get to the next patient. They are awesome!</t>
  </si>
  <si>
    <t>Removing the travel kiosk was a mistake, going on line with no help took me a long time to get something accomplished, The on line portal takes to long and is to difficult to learn by older vets who are not tech literate ( as side I have a Masters in education and taught computer science) or have cognitive or physical limitations, the Kiosk worked and did not need fixed, please put it back.</t>
  </si>
  <si>
    <t>Wants kiosk for travel pay. Current system is long and difficult</t>
  </si>
  <si>
    <t>I arrived for my 0730 appt @ 0720, security wouldnâ€™t let me in, they wanted to know where my appt was, HIPAA VIOLATION!  The staff still had the check in area secure @ 0725, the Doc had to come out and get me as this is a common problem.  Texts are sent about not arriving more than 15 mins before the appt, however, your staff does not adhere to policy!</t>
  </si>
  <si>
    <t>The new QR code check in is difficult for some of our Vets.  The staff (and other Vets) was excellent in providing help and instruction, but I could really feel the uneasiness some of the folks were having.  Just an observation.</t>
  </si>
  <si>
    <t>PCI is difficult to use</t>
  </si>
  <si>
    <t>I, along with several others, found that the removal of the Kiosks was not pleasant. The check in at the counter was OK. But! putting in for travel expense was not OK. The Kiosk for check in and travel expense was so easy, much easier than the procedure prior. No Kiosk now. Only a make shift desk in a corner to find the travel form and no one available to help fill it out.</t>
  </si>
  <si>
    <t>Removal of ki osk was not pleasant. kiosk for check-in and travel pay was easy. Travel pay process with paper form isn't ok</t>
  </si>
  <si>
    <t>When I arrived to my appointment I found that the Kiosk machines were removed and that I would have to check in on a cell phone or at the desk. Also we are back to filling out travel on paper again. The Kiosk made it fast and simple. Please bring them back.</t>
  </si>
  <si>
    <t>Kiosk was fast and simple. Travel pay on paper is step backwards. Bring kiosk back.</t>
  </si>
  <si>
    <t>I had 2 appointments 0945 and 1000. I informed the male receptionist after he quit looking at his phone that I needed to check in for 2 appointments. He only checked me in for 945. At 1010, I went to the female receptionist to verify my 1000 appointment she stated that I have not checked in for my 1000 appointment.</t>
  </si>
  <si>
    <t>Folks are very friendly and helpful.  My Doctor - Doctor [NAME] always follows through with what he says he is going to do for me.  Lab staff are very proactive as are the nurses at check in.  For example, I had a lab appointment after my doctors visit.  I had arrived early and the check in nurse saw that I had a lab after.  She got me in and the lab nurse was awesome as well.</t>
  </si>
  <si>
    <t>The new VA clinic in Ventura:
1. Lights indicating when a receptionist  
    is ready should be installed. 
2. Kiosk where vets request files, 
    should indicate files picked up at the
    Sepulveda VA, ( Iâ€™d recommend you 
    holding an employee meeting, and 
    open it up for discussion 
    listen to there recommendations. 
    You have a great staff. (LISTEN TO 
    THEM</t>
  </si>
  <si>
    <t>Put Travel reimbursement back onto the kiosk machine. It was simple, it was completed at the same time of check in. The paper fill in is moving backwards 20 years and the fill on the computer is complicated to navigate, have to remember passwords, then gives errors. So summarize, kiosk least amount of time for vet and employees, paper simple for vet more time for employees and va.gov most time</t>
  </si>
  <si>
    <t>Wants kiosk back for travel pay. Paper form for trvel is step in wrong direction</t>
  </si>
  <si>
    <t>The kiosk check-in system worked.  Now there is a line at the front desk; simply to check-in.  If it isn't broke - don't fix it.</t>
  </si>
  <si>
    <t>Long line to check in with staff. Kiosk was simple and worked.</t>
  </si>
  <si>
    <t>I could not figure out how to make a computer account for me to do online travel claims and track my health care. I think the site is not user friendly and find someone to help set up my account. I was not informed about the using the kiosk for travel claims and I was claiming travel claims the old fashioned way which meant I had to wait a long time to receive reimburse in my bank account.</t>
  </si>
  <si>
    <t>BTSSS not user firendly. Filing via paper takes a long time to get reimbursement.</t>
  </si>
  <si>
    <t>The new check in system is garbage, barely and cell signal and no wifi to check in via the QR code. Paper mail in copies for service connected travel benefits is complete and utterly ridiculous. 6-7 month back log to process claims is pathetic. The VA needs to step up and correct this abomination sooner rather than later. Filling out paper forms to submit is not the direction the VA wants to go in</t>
  </si>
  <si>
    <t>The new check in system is garbage, barely and cell signal and no wifi to check in via the QR code. Filling out paper travel pay forms takes ling to process claim</t>
  </si>
  <si>
    <t>I  checked in at the kiosk five minutes prior to my scheduled appointment of 11:00.  At the kiosk, I followed the same procedure I have done many times, resulting in the kiosk displaying the message, "you are checked in for your appointment."
Apparently, the system never notified my provider that I was checked in and I ended up seeing my provider at 12:00; I waited one hour for my appointment.</t>
  </si>
  <si>
    <t>Used kiosk to check-in and never ended up checked in.</t>
  </si>
  <si>
    <t>Reception was a bit lax because there were 3 clerks but only one was handling veterans who needed to check in, as a result i was not on time for my appointment.  However, the Doctor and the Nurses were great</t>
  </si>
  <si>
    <t>Needed for check-in staff</t>
  </si>
  <si>
    <t>I want to commend VA for the outstanding service it provides.  This visit was no exception.  Staff were excellent.  One feedback for improvement: Check-in process had 3 receptionists sitting facing the wall away from one help window.  You didn't know who you were talking to, an odd experience to say the least. Would recommend remodeling to have reception facing forward like other departments.  Thx</t>
  </si>
  <si>
    <t>Welcomed and appreciated for my service. 
Entrance to facility was confusing as sign said to sign in at kiosk but there was none. Had to ask receptionist what to do next for my initial visit to facility. Interview with the intake was delayed as she was a new hire and needed help multiple times during my means interview and photo ID card. Very nice and professional though.</t>
  </si>
  <si>
    <t>Confused about how to check-in. Sign said to use kiosk, which wasn't available</t>
  </si>
  <si>
    <t>Easy check in, minimal wait, extremely professional and friendly people at the facility. 
This was my first visit to the facility and I was impressed!</t>
  </si>
  <si>
    <t>As usual - from the person who greeted me with a "Good Morning" and a smile asking me all the cOVID questions, then assuring that I knew where I was going ( even telling me the floor and which way to turn) to the checkin desk everyone was cheerful and concerned about taking care of me.  The professional staff, nurse, technician, and others really cared about me. I wasn't just a number or a job.</t>
  </si>
  <si>
    <t>The check in machines were removed which was Bull shit. Then there was a form to fill out for travel and I did knot fill it out .</t>
  </si>
  <si>
    <t>General Check-in - Bad,Kiosk - Bad,Travel Pay - Bad</t>
  </si>
  <si>
    <t>Didn't like kiosk removal. Skipped paper form for travel reimbursement.</t>
  </si>
  <si>
    <t>The eye clinic needs more help with fitting glasses. It is always very crowded and the wait us forever. Appointments are several weeks out. A broken nose piece is no fun waiting for an appointment date.
The travel pay new system is not working. Why did the kiosks  have to disappear. I do not deal with the internet so filling out paper claim sheets is like it was before the kiosks.</t>
  </si>
  <si>
    <t>Travel Pay - Bad,Wait time (arrival to check-out)</t>
  </si>
  <si>
    <t>Long wait times for appointments.The travel pay new system is not working. Why did the kiosks  have to disappear. I do not deal with the internet so filling out paper claim sheets is like it was before the kiosks.</t>
  </si>
  <si>
    <t>Moab VA Clinic</t>
  </si>
  <si>
    <t>10/25/22 routine appointment with Dr [NAME] (Podietry). Interacted briefly at check-in with the receptionist who was cheerful and professional. Immediately greeted by Dr [NAME] and feet were examined, findings discussed, pedicure completed. Measured for VA sourced open toe compression stockings and sample order placed. Dr [NAME] is congenial, professional, listens and communicates very well.</t>
  </si>
  <si>
    <t>Everyone did a GREAT job from the person at check-in, the nurse, the doctor and the
person at check-out !!!!</t>
  </si>
  <si>
    <t>Amazing ultrasound technician with great bedside manner and hard work to create a comfortable environment within a drab facility.  Check in was a bit confusing</t>
  </si>
  <si>
    <t>Check-in was confusing.</t>
  </si>
  <si>
    <t>The lines to check-in could have been avoided had the VA not allowed the kiosk contract to expire. This provided no contact checkin, and prior to Covid, allowed a veteran to also request a travel reimbursement (effectively eliminating the use of paper and manual entry by a salaried employee). With more in person clinic visits, perhaps the VA would renew their magazine subscriptions while waiting.</t>
  </si>
  <si>
    <t>lines to check-in.</t>
  </si>
  <si>
    <t>I checked in with audio for a walk in appointment. Was, supposedly checked in. After an hours wait I went back to the desk to see how much longer the wait. They couldnâ€™t find where I had checked in. Now the hearing aid tech had departed for lunch. They were able to get a tech to see me about 20 minutes later. 
Somehow, the front desk screwed up the check in. If I had not asked, I could have sat t</t>
  </si>
  <si>
    <t>Somehow check-in with staff didn't check them in.</t>
  </si>
  <si>
    <t>Outstanding, professional, and caring  service from front desk check-in staff, provider, to check-out. Adequate parking available close to entrance. Thank you</t>
  </si>
  <si>
    <t>Staff was friendly and helpful from checking process to scheduling physical therapy appointments. Love the use or QR code to complete check in process.</t>
  </si>
  <si>
    <t>Love the use or QR code to complete check in process. Overall good experience</t>
  </si>
  <si>
    <t>Early for appt I used check-in console. After an hr I went to check-in window &amp; asked if I was properly checked in. She said "yes," I needed to wait because I was early. So, waited another hr. Clinic started closing &amp; I went back to receitionist. She scurried to back &amp; found check-in console failed to print my info to intake nurse. By then retina scan machine was shut down. 100 mi drive- wasted.</t>
  </si>
  <si>
    <t>The staff at the Info/Front desk disappeared. When we first started coming, they were really helpful because we are new. They told us about the kiosks, the food courts, and so on; important stuff! Now, at the appointment 10-27, the desk was vacant and a volunteer who could not answer my questions said that they had all been reassigned. Please bring them back. So many veterans are waiting for rides</t>
  </si>
  <si>
    <t>Not enough staff at desk to answer questions.</t>
  </si>
  <si>
    <t>The Cookeville VA is a pleasant experience from the check-in personnel, the lab techs, although they have been working short handed as of late.  The physicians that I am assigned are the best and I am totally satisfied with the treatment I have received.</t>
  </si>
  <si>
    <t>Basic customer service skills need to be applied at all clinical check-ins. I've encountered rude employees while checking in. A smile and thank you will make the visit more tolerable.</t>
  </si>
  <si>
    <t>The kiosks were extremely helpful, I would bring them back. All of the staff I have spoken to about this agreeâ€¦â€¦â€¦</t>
  </si>
  <si>
    <t>Missed kiosk</t>
  </si>
  <si>
    <t>More staffâ€” support from va. The staff is forced to  do the job of two people. While there early for check in saw countless numbers of vets turned away or schedule months out for needed services. These vets have served their country and deserve better. The staff are great but way over worked you can do better and must</t>
  </si>
  <si>
    <t>Grayson County VA Clinic</t>
  </si>
  <si>
    <t>Awesome facility. The ladies greeting you as we check in. Very friendly. The medical attention I receive there is top notch</t>
  </si>
  <si>
    <t>There was a change for the â€œ Check inâ€ which was a smooth process. Seems the Kiosk is no longer used. Not sure of the reasoning but it made check in very simple.</t>
  </si>
  <si>
    <t>Likes changes to check-in. Made check-in simple.</t>
  </si>
  <si>
    <t>The staff, from security to check in and scheduling provide excellent customer service. Thank you for providing me excellent health care.</t>
  </si>
  <si>
    <t>Get the lobby appointment person out from behind the glass. This is not a welcoming situation. It looks like a surmountable architectural situation to me.
Get the check in kiosks working. The lobby is ultra sterile, not welcoming or warm. It is more like a prison than a medical office.</t>
  </si>
  <si>
    <t>misses kiosk</t>
  </si>
  <si>
    <t>The individual at the Lab check in is extremely impersonal and the lab tech blew my vein for the first time in my life.</t>
  </si>
  <si>
    <t>Totally satisfied with the folks in imagining. My concerns include no paper therefore no printouts from the kiosk and message was to check at desk.  Guess what no one at front reception desk or even in area. Somewhat familiar with the facility so all went well.  Recommend manning the front desk.</t>
  </si>
  <si>
    <t>Missing staff at check-in desk</t>
  </si>
  <si>
    <t>When will the check in keos be up and running?</t>
  </si>
  <si>
    <t>The front desk of audiology [NAME] provides immediate check-in, and in a few minutes, the audiology specialist brought me into the office too process my hearing aids.  This team, and a new 'observer' who was a Navy Corpsman introduced herself and we had a great conversation.  The VA Clinic in Oceanside is exceptional, a beautiful building, and very attentive staff who seem happy that you came.</t>
  </si>
  <si>
    <t>automated phone check in system failed to show me checked in, i inquired understand VA is working on changes to system</t>
  </si>
  <si>
    <t>PCI failed to marked them as checked in</t>
  </si>
  <si>
    <t>Everyone with whom I came in contact in the emergency room staff including check-in and wheelchair assistance at drop off was first class.</t>
  </si>
  <si>
    <t>Murrieta VA Clinic</t>
  </si>
  <si>
    <t>I recommend a check in line and follow up line only. I waited 15 minutes to check in and was late for my appointment because there were 3 Vets ahead of me setting up follow up appointments.</t>
  </si>
  <si>
    <t>Dental is great. The Travel forms are not a good convenient  orm of requesting travel reimbursement. What happen to the computer Kiosk unit for travel, very easy way to request travel.</t>
  </si>
  <si>
    <t>Travel Pay - Bad,General appointment feedback,Kiosk - Bad</t>
  </si>
  <si>
    <t xml:space="preserve">Misses kiosk. Paper travel forms aren't conveient. </t>
  </si>
  <si>
    <t>The Staff at the Check in is speculator. Always smile and great customer service and helpful in fulfilling my need.
Thank You, Mr. [NAME]</t>
  </si>
  <si>
    <t>[NAME], [NAME] and everyone else at the facility are amazing.  Whenever I check in or call in for anything, they treat me as a person they care about and not just a SSN#  I called in for a severe headache and the team was more than willing to stay after hours to help me.  [NAME] even calls you after hours to check in on you.  This extra step really makes me feel cared for.</t>
  </si>
  <si>
    <t>I dislike your new check-in process.  The kiosk system was a much more efficient use of my time.</t>
  </si>
  <si>
    <t>Dislike PCI. Misses kiosk</t>
  </si>
  <si>
    <t>I have no complaints, in fact, the team at the VA that I am with has made me feel much more confident in their abilities and interest my my well being than any outside medical help!  
I would like to see the kiosk checking come back.</t>
  </si>
  <si>
    <t>Every person who helped me from check in to the blood lab (I wish I had this guys name he was GREAT) to X-ray was absolutely wonderful.  Dr. [NAME] was attentive and really tuned in.  I felt well taken care of.</t>
  </si>
  <si>
    <t>Camden VA Clinic</t>
  </si>
  <si>
    <t>I recommend you get a much easier way to check in. Itâ€™s very confusing and the persons behind the reception area were upset with all the persons who were attempting to check in. One of those persons treated me with disrespect and treated me as if I were â€œstupidâ€. 
It was much easier to use the ID card to check in.</t>
  </si>
  <si>
    <t>Check-in needs to be easier. Misses kiosk.</t>
  </si>
  <si>
    <t>Other than the surprise that the Red Clinic was sending its patients to other clinics to check in, my appointment was VERY pleasantly quick, and to the point. None of the interminable waits Iâ€™ve experienced previously. This was greatly appreciated, especially with my partner and baby having to wait in the car.</t>
  </si>
  <si>
    <t>Check in and out was friendly and efficient.  The Dr. and his staff were thorough, encouraging deeper conversation. My immediate needs were met and plans made for future health actions. I left with confidence.</t>
  </si>
  <si>
    <t>Please bring back the kiosk and let us drop off travel forms. Stop making everything online its annoying.</t>
  </si>
  <si>
    <t>I only check in with VA once a year to remain in the system.  I have my own private health insurance at this time which I can afford.  I want to remain in system because in the future I may not be able to afford private insurance.  I do like the doctor I see in the Red Clinic each year.</t>
  </si>
  <si>
    <t>From the time I entered the clinic I could see it is a beautiful facility. Check-in was easy and excellent customer service. My provider at Optometrist clinic was excellent and communication was excellent. Customer service was excellent. Communication excellent. I felt safe. I was relaxed and environment clean and well lighted. Doctor very clear explanation of my vision and with my eyes.</t>
  </si>
  <si>
    <t>1. Get rid of the mask requirements 
2. Bring back the kios check in that works properly.</t>
  </si>
  <si>
    <t>Mask requirement frustration. Misses kiosk</t>
  </si>
  <si>
    <t>Entire process was great, from check-in to nurse interview, to doctor visit, to lab was all outstanding!</t>
  </si>
  <si>
    <t>Re install card reader check in</t>
  </si>
  <si>
    <t>Misses kiosk</t>
  </si>
  <si>
    <t>I was able to schedule an appointment within 3 days.  This was because I needed to reschedule my original appointment which was granted within a day of requesting an appointment.   Prompt check in and awesome customer service provided during my entire time there.</t>
  </si>
  <si>
    <t>OvOverall good experience</t>
  </si>
  <si>
    <t>The gentleman that was working the counter when you check in was very courteous kind and was genuinely interested in the patientâ€™s needs</t>
  </si>
  <si>
    <t>The check in process takes to long most of the time I don't think they see the line as many times you stand there and clerks delay calling you up to check you in or out.  My guard is very high in lobby as woman are in minority and seating is mostly doesn't allow your back up towards wall someone right behind you</t>
  </si>
  <si>
    <t>What happened to the easy check-in kiosk? Put your card in and out comes the number that you have checked in. It seems like a hassle to go to the window to check-in.</t>
  </si>
  <si>
    <t>Misses kiosk. Hassle to go to check-in window.</t>
  </si>
  <si>
    <t>I was in the waiting room for over any hour after I check in with desk. The lab said they didn't any names on their computer.</t>
  </si>
  <si>
    <t>There check-in was missed. Staff didn't have them checked in.</t>
  </si>
  <si>
    <t>It was disconcerting to come long distance leave real earl to check in for my appt only to find out, that my appt that was supposedly taken care of by the technician from the prior week's x-ray had not been done. No one had me listed, When i was done i was told to wait until xrays developed then would be given ok , 1 hr later i had to contact tech no one came out to tell me.</t>
  </si>
  <si>
    <t>The lab used to have veterans check in at the desk with their identification. Now you have to take a number before being called up to check in, sit back down and wait to be called again to have blood drawn. It old system was far better than the one that that requires the veteran to be called up twice. If itâ€™s not broke, donâ€™t fix it.</t>
  </si>
  <si>
    <t>double check-in at lab is worse.</t>
  </si>
  <si>
    <t>My treatment team - [NAME] (clerk, nurse and doctor) worked together to get my unscheduled prescription request completed in a timely manner. The pharmacy kiosk check in was sufficient to prompt completion of the process without my having to explain anything further. My sincere thanks for all who made this process simpleðŸ˜Š</t>
  </si>
  <si>
    <t>The new method of signing in to an appointment is broken. It takes 5 times longer, involves numerous steps and usually freezes up, requiring me to stand in line and have the desk clerk sign me in. The process to request travel reimbursement is also a mess. The kiosks worked so well, please bring them back. And why are we required to wear masks, when the CDC determined they are ineffective?</t>
  </si>
  <si>
    <t>eCheck-in - Bad,General Check-in - Bad,Kiosk - Bad,Travel Pay - Bad,General appointment feedback</t>
  </si>
  <si>
    <t>It takes 5 times longer, ipnvolves numerous steps and usually freeze up. Travel pay is a mess. Misses kiosks. Mask requirement frustration</t>
  </si>
  <si>
    <t>Check in very convenient, reasonable waiting period, all prescriptions refills were available, concerns regarding any questions of medications was also available.</t>
  </si>
  <si>
    <t>convenient. Good wait time</t>
  </si>
  <si>
    <t>The check in machines were not working properly.</t>
  </si>
  <si>
    <t>Kiosk not working</t>
  </si>
  <si>
    <t>Sepulveda VA Medical Center</t>
  </si>
  <si>
    <t>On a scale of 1 to 10, where 10 is BEST, it's a 10+
Seriously. I'm a picky person, and over 20 years, I've only ever had a problem with [NAME] at the check-in counter, Gold Team, Sepulveda VA, Los Angeles.</t>
  </si>
  <si>
    <t>Recommend that instructions be clearly placed at VA Puget Sound pharmacy area informing veterans, who received a prescription after hours, to check in with the employee(s) at the counter.</t>
  </si>
  <si>
    <t>Wasn't sure what the check-in process was for pharmacy</t>
  </si>
  <si>
    <t>The gentlemen at the check-in / scheduling desk are always prompt, efficient, and pleasant. I certainly appreciate them and their good work and service.</t>
  </si>
  <si>
    <t>Whatever braindead idiot took out the kiosks that allowed us to check in and apply for travel compensation should be permanently terminated from the department of Veterans Affairs. They were there, they worked and they were of great benefit to those of us that used them!</t>
  </si>
  <si>
    <t>Missed kiosk.</t>
  </si>
  <si>
    <t>Check in, appointments are made easy and I get important medical Information from health care providers.</t>
  </si>
  <si>
    <t>Augusta VAMC</t>
  </si>
  <si>
    <t>The check-in procedure is a little disconcerting, there were no numbers on the screen after I checked in and nobody was called for 20+ minutes.  It felt like the pharmacy was closed but there were several people waiting for prescriptions.</t>
  </si>
  <si>
    <t>Pharmacy check-in was confusing. No feedback on screen.</t>
  </si>
  <si>
    <t>From check in to the short wait before seeing the doctor I feel that I was professionally cared for. Everyone is very pleasant and respectful during my time at the clinic.</t>
  </si>
  <si>
    <t>Staff Attitude - Good,General appointment feedback,Staff Attitude - Good,General appointment feedback</t>
  </si>
  <si>
    <t>I am disappointed the digital check in kiosks were removed. I feel they made the whole process more efficient and time effective. I had to interrupt two different reps to check in originally and then for lab work. Please bring them back!</t>
  </si>
  <si>
    <t>Misses kiosk. Kiosk more efficient and time effective. For labs.</t>
  </si>
  <si>
    <t>The travel form most of our Veterans cannot see well and filling out the travel form is a hassle. The Kiosk system was much better</t>
  </si>
  <si>
    <t>When I arrived for my appointment, I had to flag a nurse from the blood lab to find where to check in as the check in desks were all empty.  Checked in at urology and after 1-1/2 hours went back to the desk to ask how much longer.  They did not know I was still waiting.  They said the urology nurse never got the message I had checked in.</t>
  </si>
  <si>
    <t>The travel reimbursement was so much more Stright forward, now you have to go through a lot of confusion on line, which in the past was done from the Kiosk right in the clinic..!</t>
  </si>
  <si>
    <t>travel pay confusing online. Kiosk was better</t>
  </si>
  <si>
    <t>Please go back to travel pay reimbursement from the kiosk.</t>
  </si>
  <si>
    <t>I have heard so much about the horrible care at Veterans hospitals,  I want you to know I have no negative comments.  I was very well taken care of. The entire staff was unbelievable. The check in and check out weâ€™re effortless. 
I want to add my favorite nurse was [NAME]. He is sweet and kind, he was just a great person. Any problems were handled quickly and friendly.  Thank you all.</t>
  </si>
  <si>
    <t>2022-10-31</t>
  </si>
  <si>
    <t>You need to work on the proper way to check-in the clinic!!!</t>
  </si>
  <si>
    <t>2022-11-28</t>
  </si>
  <si>
    <t>The day before, I received text asking to confirm. I did. Morning of the appt, I received 2nd text, asking to confirm. I did. I arrived 30 minutes before, used Kiosk to check in. Kiosk advised there was no appt for me that day. Receptionist advised doctor was not coming in and they called me. They did not call until 5 minutes before appt time, 10 minutes after checkin time. Wasted my time! Fix it!</t>
  </si>
  <si>
    <t xml:space="preserve">Arrived to find out appointment was canceled by VA. </t>
  </si>
  <si>
    <t>I have submitted corrective data (3 times) to the ladies sitting at the desks on level 1, in which my Personal Profile was to be corrected, yet while it was changed; each time there is (difierent) still error(s).  Each time, the lady(ies) told me they had to submit  my data to another department.  If I answer the Check-in answers honestly, the NEW Smartphone app does not allow me to check-in.</t>
  </si>
  <si>
    <t>Haven't been able to use PCI, since contact data is incorret. Talking to staff 3 times to update info hasn't helped.</t>
  </si>
  <si>
    <t>Showed up for the appointment and thought that I was on time. Read it wrong and arrived only 5 min late. Was informed by the check in clerk that I would have to reschedule. The check in clerk could have said let me ask the doctor if he/she will still see you. Instead received a notice that I could lose my VA for miss appt. Some Veterans might have vision issues and read things wrong.</t>
  </si>
  <si>
    <t>Showed up 5 minutes late and told that they would have to reschedule and got a notice about possibly losing benefits for missed appointment.</t>
  </si>
  <si>
    <t>Go back to the previous way of checking in. It is so miserable to have to wait in long lines. Donâ€™t TRUST the new system in checking in. Why the change?  It was simple to slip your card &amp; get it scanned. You then felt comfortable that you completed the check in process. Change it back, PLEASE! Make the system work. Donâ€™t change for delays. Thank you ðŸ™</t>
  </si>
  <si>
    <t>Kiosk - Good,General Check-in - Bad,eCheck-in - Bad</t>
  </si>
  <si>
    <t>Liked scanning card at kiosk. Long lines to check-in now. Doesn't trust new system (can't tell if they used it at all though).</t>
  </si>
  <si>
    <t>Grand Island VA Medical Center</t>
  </si>
  <si>
    <t>Check in procedures   Used to have machines.     now have grouchy people and they donâ€™t want to do it  also no coffee available come on itâ€™s time to go back to our lives and enjoy life</t>
  </si>
  <si>
    <t>Staff Attitude - Bad,Kiosk - Good</t>
  </si>
  <si>
    <t>Staff- Grouchy. Liked kiosks for check-in.</t>
  </si>
  <si>
    <t>Use of the kiosk is an added convenience for checking in.</t>
  </si>
  <si>
    <t>Liked kiosk for check-in.</t>
  </si>
  <si>
    <t>I do not like the current check-in process. When we had the machines it was so much easier. I usually end up at the counter which takes time away from what the admin staff is normally doing. It was not rolled out correctly it was just forced on us. Every veterans does not have a smart phone and unless the VA is going to start issuing them I would recommend that we go back to the other system. Than</t>
  </si>
  <si>
    <t>Kiosks were easier. Don't lik current check-in process. Don't have smartphone.</t>
  </si>
  <si>
    <t>Trying to check in isnâ€™t as it once was getting travel pay sucks please make it easier like it was</t>
  </si>
  <si>
    <t>Travel Pay - Bad,General Check-in - Bad</t>
  </si>
  <si>
    <t>In all the years of being a veteran, the NC VA clinic is the absolute best.  Everyone has been prompt, courteous, friendly and willing to go the extra mile. From check-in, to nurses and my wonderful physician ...they are the best.  I look forward to the new clinic having everything under one roof.  Thank-you all for the superb caring attitude. I feel so at home &amp; appreciate all you do. Happy holid</t>
  </si>
  <si>
    <t>absolute best, prompt, courteous, friendly, willing to go the extra mile.</t>
  </si>
  <si>
    <t>The people who check in with at the clinic are God awful you should try and improve that situation</t>
  </si>
  <si>
    <t>God awful</t>
  </si>
  <si>
    <t>I received a phone msg or an email to do a pre-check-in  before this appointment, but system said my zip code was wrong (89119). That is my correct zip code.</t>
  </si>
  <si>
    <t>pre-check-in problems with zip code</t>
  </si>
  <si>
    <t>2022-11-27</t>
  </si>
  <si>
    <t>QR code check in was quick and convienent.</t>
  </si>
  <si>
    <t>Get the Kiosk fixed; it is so easy using the kiosk to check in and to file for travel pay</t>
  </si>
  <si>
    <t>My audiologist provided me with the most professional and clear understanding for my new hearing aids, as the technology of these hearing aids had been upgraded.  Audiologist prepared and tested the aids to provide most efficient hearing experience.  Also set a three month future appointment to check in with me.</t>
  </si>
  <si>
    <t>professional</t>
  </si>
  <si>
    <t>not all of this comment pertains to this visit. when contacted to set this appointment o explained that Lawton clinic already had me set up with community care for same complaint. i asked why 2 appointments. the reply was am i sure it was the same complaint? i traveled around 200 miles round trip, meals for 3 and a hotel stay. costly for a not needed visit, not to mention the kiosks were removed.</t>
  </si>
  <si>
    <t>Traveled unnecessarily to VA for care when had community care for same complaint. Still told to come.  i traveled around 200 miles round trip, meals for 3 and a hotel stay. Misses kiosk.</t>
  </si>
  <si>
    <t>Check in staff excellent. Dr. [NAME] was friendly, knowledgeable, and thorough. She gave me excellent care and treatment. She and her staff went above and beyond my expectations!</t>
  </si>
  <si>
    <t>Friednly, knowledgable, thorough, excellent care.</t>
  </si>
  <si>
    <t>I have always had exceptional care and helpful caregivers from check-in to the gift shop and cafeteria. I look forward to my visit. I also witness the same treatment of my comrades while working through my visits. Thank everyone for the great efforts provided to us.</t>
  </si>
  <si>
    <t>Exceptional care and helpful.</t>
  </si>
  <si>
    <t>Wake County VA Clinic</t>
  </si>
  <si>
    <t>I was supposed to have a telephone appointment with Dr [NAME], I received a phone call from his nurse on November 15, 2022, stating that I should had a follow appointment from my last appointment. That never happened, now I getting close to my medicine running out and I still don't have a follow up appointment with Dr [NAME], could you please check into this? Please. Thank you for your time in this</t>
  </si>
  <si>
    <t>Trying to schedule an appt and haven' been able to and now medications are about to run out.</t>
  </si>
  <si>
    <t>Travel claims are not being processed in an effective nor timely manner. The kiosks are nonfunctional and have notes directing you to other non-functional kiosks with notes directing you to other......so on and so on. I have been waiting for three travel claims extending back 4 months.</t>
  </si>
  <si>
    <t>Travel claims are not being processed in an effective nor timely manner. Misses kiosk and confused by current signage on kiosk.</t>
  </si>
  <si>
    <t>The check in staff always do a great job assisting with all we ask of them</t>
  </si>
  <si>
    <t>Lovell FHCC Pharmacy</t>
  </si>
  <si>
    <t>I've always been pleased with the service at both the windows and with the electroniccheck-in and online notifications. All departments radiology, imaging, optometry/ ophthalmology and pharmacy, and the excellant service from immunizations during the height of the Covid outbreak were great.  Thank you all!</t>
  </si>
  <si>
    <t>Staff Attitude - Good,eCheck-in - Good</t>
  </si>
  <si>
    <t>PCI good. Online notifications good. Staff excellent service.</t>
  </si>
  <si>
    <t>Check in was smooth as was order and delivery process</t>
  </si>
  <si>
    <t>2022-11-26</t>
  </si>
  <si>
    <t>I was extremely disappointed to find out that you can no longer put in for your beneficiary travel allowance through the kiosks. I found this out only by putting in for it through the Myhealthvet website, and was told I needed to go to a different site to put in for it. This site is very hard to work with.  Plus why didn't someone send out a memo to notify the patrons about the change?!</t>
  </si>
  <si>
    <t>Wants travel pay on kiosk. BTSSS very hard to work with.</t>
  </si>
  <si>
    <t>It was very difficult to check-in. The kiosk that accepts our ID card as credential was replaced with one that required me to scan a QR code or text to check-in? I couldn't figure it out, &amp; there was only window to check-in with a person. My day was saved by the chance meeting in the waiting area with my primary care provider, Laura Woodson, who escorted me to the mental health window to check-in.</t>
  </si>
  <si>
    <t>Like that kiosk accepts VHIC. Couldn't figure out eCheck-in.</t>
  </si>
  <si>
    <t>The dental team was super helpful and the dentist was patient with me and explained all that was going on.  I had some serious dental needs and the team assured me and took care of them.  The only thing that was troubling for me was the login.  Bring back the kiosks.</t>
  </si>
  <si>
    <t>Staff Attitude - Good,eCheck-in - Bad,Kiosk - Bad</t>
  </si>
  <si>
    <t>Wants kiosk. Staff super helpful, patient. Had trouble logging into eCheck-in</t>
  </si>
  <si>
    <t>The check in was great, easy and fast , had no wait maybe 5 minutes,the nurse was complete and friendly, The Doctor was over the top, check out me the best in a very long time, over all I could not ask for anything better, Thanks to all who work far the VA</t>
  </si>
  <si>
    <t>Overall good experience. Check-in was great, east,fast.</t>
  </si>
  <si>
    <t>The receptionist checked me in and asked me to take a seat. At 20 minutes past my appointment time I went back to the reception area and talked to a different person. She informed me that I should be on the 3rd floor and took me upstairs and helped me to check in.</t>
  </si>
  <si>
    <t>Check-in, waited, then informed after asking staff that they were in the wrong location.</t>
  </si>
  <si>
    <t>LaSalle VA Clinic</t>
  </si>
  <si>
    <t>I don't understand why we can't continue to use kiosk to submit travel pay.</t>
  </si>
  <si>
    <t>Wants to submit travel pay on kiosk.</t>
  </si>
  <si>
    <t>travel expense is very difficult to do at home. Why are the kiosk travel units not used, they were easy and fast</t>
  </si>
  <si>
    <t>Wants kiosk. BTSSS is hard to use at home.</t>
  </si>
  <si>
    <t>The check in staff was very polite and attentive. I have complete confidence and respect for Dr. [NAME] and RN [NAME].</t>
  </si>
  <si>
    <t>Very polite and attentive.</t>
  </si>
  <si>
    <t>I have no problem with the lab or the lab procedures or with the check-in process. My issue has always been with the Drs. When I first got out I had four different doctors in two years. Finally got Dr [NAME] who just retired. Had my first visit Dr [NAME]. I had a 0830 appt, by 0845 no one had let me know why he was late so I told the checkin lady that I was leaving. She was unconcerned</t>
  </si>
  <si>
    <t>Left due to wait time.</t>
  </si>
  <si>
    <t>Panama City Beach VA Clinic</t>
  </si>
  <si>
    <t>Travel- From my home to VA is 1hr 15 minutes! I called the VA letting them know l was 15 minutes out do to traffic and l might be a few minutes late. I got to VA at 9:30!. I parked and was heading into facility there was a Veteran who was struggling walking l let the check-in know and l went back out and took a wheelchair for him. I was then checked in. The Dr and nurse made a point l was late.</t>
  </si>
  <si>
    <t>I'm used to going to WyoVA but if I was new, I don't think the building has good direction/office makings.    Also, since you don't have the scan ID check in system, it seems to me that patient check in could be done upon entering the building while we are going through the Covid screening.    While people are getting Covid screening and checking in their clinic, there could be security screening.</t>
  </si>
  <si>
    <t>Since kiosks aren't around for check-in, theypropose checking at the entrance with their COVID screening</t>
  </si>
  <si>
    <t>There were no signs to where the lab was or where to check in for lab work.was left wondering where to go need some directions</t>
  </si>
  <si>
    <t>Wayfinding to get to check-in was difficult</t>
  </si>
  <si>
    <t>Upon entering area I was given a ticket from the kiosk at the entrance, went to a window to check in. I took  a seat, while waiting for my number to be called,a couple approached the pharmacy window without a ticket and was immediately serviced.  When I informed the pharmacist about what had happened, she said she would help me when she was done with them,but I have a number and they don't</t>
  </si>
  <si>
    <t>Confusion about pharmacy check-in. Someone without a ticket got help first.</t>
  </si>
  <si>
    <t>PARKING IS ABSOLUTELY HORRIBLE.  Bring back the easy to use kiosks</t>
  </si>
  <si>
    <t>Parking problems. Wants kiosk.</t>
  </si>
  <si>
    <t>Greeted amicably at check in, was taken to have blood work done very close to my appointment time. The phlebologist [NAME] was extremely proficient in drawing blood as well as being extremely cordial and very pleasant to converse with</t>
  </si>
  <si>
    <t>Extremely proficient, cordial, pleasant</t>
  </si>
  <si>
    <t>Greeted with respect before entering the check-in area.  Needed a mask and there were plenty available.  Wait time was reasonable.</t>
  </si>
  <si>
    <t>Greeted with respect. Wait time reasonable.</t>
  </si>
  <si>
    <t>Why was the travel kiosks removed?  I find it harder to put in my travel claim, why is the VA making it more difflecult to submit a claim.</t>
  </si>
  <si>
    <t>Want kiosk for travel pay. It is hard to file travel claim now.</t>
  </si>
  <si>
    <t>I was unable to talk to someone at the check-in desk to schedule my next appointment because they were too busy with other people. I called the next day and found out that my doctor, or one of her people, had gone ahead and scheduled my next appointment for me. I think that was a very nice thing to do.</t>
  </si>
  <si>
    <t>Appreciated the RTC appt scheduling process</t>
  </si>
  <si>
    <t>Lab check in clerk was efficient, Lab Tech was great an painless</t>
  </si>
  <si>
    <t>Efficient, great, painless</t>
  </si>
  <si>
    <t>Bring back the checkin kiosh...it worked well and saved standing in line to be waited on during check in process.</t>
  </si>
  <si>
    <t xml:space="preserve">Want kiosk for check-in. </t>
  </si>
  <si>
    <t>I would like to compliment [NAME] at the Specialty Check-In window for her kindness and her always politeness. She makes feel welcomed.</t>
  </si>
  <si>
    <t>kind, polite, welcoming</t>
  </si>
  <si>
    <t>Walzem VA Clinic</t>
  </si>
  <si>
    <t>No waiting to check-in, clean facility</t>
  </si>
  <si>
    <t>No wait to check-in.</t>
  </si>
  <si>
    <t>St. Marys VA Clinic</t>
  </si>
  <si>
    <t>What happened to the check in kiosks?</t>
  </si>
  <si>
    <t>Wants kiosk to check-in</t>
  </si>
  <si>
    <t>I prefer the take a number to be served approach for the blood work. I think it is more efficient than the prior approach to check in and tie up an additional person. I did wait 30 minutes to be called though I think it will even out over time.</t>
  </si>
  <si>
    <t>General Check-in - Bad,General Check-in - Good,Wait time (arrival to check-out)</t>
  </si>
  <si>
    <t>Like taking a number at the lab. More efficient, but wait time went up.</t>
  </si>
  <si>
    <t>Berea VA Clinic</t>
  </si>
  <si>
    <t>Why do the people at the counter where you check in have to act like they hate their job and everybody walking through the door? Facial expressions and body language set the tone for the visit. When you say good morning but all you get is â€œlast name, last four?â€ Itâ€™s not pleasant.</t>
  </si>
  <si>
    <t>Not pleasant</t>
  </si>
  <si>
    <t>The check in instructions via text message, automated phone message, and signage at the parking lot are contradictory and not up to date. This needs to be corrected to expedite the process as it wastes the patient's time.</t>
  </si>
  <si>
    <t>Check-in instructions inconsistent across text mssage, automated phone message, and signage in parking lot.</t>
  </si>
  <si>
    <t>James E. Van Zandt Veterans' Administration Medical Center</t>
  </si>
  <si>
    <t>I have not always been treated courteously at the check-in window.</t>
  </si>
  <si>
    <t>Not courteous</t>
  </si>
  <si>
    <t>I don't like the new check in check out procedure, using a cell phone for check in,
then waiting in line for TRAVEL, we used to check in by KIOSK, the go straight to
the car and leave, knowing travel is completed.
THESE PROCEDURES JUST STINK.
I have been coming to VA Pittsburgh since 1968. 
I don't understand this Phone check in and then stand in line for TRAVEL  !!!!!!</t>
  </si>
  <si>
    <t>eCheck-in - Bad,General Check-in - Bad,Kiosk - Bad,Travel Pay - Bad</t>
  </si>
  <si>
    <t>Doesn't like PCI. Doesn't like waiting in line to file travel. Misses kiosk for check-in and travel.</t>
  </si>
  <si>
    <t>I am new to the VA and have not used this benefit until recently. I must say that my experience with all my appointments, (Front check in, Primary care, Podiatry, GI, Audiologist, X-Ray, and the Pharmacy) have all exceeded my expectations. The customer service received from every level of care has been outstanding. I am thankful for the services that have been made available to me. Thank you!</t>
  </si>
  <si>
    <t>on an emergency  for me requiring ambulance service, they will not take me to the va where I get faster and better care, at lower cost.-- I prefer the va to yale or st raphaels where traveling time is about 5 minutes less but checkin andcare is faster</t>
  </si>
  <si>
    <t>Ambulance wouldn't take them to VA</t>
  </si>
  <si>
    <t>Having scheduled blood work for in excess of twenty years I am quite experienced with the system. Basically you have a date that you appear. It's always been "First come First Served" within reason.
 I had an appointment on 11/17/2022 for 7:30 a.m.
  There was a major snowstorm that morning that resulted in me being 30 minutes late. I expected to check in and wait my turn.
 NOT THE CASE !!!</t>
  </si>
  <si>
    <t>Bad check-in experience at the lab.</t>
  </si>
  <si>
    <t>Beckley VA Medical Center</t>
  </si>
  <si>
    <t>my check in easy and smooth. waited only a few minutes for my appointment and the technician was great.</t>
  </si>
  <si>
    <t>Short wait time. Check-in easy and smooth. Staff - great.</t>
  </si>
  <si>
    <t>2022-11-25</t>
  </si>
  <si>
    <t>Everyone there, the check in person, nurse and doctor were very nice.</t>
  </si>
  <si>
    <t>Winsted VA Clinic</t>
  </si>
  <si>
    <t>Please get the log in Kiosk working.  All of my caretakers were exceptional in performing the needed tasks.</t>
  </si>
  <si>
    <t>Staff - exceptional. Wants kiosk back.</t>
  </si>
  <si>
    <t>The Dental team was AMAZING!!!  
Every aspect of my visit exceeded  expectations. The lady at check-in was cheerful and friendly. The Dental Assistant [NAME] was absolutely the very best I've EVER had - and I've had a LOT of dental work in my 74 years! [NAME] was very professional, caring, careful, knowledgeable and funny! She needs a promotion in pay grade. Dr [NAME] was exceptional as well</t>
  </si>
  <si>
    <t>Amazing, exceeded expectations</t>
  </si>
  <si>
    <t>Eagle Street VA Clinic</t>
  </si>
  <si>
    <t>The Providence VA PT department offers me quality health care treatment.   From [NAME] at check-in down through Judy my therapist.
And everyone in between.  
Great job to all.  
Jc, army vet.</t>
  </si>
  <si>
    <t>All the staff, Drs and nurses i come in contact with are always caring. I dont understand why the card scanners that you check in with went to a QR code, something i need to get used to i guess.
Thank you
Happy Thanksgiving</t>
  </si>
  <si>
    <t>Unsure about switch to PCI, but optimistic</t>
  </si>
  <si>
    <t>The check in kiosk was not working properly. I checked in for my appointment 15 minutes prior to my scheduled appointment time. After sitting for 25 minutes, I checked in with the receptionist only to find out I was not checked in. Don't require kiosk check in if the machines do not work.</t>
  </si>
  <si>
    <t>Didn't kow kiosk weren't working for check-in and ended up waiting a long time before realizing they weren't checked in.</t>
  </si>
  <si>
    <t>George H. O'Brien, Jr., Department of Veterans Affairs Medical Center</t>
  </si>
  <si>
    <t>Was warmly greeted upon arrival, and my checkin and office visit went very well. My provider took the time to review my labs and file history before the visit, and was up to date with my health care plan. Thank you!</t>
  </si>
  <si>
    <t>very positive experience was seen within 5-10 minutes of check in</t>
  </si>
  <si>
    <t>Prefer to know the location of my appointments within the facility. I wasted time within the hospital trying to locate the GI clinic. From a directory, I noted the clinic's location is on the first floor; however, there was no map and it took a few inquiries to locate it. When I went into the clinic, I was informed that my appointment was in another area and to check-in at the "Green Desk".</t>
  </si>
  <si>
    <t>I had two appointments, one at 3:00pm and the other at 3:30pm.  I checked in when I got there and assumed I was checked in for both appointments.  After waiting a period of time for my second appointment, I went back the desk and found out that I wasn't.  I don't think it should be necessary to check in separately for each appointment.</t>
  </si>
  <si>
    <t>you did away with Kiosk-ID card check in what next for an 80 year old...send me a smart phone and let my grandkid come with me  to check in, get travel pay, The clerk at Dental did good job heling me, give him a raise he opened door at 0720 also. I don't have time to learn many more 'SMART" things. Thanks to your employees and volunteers @ VAMC.</t>
  </si>
  <si>
    <t>There were no kiosks to sign in and pay for my visit as there had been in the past. The person at the front desk merely said it was no longer necessary and to proceed to my destination.</t>
  </si>
  <si>
    <t>Current check-in takes too long.  I stood 6 deep in line as only 2 of the 4 people at the windows were talking to those waiting.  Bring back kiosk check in, allow easy online check in, or have the people sitting behind the glass help.</t>
  </si>
  <si>
    <t>I'm very appreciative of the attentiveness of the VA staff during check-in, as well as, my primary care manager and psychology doctors!</t>
  </si>
  <si>
    <t>Bring back the kiosk for travel reimbursement. This paper filing is for the birds. Very time consuming!!! Not a smart move to go back to paper filing.</t>
  </si>
  <si>
    <t>Kimberly was extremely friendly, helpful and professional during the check-in process.  I was also very impressed with Dr. [NAME] thoroughness in assessing my physical condition.,</t>
  </si>
  <si>
    <t>Lieutenant General Richard J. Seitz Community-Based Outpatient Clinic</t>
  </si>
  <si>
    <t>This is my first trip to this facility, check in was easy, minimal weight time, and both my nurse and my doctor treated me well.</t>
  </si>
  <si>
    <t>The Durham VA Hospital Eye Clinic is awesome. Everything from check in to getting pre-screened and dilated to seeing the doctor was exceptional. Everyone was friendly, helpful, and concerned about my needs and issues.</t>
  </si>
  <si>
    <t>My checkin, nurse and PA were all courteous and prfessional. The checkin was and wait were both timely and short.</t>
  </si>
  <si>
    <t>I wish the receptionist (Check In and Out ) treated people like a Customer, with a smile and attentive rather than "I'm here for 8 hours". I was in the Military over 50 years ago although I"m a proud Veteran I don't wish to be treated like I'm still in.</t>
  </si>
  <si>
    <t>The reception at the check in for the eye  was rude and not helpful</t>
  </si>
  <si>
    <t>The clinic office personnel at check in or check out are rude and really are annoyed that you are there.  They are more concerned with talking on their phones and come across as not giving a flip about veterans.  If your black itâ€™s a different story.  They wait on black people first and very willing to help.  Itâ€™s obvious to me they hate white people.</t>
  </si>
  <si>
    <t>AAVA is a very busy facility taking care of a lot of veterans and families. From check in to check out  the doctors and employees and all staff are trying to be helpful  serving veterans. The 1 % of patients that complain don't know how good they have it at AAVA.</t>
  </si>
  <si>
    <t>My only concern would be that nurses who brings veterans back to the Doctor office. They all need to be consistent on the way the call veterans to the doors. I wasnâ€™t called at my appointment in which I showed up 8 mins before my time. I saw a sign letting me if I am is still waiting 15 after my appointment time let someone know. I went back up to the checkin person 2 mins later.</t>
  </si>
  <si>
    <t>Service was super, from check in to explanations by Doctor. Congratulations and thank you!!</t>
  </si>
  <si>
    <t>Cannot Compliment The Staff enough. From Checkin in to the end of my experience am always thankful for the respect and the Professional conduct I receive. ðŸ‘ðŸ‡ºðŸ‡¸</t>
  </si>
  <si>
    <t>Maui VA Clinic</t>
  </si>
  <si>
    <t>The APP to "check-in" on my cell phone is not working yet.</t>
  </si>
  <si>
    <t>From check in, to preop to the operating rooms on to recovery, every nurse, doctor, administrator &amp; orderly was professional, pleasant, skilled and caring. Simply a fantastic experience</t>
  </si>
  <si>
    <t>This has happened previously, Mt. Vernon clinic, check end sit down, 20 minutes go by and nothing,? I re check in, and out comes this nice conscience R N comes out, states, are we late for this appointment?</t>
  </si>
  <si>
    <t>The check-in machine was removed from it's usual location, no explanation and no instructions.  Veteran after veteran after me was subjected to the same terribly disrespectful jerk of a lady behind the glass.  She seemed to enjoy being inefficient (wasting our time) and completely rude.  She would better be employed at a cardboard manufacturing plant with no personal or public contact.</t>
  </si>
  <si>
    <t>Would Iike to see the Auto Check-in Kiosks brought back.</t>
  </si>
  <si>
    <t>Customer service/check-in presence was much improved over previous visits.</t>
  </si>
  <si>
    <t>Kent County VA Clinic</t>
  </si>
  <si>
    <t>Outstanding Team from check in to Dr and Nurse.</t>
  </si>
  <si>
    <t>The new system for lab check in is HORRIBLE! What used to take just minutes and ran like a swiss clock now seems to have created a bottleneck. The check in desk seems to be adding to the delays and wait time. We used to show up, sign in on the check in sheet and then usually got taken care of in a few minutes. Now there is a line waiting for someone to ask questions and verify the patient. Go back</t>
  </si>
  <si>
    <t>The check in kiosk wasn't working very well nor were the computers at the check-in desk and I was a few minutes late. One of the staff went out of there way to help me get checked in and find the bathroom and not miss my appointment since I drove all the way from East County! Thank you so much!</t>
  </si>
  <si>
    <t>Thank you for this survey. I have actually been trying to find a way to heap my praises on the Pharmacy staff. ESPECIALLY the check-in staff. It doesnâ€™t matter which window or which employee they ALWAYS greet me with a smile. A couple months back when I required a refill the staff messaged my PCM and when a reply wasnâ€™t received in 20 minutes she messaged the prescribing Dr behalf. AMAZING Staff!!</t>
  </si>
  <si>
    <t>Have big sign that say please check in at the kiosk and obtain a number</t>
  </si>
  <si>
    <t>I did not check in right away which delayed
the lab work.  When I did check in there was a long wait.</t>
  </si>
  <si>
    <t>My experience with services I have received from the VA has always been personalized to me and my situation. I listened to and given the best treatment for my situation. From check in through care, I have always felt comfortable and given great service and treatment.</t>
  </si>
  <si>
    <t>The only complaint I have specifically for the lake Baldwin pharmacy is with the 30 minute wait time goal from check in. I get that they are busy and that sometimes it will be more than 30 minutes. The issue is that when I check back in after 30 minutes, they tell me it'll be 30 minutes. They can't see that I've already checked in when they look me up in the computer. Add a timer so they know.</t>
  </si>
  <si>
    <t>The recent experience with Dental was/is no oneâ€™s fault. My provider retired ant the replacement toke time. When I did receive the call for an appointment I was treated professionally and courteous from check in to actual appointment. Thank you.</t>
  </si>
  <si>
    <t>John J. McGuirk Department of Veterans Affairs Outpatient Clinic</t>
  </si>
  <si>
    <t>Staff that you check in and out with are not very personable and some what robotic/no emotion towards veterans who come into clinic.</t>
  </si>
  <si>
    <t>Could make it easier to get travel compensation. If you check in for an appointment it should automatically trigger the compensation for travil</t>
  </si>
  <si>
    <t>The automation clerk that works at check-in desk of Physical Therapy gives great customer service</t>
  </si>
  <si>
    <t>Self check in is the best</t>
  </si>
  <si>
    <t>Ever visit to Ortho is great! Appointments are usually set 6 months out. During 3 visits in 3 weekly appointments I'm always met with a smile and first class service! I usually check in and go to waiting room. Within 15 minutes the nurses take me back for vitals. Then within 15 minutes I receive my knee injections. After my 3rd visit they set me up with my next appointments! Thank You Ortho! v/r</t>
  </si>
  <si>
    <t>2022-11-24</t>
  </si>
  <si>
    <t>Check in and appointment were on time.  Vitals were taken and I met with Dr. [NAME].   She did a physical exam and we went over all my medications and Labs.   A much better visit than my Medicare visits with my primary care PA with Novant.</t>
  </si>
  <si>
    <t>The aervice from check in to check out was phenomenal. The different individuals were great. After care to get my glasses was terrible. I waited over 2 months for this appointment. I head down stairs @ 1605 to find the section closed at 1600 and do not take walk ins. I was told that due to staff shortages they were stopping taking anyone after 1600! I had an appointment took off work and drove 45M</t>
  </si>
  <si>
    <t>The new check in not working we all donâ€™t know how to do it and it takes to much time</t>
  </si>
  <si>
    <t>My appointment was at 0830 I went to check in at 0800 Iwas told to come back at 0815 makes no sense, come back to check in at 0815 I was told I'm check in, did'nt see the doctor until after 0900, this has happen on more than one occasion.</t>
  </si>
  <si>
    <t>2022-11-23</t>
  </si>
  <si>
    <t>As always, the people at this clinic exceeded my expectations. If there would be one thing to improve, it would be to make it perfectly clear in the confirmation texts for my appointment that it is necessary to keep the text message on my phone to use for check in. I confirmed  my appointment, but did not retain the text message for check in. That caused a minor delay when I arrived.</t>
  </si>
  <si>
    <t>After the unnecessary first floor check in, my appointment with my doctor was super smooth. My physician answered my questions, provided recommendations and really made me feel at ease with the care and professional he provided.</t>
  </si>
  <si>
    <t>The c heck telephone check in procedure did not work for the second visit in a row.  The personnel at the desk seemed unfazed by this and annoyed when patients voiced frustration and need for assistance to get checked in for appointments.</t>
  </si>
  <si>
    <t>The check in change to the eye clinic wasn't handled or labelled well, caused several of us older limited mobility patients a hike down to C-126 only to be told to hike back to the front lobby for check in
at least one patient checked in at a kiosk but after an lengthy wait &amp; enquiring was told she hadn't been checked in at all
once notified the staff checked her in &amp; put her in the correct place</t>
  </si>
  <si>
    <t>The Geri-PACT Clinic is great!
The check in desk, [NAME] and Dr [NAME] were all professional and compassionate.</t>
  </si>
  <si>
    <t>The check in was fast and efficient. Dr. [NAME]. Was very helpful and Proactive on my needs.</t>
  </si>
  <si>
    <t>Enough with the masks already! They are proven to be of very little help and I have a hard enough time breathing without one.
The lady at the check-in desk could be a bit more pleasant and respectful.</t>
  </si>
  <si>
    <t>The check in area for the eye clinic keeps changing.  Poor planning on the VAâ€™s part, I was walking all over the hospital to find out where I check in.  I went from the F lobby, former check in to the main entrance to check in then back to the vision screening area.  Check in should have been moved to the out patient pharmacy area.</t>
  </si>
  <si>
    <t>I had a 0945 appointment in the Rheumatology Dept. I had to use my cell phone to send a text, or scan a QR code to check in. I usually leave my phone in the car for my hospital appointments.  I understand manning shortfalls and budget cuts, but there's something to be said about customer service and talking to a person.  If not at each dept. How about a central check in location down in the lobby?</t>
  </si>
  <si>
    <t>Modesto VA Clinic</t>
  </si>
  <si>
    <t>I love my team at the Modesto clinic. The staff there is so professional and attentive, from the staff that does the check ins to the medical staff, I always leave in a better place than when I came.</t>
  </si>
  <si>
    <t>My appointment on Nov 14 2022 involving lower spine Medial Branch Block procedure went very well. The Dr performing the procedure explained the process thoroughly and how they locate the source of pain. The RN and other medical support staff provided excellent care as well. The check-in person was very courteous and helpful too.</t>
  </si>
  <si>
    <t>I checked in 15 minutes early. I waited 45 minutes. Decided to check on my appointment. Found out the computer had not registered my check in. Got in. From that point, my appointment was perfect.</t>
  </si>
  <si>
    <t>The check in and out service was outstanding. The clerk did was needed to meet my requirements for my next appointment</t>
  </si>
  <si>
    <t>Henrico County VA Clinic</t>
  </si>
  <si>
    <t>If possible and after clients are clear with their appointment; there should Not be a need to go back to the check in line as the area does not provide the necessary confidentiality to request follow up appointments. I felt that everyone in the room knew I need other appointments as I had to speak up to be heard by the VA Employee. Embarrassing!</t>
  </si>
  <si>
    <t>I was called the day before and given an appt for the next day. I could barely understand the man that called me. He told me that the appt was for follow up but didn't know what for. I checked in with the same guy when I arrived for my appt. I waited 1 and 1/2 hours and went back to the check in area to find out why such a long wait. Many people were helped and I was the only one not. Total mix-up</t>
  </si>
  <si>
    <t>Virginia Street VA Clinic</t>
  </si>
  <si>
    <t>Check in was excellent, service (NAME)was excellent and on time. Thanks</t>
  </si>
  <si>
    <t>I was just surprised to know that there is a new place to check in for my cpap concern. I went all the way at the back of the building but it feels interesting. The staff was very cordial from the guard to the person in charge of cpap. Although I should say, I am an expert in using the machine, I appreciate the person in charge explained/reviewed me about the machine. He said it is not the latest.</t>
  </si>
  <si>
    <t>Gainesville Sixty Fourth Street 3 VA Clinic</t>
  </si>
  <si>
    <t>Patients should be advised (at check in) that appointments are running late.  Don't know the reason why they are running late but I would like to be made aware and not just sit a wonder if check in was done properly.</t>
  </si>
  <si>
    <t>better visual display of area to let veteran know how to proceed with getting  prescription filled.  I.E largersign saying check in for prescription  and larger sign saying pickup  area.</t>
  </si>
  <si>
    <t>I would like for the kiosk for checking in and submitting travel pay to come back.</t>
  </si>
  <si>
    <t>I like the early morning appointments. The check in process was very quick and efficient. The nurse, [NAME], was very proficient and explained everything as she asked questions and performed her checklist. The visit with Dr. [NAME] was very good. I did not feel rushed and he seemed very concerned about my health.</t>
  </si>
  <si>
    <t>Dermatology Dept great especially [NAME] and her nurse, also check in and out people are very friendly and helpful</t>
  </si>
  <si>
    <t>I didnâ€™t have to wait too long for care. When I got to the pharmacy, my prescriptions were already filled without my having to check in there.</t>
  </si>
  <si>
    <t>The change is check-in/out procedure has made a noticable increase in the delays for those two processes.  
The optical shop appointments are too numerous for the number of staff.  Two hours for a basic optical visit (including an extended wait in the middle of the visit) is rather lengthy.</t>
  </si>
  <si>
    <t>The kiosk were a much more efficient way to check into appointments and made things much smoother.</t>
  </si>
  <si>
    <t>the process for RX pickup would go a lot faster if we scanned our ID for check in. then our number would be our last name and last 4.</t>
  </si>
  <si>
    <t>Pharmacy does a great job. Being received at check in desk is another story.most f the time they are other employees or police officers chatting away and it feels I am invisible or Iâ€™m a bother.this is not the case with pharmacy but other desk.some time I go to other desk just to check in.I am happy to be bless to be taken by Va I just want to be seen specially when Iâ€™m in pain.</t>
  </si>
  <si>
    <t>The check-in staff are wonderful and kind.</t>
  </si>
  <si>
    <t>I have been using the VA since 1993. Thru the years I have noticed that the service and response to my medical needs has improved year after year. particularly the last 10 years or so. picking up meds at the VA since the start of covid has streamlined to the point that I call in the day of pick up , check in at kaisos, get in line (often no line) and literality am in and out in a few minutes.</t>
  </si>
  <si>
    <t>One, the one on the left, check in kiosk did not accept my card.  The one on the right did.</t>
  </si>
  <si>
    <t>This appointment was cancelled and rescheduled for the 16th.  I answered the questions for the 16th. When checking in it would be more convenient to use the kiosk instead of coming home and fighting the VA site to get my travel pay.</t>
  </si>
  <si>
    <t>I entered the building at 1230 for a 100 appt. There was an Express Check IN kiosk near the entrance. I asked if I could check in there for my appt. I was told I could so I did that. By  145 I still had not been called on for my appt. I asked the receptionist what the delay was and was told there was no record of my having checked in. There is confusion at the VA about where to check in for appts.</t>
  </si>
  <si>
    <t>From the check in desk to the nurses and the doctors all treat me with respect and concern with my well-being.</t>
  </si>
  <si>
    <t>East Orange VA Medical Center</t>
  </si>
  <si>
    <t>The appointment was made rapidly and the date was only a few days away. Very friendly and couteous treatment from all persons in scheduling, check in, and treatment.</t>
  </si>
  <si>
    <t>I am always impressed by the professionalism and positive attitude of all the staff at Tomball VA Clinic. Whether being greeted at check-in or seen at the Lab or by my PCM, I'm confident the folks I speak with will treat me with respect and help me understand what is offered in advice or treatment options. Secure messaging is a huge plus here as I have been where it was available in name only.</t>
  </si>
  <si>
    <t>A digital kiosk to help people locate their appointment location(s). Volunteers are great to have for some needs and some people but on the day I showed up for my imaging appointment, the kind lady at the help desk kept giving me directions to radiology when my question was simply, "Do I go to the 3rd floor for a CT scan?" I've already been there many times in recent years.</t>
  </si>
  <si>
    <t>The staff has been able to make due with a temp station while construction proceeds. That was easy and marked well for the patients.  (EYE CLINIC CHECK IN).</t>
  </si>
  <si>
    <t>Unprofessional staff that waited to open the check in window at approximately 8:05 am when my appointment was at 8:00 am.  The two staff members were in the check in window office and had black curtains pulled down.  I arrived 30 minutes prior to my appointment as instructed.  I experienced a small percentage of administrative and medical staff that's I perceive are uncaring.</t>
  </si>
  <si>
    <t>El Paso Northeast VA Clinic</t>
  </si>
  <si>
    <t>Since the kiosk machine was disabled I check with the front desk and they told me I was checked in. After a little more than an hour of not being called I knock on the lab door and told them I was there to get my blood drawn when they checked their computer, they told me that I was not checked in. Tthey drew my blood and I was able to leave.</t>
  </si>
  <si>
    <t>I found the new check-in procedure very easy to use and it seemed to speed up the process.  Thanks</t>
  </si>
  <si>
    <t>Suggest VA introduce a check-in app and Reminder similar to what Quest Diagnostics use. It sends a reminder of your upcoming appointment by text and on the day of appointment sends a check-in app so patrons don't have to fall in line at the kiosk.</t>
  </si>
  <si>
    <t>I Checked in twice via cell phone text and stated all checked in. Waited 40 minutes and went to counter and was told I also have to check in with counter. Why check in on phone.</t>
  </si>
  <si>
    <t>When I went to check-in there was no kiosks operational. There was only one person at check-in/scheduling and a long line. Over 15 min to check-in.</t>
  </si>
  <si>
    <t>The "new" online system to request travel mileage reimbursement is absolutely terrible!  The kiosk system at the VA was VASTLY superior.  The new system is VERY difficult to navigate.  Let me repeat that VERY DIFFICULT TO NAVIGATE!!</t>
  </si>
  <si>
    <t>I am  constantly being asked to provide a cell phone for check in. I will quit coming into the VA before using my cell phone for check in. I feel like they are bulling most times I check in for an appointment.</t>
  </si>
  <si>
    <t>it was difficult to summit a travel claim and to check in for the appointment with out the cp display.</t>
  </si>
  <si>
    <t>the travel compensation used to be easy with the checking kiosks.  now it is going to phone app or physical paper copy.  this is a giant step backward!!  older vets such as myself do not use their phones as computer terminals.  i don't want an app on my phone to conduct VA business.</t>
  </si>
  <si>
    <t>2022-11-22</t>
  </si>
  <si>
    <t>I was very happy with the check in process. I was also very comfortable with any discussion that I had with my doctor concerning a few precancerous spots on my shoulder, arm and hand. He explained what concerned him and why. He was interested why I was there and what needed to be done. He told me the procedure would be to use liquid nitrogen to freeze the spots in question. Didn't happen??</t>
  </si>
  <si>
    <t>Travel reimbursement
Now we are back to having to fill out a paper reimbursement form since the automated kiosks have all been removed to what end I canâ€™t fathom
I am still awaiting reimbursement for visits in early to mid October.
Reimbursement for travel by the VA at John Dingell are a joke</t>
  </si>
  <si>
    <t>Where are the Kioskâ€™s for mileage?</t>
  </si>
  <si>
    <t>Attempting to get one's travel pay - and receiving it is a nightmare!! Takes up to 6 months before it arrives in my bank account. Plus, half of the kiosks for travel pay do not work. And, then I was told by a clerk that the VA would be getting rid of them and going to paper! No idea how that will work seeing as how it is already a disaster.</t>
  </si>
  <si>
    <t>Return to using in person appointment completed processing for Travel Pay reimbursement.  The clinics check in and out controlled it well.
And, the current BTSSS portal site hasn't worked for claim processing my last six appointments.
Using it properly (after appointment) was convenient, secure, and hassle free.</t>
  </si>
  <si>
    <t>At reception,  clerks are behind a glass wall giving instructions that cannot be heard, ESPECIALLY BY THOSE OF US WITH HEARING PROBLEMS!!!. So the checkin consisted of a clerk  (who apparently did not want to be there, based on her sour ,surly manner) pointing to signs posted about the room that meant very little .Not the kind of reception deserved or expected from a professional organization.</t>
  </si>
  <si>
    <t>People are rude when I check in and check out. My request to schedule an exam I was told I need was blown off or disregarded. Doc was too busy talking over me to take an interest in what I had to say. I keep calling different places within the Topeka VA hospital about the exam but no one will return my calls. Doc won't help me.</t>
  </si>
  <si>
    <t>First, the texting check-in is a hit and miss of working. Second the waiting area has the veterans sitting in front of double wide opening doors and it was very cold outside, so it made the 1 hour wait unpleasant. Third, veterans coming in the double doors would walk through the seating area next to you so NO spacing. The completed waiting room needs to be redesigned. Back-up staff for blood work.</t>
  </si>
  <si>
    <t>Was so much easier for travel pay when it was at Kiosk machine and submit travel from there. Now travel forms must be filled out, and when you come in: forms are supposed to be next to mailbox. Friday no forms, Monday I returned and no forms. This seems like a way to not pay the veteran for travel .I drive 2.5 hours to hospital and no extra time to go to travel: check/pay machine is much better</t>
  </si>
  <si>
    <t>The kiosks do not function. The person who would help you "check in" acts as though it is a small problem for him to do so. asks repeatedly questions when answered clearly. You have to wear a mask, stand far away from the counter where the check in person is... making communications difficult. No signs that "The line starts here" or "wait here" .. nothing to give you instant directions.</t>
  </si>
  <si>
    <t>Everyone was nice but the ladies at the check in desk were very energetic and polite! I didnâ€™t have to stand there to wait for someone to recognize me.  Both workers seemed to enjoy each other and just made you feel comfortable right along with them.  They also knew what they were doing.</t>
  </si>
  <si>
    <t>I'm tired of having multiple pulmonary function tests with no definite diagnosis or results. VA put me on hold for a year with a very painful gallbladder and I had to go to a private doctor who saw me and took it out in 3 days. VA used to be decent, now it's just kick the can down the road. 
Ohhh, took the kiosks out and now file travel cause website never works</t>
  </si>
  <si>
    <t>Would be helpful to notify vet directly in advance of appointment if the check in procedure is changed due to construction.</t>
  </si>
  <si>
    <t>I arrived 30 minutes before my appt. Was acknowledged 20 minutes after my appt. time. The professionals do their job; the check-in staff is late to work, lazy, no one seems to hold them accountable, they don't give a shit about the patient. I would fire 90% of them and replace them with someone who has a work ethic. Most are people of color and they skate because any challenge would be racism</t>
  </si>
  <si>
    <t>Check in was a breeze in audiology as the clerk was very helpful and pleasant.
Dr [NAME] spoke clearly and slowly so Veteran could understand, and told him
his options.  He left with a good understanding of next steps and pleased.</t>
  </si>
  <si>
    <t>I very much like to change to in person check in at the clinic.  This is a welcome change.</t>
  </si>
  <si>
    <t>It takes to long to check in at the Audio Office. The secretaries are always on the phones and everyone has to wait until they're finished. Someone needs to answer phones while they check people in.</t>
  </si>
  <si>
    <t>Received excellent service from check-in, provider to check-out.</t>
  </si>
  <si>
    <t>Balcones Heights VA Clinic</t>
  </si>
  <si>
    <t>Difficulty finding the clinic. There is no sign or arrows directing you to this specific clinic. Had to walk quite a bit to get to clinic. The other two clinics in the building have big signs .  Also no kiosk for you to put in fo travel pay. Do not like going to this location.</t>
  </si>
  <si>
    <t>My appt was at 1300...arriving at about 1235.   By 1330 I still wasn't called back for covid booster shot.  So I went to check in counter and asked the woman how much longer.  Within 5 mins I was called back for my shot and I asked why it took so long and was told..I had to go to lunch..to which I replied then appts should not be scheduled at 1300...and she replied I was taking careofveterans</t>
  </si>
  <si>
    <t>Brooklyn VA Medical Center</t>
  </si>
  <si>
    <t>It was a waste of time to check-in at pod C and then checking in again at the doctor front desk.</t>
  </si>
  <si>
    <t>Need to reopen kiosk to check in and apply for travel pay so that you donâ€™t have to stand in line so long. Also need to do away with masks. Pandemics is over.</t>
  </si>
  <si>
    <t>I was greeted when I entered in the V.A. office!  My check in was done without any problems and the person that attended to my needs was very polite and very professional.</t>
  </si>
  <si>
    <t>When I arrived at the appointment with my confirmation letter. I was told that was in the incorrect clinic. The code used was for NW VA clinic, Iâ€™m unfamiliar with this; however, the letter stated Audie Murphy, so I reported to Audie Murphy like I have in the past. The assistant at the checkin desk pointed this out to me, but also mentioned it has happened before. Need to get this corrected.</t>
  </si>
  <si>
    <t>Escondido VA Clinic</t>
  </si>
  <si>
    <t>I checked in for my appointment 15 minutes early but wasn't called back until 20 minutes after my appointment time. The receptionist called our name, asking if I was still in the waiting area, she did the same thing to the guy sitting across from me. Once I was in the exam room, I learned the medical staff thought I was late. The receptionist did not fully check-in my arrival.</t>
  </si>
  <si>
    <t>Nobody was at the check in desk for about 30min.</t>
  </si>
  <si>
    <t>My 8am appointment was perfect,  I had an appointment supposedly at 10:30 am, I was there at that time I checked in and the real time for check was supposed to be 11:30. My appointment was on time but somehow the check in time was an hour early. Plus the post card system in my opinion is poor. On one appointment the fasting part information was in the crease and you couldn't read it. I prefer the</t>
  </si>
  <si>
    <t>Please bring back the kiosk or make online filing easier. Filing a claim online was an absolute hassle that kept directing me back to a page I already signed in on.</t>
  </si>
  <si>
    <t>My most recent visit to my PCP was as expected, as all visits with Dr. [NAME] go well. My concern is that my annual flu immunization on 10/17/2022 was not documented and there was no way of determining why this error occurred.  It appears that my check-in was not documented, the nurse who administered my vaccine was not required to document checking out the vaccine or administering the vaccine.</t>
  </si>
  <si>
    <t>Get rid of the face masks as a requirement to enter into the office for appointments.  The masks DO NOT WORK!  If someone wants to wear a mask on there own then let them, but it should not be mandatory.  Also, update the furniture and appearance of the office.  As veterans we should be walking into an up to date and modern facility.  If electronic sign in kiosks are broken then repair or replace.</t>
  </si>
  <si>
    <t>Check-in lady logged my second appointment 2:30 and failed to log in my first appointment 9:30 which caused me to almost miss the first.</t>
  </si>
  <si>
    <t>We can not use kiosks to file for travel. Why do away with such an easy and available system. Not sure how to file.</t>
  </si>
  <si>
    <t>From the check in staff to my CT Scan technician my experience was absolutely amazing!! Everyone was extremely nice, welcoming and informative! Thank you for such great service!</t>
  </si>
  <si>
    <t>95</t>
  </si>
  <si>
    <t>Checkin and arrangements are a little too electronic  for your old clients</t>
  </si>
  <si>
    <t>Did a "pre appointment" check in by cell phone. Was instructed to enter, have a seat in the lobby, and someone would come for me. Waited 20 minutes past my appointment time. A staff member came into lobby and asked if anyone was there for lab work. I was taken back to exam room and told I needed to also check in at window so they would know I was there. That was NOT included in the text message.</t>
  </si>
  <si>
    <t>Extremely professional and caring. Definitely cares about the patients. From Reception, to check-in, to initial screening, to seeing the Doctor, and finally to checking out this has been one of my most pleasant experience in 60 years.</t>
  </si>
  <si>
    <t>The guy who does the labs check in is incredibly helpful and friendly and professional. He consistently goes above and beyond at every opportunity.</t>
  </si>
  <si>
    <t>Bring back self check in</t>
  </si>
  <si>
    <t>Check in desk personnel, and my lab tech were extremely pleasant, efficient, and professional.</t>
  </si>
  <si>
    <t>Grand Prairie VA Clinic</t>
  </si>
  <si>
    <t>Sometimes the check-in staff is socializing when Vets are trying to check-in. 
Or, will act like they are so focused on the computer screen that they do not see
 a Vet that has stepped in front of them in their line to be checked in.</t>
  </si>
  <si>
    <t>For some asinine reason we ( the veteran)are required to check in at the pharmacy window before they start the process, even though the Rx was already iniciated by the Dr. on the computer. When asked why , they say too many Veterans don' t pick up their Rx that day. So what .Then just mail the Got Dang prescription. What's the difference!</t>
  </si>
  <si>
    <t>The check in station and the imaging nurse were very polite, professional and timely.</t>
  </si>
  <si>
    <t>The pharmacy check in window should be split between Vets that have questions about their meds and Vets picking up refills. Make an option to log into Myhealth Vet to refill AND pick up prescriptions from the local VA and have them send us a â€œ ready byâ€ x:xx time to help with waiting. If that already is an option then let us know it is</t>
  </si>
  <si>
    <t>Donâ€™t have a smart phone and donâ€™t think itâ€™s right that I canâ€™t check in by the machine! Also think itâ€™s time to get rid of the masks</t>
  </si>
  <si>
    <t>Tomah VA Medical Center</t>
  </si>
  <si>
    <t>What happened to the check in and travel pay machines ?  They were so much more efficient then now</t>
  </si>
  <si>
    <t>There was a sin in the area that said to check in first, But there was NO sign that said were check in is. There was a line but didn't know if that was check in or information or a line to pick up Prescriptions. I had several places at the VA to check with and was not aware of which I should take care of first and which line to get in first and how long each would take as I live over 50 miles away</t>
  </si>
  <si>
    <t>Service was prompt, professional, and polite. Staff was exceptionally helpful. Facility was convenient - was even offered a ride from the parking lot to the emergency department. Being new to the VA, we were impressed. Wait time from check in to check out with pharmacy was less than an hour.</t>
  </si>
  <si>
    <t>Silverdale VA Clinic</t>
  </si>
  <si>
    <t>My check-in Nurse and Provider were awesome! Very outgoing and professional.</t>
  </si>
  <si>
    <t>RENEW the contract for the Kiosk machines that were at the VA Medical Center 3900 Woodland Ave, Phila. PA. 19104. MUCH MORE EFFICIENT than the paper fill in request for travel and a clerk for check in....The VA is wasting resources on providing jobs and other ancillary things that make the VA less efficient....Sincerely, [NAME] #6674</t>
  </si>
  <si>
    <t>2022-11-21</t>
  </si>
  <si>
    <t>Plantation Street VA Clinic</t>
  </si>
  <si>
    <t>After I checked in, I waited 30 minutes before I went back up and asked what was taking so long.  My healthcare provider said no one had told her I was waiting, so at check in they didn't notify her.</t>
  </si>
  <si>
    <t>I liked to use the computer check in station to confirm I was there for my appointment. My last appointment it was gone!</t>
  </si>
  <si>
    <t>Hackensack VA Clinic</t>
  </si>
  <si>
    <t>Easy to check in by scanning my VHIC card.  No wait, I was in the exam room at my appointed time. The staff was friendly and professional. Dr. Restrepo had briefed herself with my file.  I felt confident that she genuinely was concerned about my health.  She listened to my health concerns and made pro-active recommendations to ensure that I took advantage of assistance the VA provides to veterans.</t>
  </si>
  <si>
    <t>My husband's appointment was at 8am (first patient of the day). he was asked to check in at 7:45. We checked in at 7:30. His vitals were taken at 7:45. The doctor didn't see him until 8:30. When we complained about waiting, we were told by him that things happen. The doctor knew that morning that we wouldnt be seen on time but yet didn't attempt to let us know or even the receptionist. NOT HAPPY!</t>
  </si>
  <si>
    <t>They are set up for a check in and check out and do follow-ups.</t>
  </si>
  <si>
    <t>When I arrive for visits I use the kiosks to request reimbursement for travel. Not once have I received reimbursement using this method.</t>
  </si>
  <si>
    <t>I really am unhappy with the removal of the digital check in process and especially unhappy with having to stand in a line for twenty minutes to check in only to be told that I was in the wrong line and had to go elsewhere. The digital check in was working, why does the government insist on fixing that which is not broken!</t>
  </si>
  <si>
    <t>follow the signage for Home Oxygen Checkin only to find no one at the desk/no one in the hallway/adjoining offices to alert that I have arrived. So I sit. And I sit. . .   SOUSLEY campus concern: able bodied police officers block the handicap entrance. Elderly family stearing elderly veterans in wheelchairs/walkers around police cars is disrespectful and unacceptable. Shame on you!! I have pics!!</t>
  </si>
  <si>
    <t>Brunswick VA Clinic</t>
  </si>
  <si>
    <t>Dr, [NAME] is the greatest ever providing services for my anxiety and listening to my everyday problems, she doesn't judge me. The check-in personnel are very friendly. The Nurse Tina always greets me with a smile and makes me feel like I matter.</t>
  </si>
  <si>
    <t>I had a difficult time trying to use the check in system, since my appointment was for 7 and there was no one there.</t>
  </si>
  <si>
    <t>Why did the VA stop using the kiosks? They made things much easier with checking in and filing travel. It needs to come back or another type of self check in system.</t>
  </si>
  <si>
    <t>The new check-in system is very hard to follow. In addition, there is no mention on the appointment or check in where to go. I am 41 years old and work in IT. I even find that I donâ€™t know where to go most times. I feel sorry for the older veterans that do not know much, if anything at all, about technology.</t>
  </si>
  <si>
    <t>Someone told me that veterans rated 70% or above receive a travel allowance for appointments at the VA. I'm not aware of the process and was never informed at any check-in appointments.</t>
  </si>
  <si>
    <t>There needs to be a better location for the check-in/waiting are for EEG.  Additionally, if you want the person being tested to be able to fall asleep, wouldn't it make a lot more sense for the room to be soundproofed?  I could hear people opening and closing doors and flushing toilets, and they weren't even in the immediate area.  Most distracting.</t>
  </si>
  <si>
    <t>As always the Pharmacy personnel were outstanding.  The folks at the "check in window" are knowledgeable, efficient,  and friendly. The Pharmacist pickup window quick, professional, always correct. Thanks</t>
  </si>
  <si>
    <t>2022-11-20</t>
  </si>
  <si>
    <t>It was a fowl day which my appointment was scheduled so I got in an hour before my appointment however; the new system would not allow me to check in and thought if there were some cancellations it would have been more convenient for me to get into my appointment.  Also the doctor wanted to dilate my eyes and he started to forget till I reminded him&gt;They are doing too much.</t>
  </si>
  <si>
    <t>St. Louis County VA Clinic</t>
  </si>
  <si>
    <t>Ever since the kiosk have been discontinued, it is harder to check in.  I notice older veterans having a more difficult time than I do.  Also, there were only two ladies working the desk area and one was doing all the work so it created a backlog.</t>
  </si>
  <si>
    <t>Since the only entrance is the front main door all check-in kiosks should be at that entrance. There are only three of the original four working and two are downstairs at the furthest point from the entrance. This creates delays and difficulties for disabled veterans.</t>
  </si>
  <si>
    <t>Dr called in sick. Now have to wait another 2mos for procedure.
Had to submit travel refund with a person since kiosk didn't accept. She was very cold and not helpful. My first experience with this type of contact at WRVA</t>
  </si>
  <si>
    <t>I feel the removal of the kiosks for appointment check-in and submitting travel reimbursement was a HUGE mistake. The kiosk process was quick, simple, convenient, and available to me while at the VAMC Boise facility. The website is clunky, tedious, time-consuming, and requires access to an internet-enabled computer. That system does not have an option to "Remember this computer".</t>
  </si>
  <si>
    <t>It was my first time at a VA facility they treated me kind and was very professional. The check in clerk was nice, my LVN made me very comfortable and showed me the facilities.</t>
  </si>
  <si>
    <t>Removing the traveling kiosks to make a claim was a mistake. It was easy and efficient. Bring it back!!   Everyone seemed a little stressed.</t>
  </si>
  <si>
    <t>Glen Burnie VA Clinic</t>
  </si>
  <si>
    <t>This appointment went exactly as I expected.  Check in was fast and efficient.  Meeting with the lab technician was actually a few minutes early.  Everyone was friendly and knowledgeable.  Kudos to  everyone.</t>
  </si>
  <si>
    <t>The VA makes it very easy to check in and bring you back on time.</t>
  </si>
  <si>
    <t>`</t>
  </si>
  <si>
    <t>2022-11-19</t>
  </si>
  <si>
    <t>Slight problem with check in process. After checking in 15 mins before appointment, sat in the waiting area for an hour. Had to make sure I was checked in to which I was. Was promptly called thereafter.</t>
  </si>
  <si>
    <t>I arrived for my appointment 20 minutes early and checked in via the text message way. 35 minutes later I went up to see why I had not been called. I was informed that you have to check in at the window that the text message doesn't work properly. I suggested they take the sign down then everybody would have to check in at the window. I left an hour later in the sign was still up. Take it down!</t>
  </si>
  <si>
    <t>UPON ARRIVAL.....NOBODY THERE.  30 MIN.s later dentist called me in HIMSELF.....UPON LEAVING (10 mins)....NOBODY THERE TO CHECK-IN OTHER DENT. PATIENTS COMING IN........NOBODY THERE...ðŸ‡ºðŸ‡¸..</t>
  </si>
  <si>
    <t>When checking in at the kiosks it would be nice to see a mini video of how to get to your appointments or print out a mini map, itâ€™s a big hospital and easy to get lost.</t>
  </si>
  <si>
    <t>Everyone and I mean everyone from check-in to check out was extremely efficient, polite and courteous.  All went well as had visits at both vision and audio departments.</t>
  </si>
  <si>
    <t>Staff  from check in to delivery care during my visit was very helpful professional and courteous. Treat like family.</t>
  </si>
  <si>
    <t>Dr. [NAME] in audiology is professional, courteous, has a caring bedside manner. She took plenty of time fitting my new hearing aids and was very patient getting the software installed on my iPhone. I just wish the staff at check in and out were more like her. They obviously donâ€™t like working with people. Also I donâ€™t like shouting my name and last four since the barriers went up.</t>
  </si>
  <si>
    <t>Fix the check in machines.  All the clerks want to do is laugh and talk amongst themselves. They have to ask more than once for your info because they are busy with conversations between themselves and cannot concentrate on the patient.</t>
  </si>
  <si>
    <t>I received notice that I had a VA appointment, but no information with how or where.  I just went early and asked lady at check in counter and she took me everything I needed to know.</t>
  </si>
  <si>
    <t>Eliminating the kiosk check in for smart phones is a big mistake. Why not have both?</t>
  </si>
  <si>
    <t>I was treated professionally and courteously from check-in to check-out. I wish I could supply the full name of the nurse (Dan) and the urologist who conducted my prostate biopsy but you'll have to consult the record. In any case, they were patient and thorough in explaining everything that was to be done and how and then did it very efficiently and professionally. My treatment was first-rate.</t>
  </si>
  <si>
    <t>That check-in kiosk in Mod 3 needs clearer instructions for use. It is a "challenge" just like that check-in kiosk at the pharmacy. Honestly, it can get pretty irritating sometimes when it refuses to cooperate.</t>
  </si>
  <si>
    <t>very efficent check in, lap test, nurse checks and Dr. appointment, plus pharmancy and setting follow on appointment.  Thanks Great service</t>
  </si>
  <si>
    <t>GO BACK TO USING THE KIOSKS FOR SELF-SERVICE CHECKING IN.</t>
  </si>
  <si>
    <t>I found myself arriving at the time slated for the appointment, not 15 minutes early as normal.
The reason for my later than normal arrival was due to the fact that the printed appointment schedule  I received at my last appointment had the appointment time listed first followed by the earlier check-in time, I stopped reading and mentally assumed it was the check in time.   I was seen on-time.</t>
  </si>
  <si>
    <t>Being forced to checking in at the front door electronically, them getting chastised for not checking in again at the counter where my appointment is STUPID &amp; REDUNDANT. Why waste money and time on electronic checking in when the women sitting at the front of your specific appointment area are ignoring you and making you late for your appointment because you didnâ€™t ALSO check-in with them.</t>
  </si>
  <si>
    <t>HAD TO WAIT OUTSIDE IF THE BLOOD WORK FACILITY.   DID NOT OPE UNTIL 5 MIN BEFORE APPT.   ONLY ONE PERSON WORKING FOR MANY WAITING IN LINE TO CHECK IN.  THIS ALSO WAS TO HAPPEN AT MOD-D THIRTY MINUTES LATER.  NEED PEOPLE TO BE AVAILABLE TO CHECK IN PATIENTS FOR THE EARLY APPOINTMENTS.</t>
  </si>
  <si>
    <t>Delaware County VA Clinic</t>
  </si>
  <si>
    <t>Checkin was easy and I was taken promptly to have my blood drawn.  The technician was polite, friendly and effective.</t>
  </si>
  <si>
    <t>Checkin person, nurse, and provider made me feel welcome and respected.</t>
  </si>
  <si>
    <t>On check in, the questionnaire was poorly printed and difficult to read.   One page referenced a color chart ( black and white), totally illegible!</t>
  </si>
  <si>
    <t>I had an appointment scheduled for 11/15/2022 @ 1300 hrs. and received a letter confirming this appointment.  I drove 84 miles from my home in Mesquite to Northwest Las Vegas VA Clinic and upon check in I was informed that this appointment has been cancelled.  I received no notification of any kind that this appointment had been cancelled.  I drove 84 miles home (168 miles round trip, $55 in fuel</t>
  </si>
  <si>
    <t>Please remove the signs for checking in to your appointment via the QR code, as this does not complete the process.  I still needed to check in at the front desk, which I didnâ€™t know and waited for 20 mins before asking.</t>
  </si>
  <si>
    <t>What happened to the kiosks? They were a valuable tool that helped immensely with check-in and especially at labs.
And NO, I'll never use a 3rd party app on my phone to give them all my info and whatever else they deem will make them money while spending nothing on security.</t>
  </si>
  <si>
    <t>Prior to my recent visit, "check in" was completed through any of the automated kiosks located around the clinic. Now we must manually check in at one of the windows with live personnel. It feels like we are going backwards and not utilizing all of the new technology that is available.</t>
  </si>
  <si>
    <t>Doctor [NAME] greeted me with kindness, explained my injury and plans for follow up. The staff at check in/out insured that I had my next appointment and sent on my way with a smile.</t>
  </si>
  <si>
    <t>From check in to completion was a great experience, everyone was very courteous and respectful. Always have a great experience</t>
  </si>
  <si>
    <t>This was my first visit to the dental clinic.  I have nothing but positive things to say.  Easy check in, no waiting, staff was knowledgeable and all my questions answered.  I felt that I was important and everyone involved truly cared.</t>
  </si>
  <si>
    <t>I find the current method arriving at my appointed time and checking in somewhat difficult. It was a lot easier when I put my VA card and it was scanned and I could check in that way it was a lot easier.</t>
  </si>
  <si>
    <t>Great staff. Always felt like l am number one when l have had appointments, starting with the check in person , nurses, and my doctor. They are all great.</t>
  </si>
  <si>
    <t>The Lawton VA have done away with the kiosk. You have to wait in line to speak to the receptionist or scan a barcode to sign in for your appointment. Honestly, the kiosk was faster in my opinion. Old saying why fix it if it ain't broke?</t>
  </si>
  <si>
    <t>Somersworth VA Clinic</t>
  </si>
  <si>
    <t>Somerworth VA is first class! From the moment you check in to the time you leave people are friendly and very timely. I have never waited more than a couple minutes to be seen my appointment and the staff is excellent! Thank you!</t>
  </si>
  <si>
    <t>kiosk was much easier to request Travel pay.  Much more difficult now.</t>
  </si>
  <si>
    <t>2022-11-18</t>
  </si>
  <si>
    <t>I was confused about where and what my appointments were for, I asked one of the volunteers wearing a maroon vest behind the computer kiosks where to locate this information? She curtly said go check in, twice to me.</t>
  </si>
  <si>
    <t>My appointment was at 1:45 check in at front desk at 12:15 used smart phone to check in and confirm at front desk didnâ€™t get to see dr until 3:00 and that wasnâ€™t until I went back to front desk at 2:45 to ask why other vets with later appointments were being seen</t>
  </si>
  <si>
    <t>I was disappointed that there is no longer a sign in kiosk.  Frankly, I don't trust the VA to properly submit my beneficiary travel reimbursement.  
I had two appointments that day, podiatry and audiology.  Podiatry was great, audiology not so much.  That provider tends to be quite condescending.</t>
  </si>
  <si>
    <t>Staff at desk, check in, my appointment and check out were professional, personable and friendly. I really appreciate them because they are the backbone of the VA.</t>
  </si>
  <si>
    <t>The female person that checked me at the door to the VA clinic was not pleasant.  Rather abrupt.  She said check in with my phone and I said I don't know how and didn't want to do it.   
I used to get my lab work done after my appointment with the physician, but they closed the lab at 11:00.  The nurse and doctor don't like the new policy and neither do I.  Can this be changed?</t>
  </si>
  <si>
    <t>love the new clinic but may I recommend to rearrange the chairs to enable vets who come in won't trigger the automatic doors every few minutes. Just redirect the check-in line. Otherwise,  nice. Thanks for asking.</t>
  </si>
  <si>
    <t>Everyone there are special people, they are always helpful, whether the check in folks, the nurses &amp; Doctor [NAME] is a special individual</t>
  </si>
  <si>
    <t>Came to pick up a prescription, had sent message to refill my prescription, my Doctor was off and was given to support Doctor to refill for me to pick up it never refilled, I had to check in to let them know that I was there like every other month to pick up, waited for over 2 hours before my prescription was filled.
This has happened quite a few times before, and is very frustrating to me.</t>
  </si>
  <si>
    <t>The staff at check in were excellent</t>
  </si>
  <si>
    <t>Greenbrier County VA Clinic</t>
  </si>
  <si>
    <t>Everyone from the check in staff, the nurses to the nurse practitioner were friendly, kind and quite helpful. Very thankful to have a VA clinic in Greenbrier County.</t>
  </si>
  <si>
    <t>There's a new check-in system at the clinic.  I was not prepared to use it.  It was brand new, but my nurse was very helpful.  She assisted with my check in and I was made to feel quite comfortable afterwards.  The new system check had frustrated me and my blood pressure went up.  After relaxing, my pressure went down. I have a very good nurse and doctor on my team.</t>
  </si>
  <si>
    <t>The kiosk to check in need to back to the old way, we all going to the receptionist to check in</t>
  </si>
  <si>
    <t>The waiting and checking area is quite a way apart.  It would be more convenient to check in at the waiting area.</t>
  </si>
  <si>
    <t>The staff assistant at check in window must have been having a bad day. Reminded me of attitudes present at VA prior to President Trumpâ€™s firing of some high level officials. This described â€œunfriendlyâ€ attitude is the first such encounter I have experienced in about 5-6 years. Maybe he was just having a bad day. Everyone else - excellent!</t>
  </si>
  <si>
    <t>As instructed I checked in for my appointment with the Kiosk at the front of the clinic. After my appointment was confirmed I was instructed to sit in the waiting area to be called for my appointment. The department for my appointment was at the other end of the building. When my name was called I did not hear it. I waited for 15 minutes past my appointment time and finally went to the in person c</t>
  </si>
  <si>
    <t>After I checked in  me and two others veterans  who checked in after me one them  finally went up to the check in window to mention how long he has been waiting to be seen his appointment time was the same a short time later a nurse came out and called his name and I said to the nurse I was here before him  etc they didn't know we were waiting to be seen</t>
  </si>
  <si>
    <t>I receive excellent care from all the staff at the Syracuse VA Team Red. This includes the Front Desk Staff during check in, the Nursing Staff , doing prep work, and the Doctor who is very caring, and extremely thorough during her Exam.</t>
  </si>
  <si>
    <t>Even though the kiosk was not working correctly she still had a smile on her face and was happy to help everyone coming through to receive treatment. She is a great team member for you staff A+++++++</t>
  </si>
  <si>
    <t>I have nothing but the admirable respect from every level of staff, from walking into entryway, all check-in personnel, triage staff, and especially the physicians. I have told my friends that I fully entrust the quality of Raymond G. Murphy VA Center than any and most hospitals. Plus, when this VA Center sent me to a partner hospital, they took very serious care of my needs. THANK YOU!!!!</t>
  </si>
  <si>
    <t>I would recommend communication between the front office check-in part and the lab office I was told to go in and check to see if I can get my labs done at that time and when I went into the lab station I was greeted by someone with an attitude that they were on their lunch I had no way of knowing it just a little communication would go a long ways.</t>
  </si>
  <si>
    <t>Those check in machines have not worked for years. Even at the brand new north west they do not work, Having to stand in line for 15mins to check in is very hard for me.</t>
  </si>
  <si>
    <t>The additional feedback options need to allow a general comment.  I am part of the earlt 32nd street patients.  Quality/exam rooms correctly sized, comfortable exam table, first floor check in , just plain excellent, 4th floor very nice didn't have much to do.  Everything brand new and spotless--seems like lots of staff for the number of patients. I am an old man, love the building, entry greeters</t>
  </si>
  <si>
    <t>When you walk in and order your meds at the clenc you need to go to the pharmacy and let them know you are waiting or check in,otherwise the pharmacy will not start your order untill you check in.</t>
  </si>
  <si>
    <t>the new way of filling out a travel voucher is terrible.  for instance the last time i was there an elderly man asked for help to fill out the form because he couldn't see well.  my recommendation is to go back to getting a number and taking it up to clerk that can take the persons information.  also go back to the kiosk way of applying for travel pay.</t>
  </si>
  <si>
    <t>The gentleman at the front entrance desk said he didnâ€™t have the paperwork for mileage reimbursementâ€¦..&amp; handed me a paper that was for on line check in!?!?!?! I kept saying I need paper for mileage &amp; i tried to get reimbursed on line, with no success?? So still need to get reimbursed for mileage &amp; I donâ€™t know howâ€¦..they use to have a kiosk &amp; that was people friendlyâ€¦â€¦.thank you</t>
  </si>
  <si>
    <t>Iâ€™m thankful for all the VA staff that I interact with all my conditions. From check-in, nurses, doctors, pharmacists, everyone!!!
!!!!Thank you!!!!</t>
  </si>
  <si>
    <t>The black female wearing a white lab coat in the kiosk who calls your number for initial screening was FANTASTIC.  She realized I had a complicated prescription and left the kiosk position and went back to the fill area to make sure it was done properly.  I received some of the order that day and she arranged for the remainder to be mailed.  She pleasant, professional and committed to do right.</t>
  </si>
  <si>
    <t>The checkin at the VA clinic was quick and all of the staff was courteous</t>
  </si>
  <si>
    <t>Always a satisfying experience, easy in and out.
I will add the new kiosks were different and difficult to navigate, not as user friendly as the previous ones.</t>
  </si>
  <si>
    <t>I am always treated professionally and friendly when I got to the clinic. The clerks at the desk are always nice and helpful  I have seen the security guards helping an elderly veteran in a wheelchair by pushing him into the lobby to the check-in desk.  This clinic was a lot more relaxing than the big VA hospital in Jacksonville, I felt very anxious there and I didnâ€™t like it.</t>
  </si>
  <si>
    <t>The lady in the back that works with us to select and sizes us up for glasses is one of the nicest people I've ever meet. She was so very kind, courteous and very respectful.  
The VA did very good in hiring someone like her...WOW!
Also, your staff at the check in counter is also some of the best I've seen in the VA over the years.  I hope someone calls me because I would like to share more</t>
  </si>
  <si>
    <t>I would say that 99% of the time over the past 15 years I have found that the service and follow up of VA Syracuse has been personal, professional and respectful. Lets face it no one is 100% but the Syracuse VA is DAM GOOD from Check In to Release</t>
  </si>
  <si>
    <t>TOPC</t>
  </si>
  <si>
    <t>I had a little trouble finding the kiosk for the dispensary, but once I got pointed to the right spot, the entire rest of the experience was most pleasant.</t>
  </si>
  <si>
    <t>As a vet if 53 years old I work still. It would be great if services were offered on weekends and hours up to 1900. I miss lots of work each year for appointments. This makes it very difficult on my family.
Also the Kiosks were way better at serving vets for check ins and travel reimbursement. Doing it online is difficult.</t>
  </si>
  <si>
    <t>Why was travel pay request taken out of the kiosk option? It makes it extremely 
difficult for disabled veterans to use the mail system. Plus, it takes longer time to get paid.</t>
  </si>
  <si>
    <t>I initially went to another emergency room other that the VA. After arriving at that hospital we waited for 30 minutes and there was no one being seen. We exited and went to the VA emergency room. I told them of my reason and after a 3 minute check in and moved to a room and tests were ordered. The recommended surgery was accepted and within hours missing my appendix and released. Great people</t>
  </si>
  <si>
    <t>I am happy with the service provided. Sometimes I find that they sometimes will call me to make sure I have adequate prescriptions to make through a long holiday. At times they have called me to make sure that I understand whenever I get a new prescription added that I understand what it is for and sometimes they even check in to see how I am doing with my new script.</t>
  </si>
  <si>
    <t>As always a great service, from check in, seeing my provider to check out,
I am very greatful for the service that the VA provides
[NAME]</t>
  </si>
  <si>
    <t>2022-11-17</t>
  </si>
  <si>
    <t>I haven't been to this clinic for 2 years.
All kiosks are gone. Only 3 patients in waiting. Used to be thriving. I loved seeing my fellow vets.
Going backwards. Had to fill out application for mileage which all could be done on the kiosk.</t>
  </si>
  <si>
    <t>While not used to routine at Buffalo Had no clue I needed to go to a check-in window for script to be processed so waited over 90 minutes before I heard the numbers for checking in were out and I wondered what they were referring to. With all traffic patterns changed yet again made for very confusing where to enter pharmacy &amp; no sign requiring vets to check in if desiring to walkout with meds.</t>
  </si>
  <si>
    <t>I was inform by phone I needed to report to the emergency room ASAP. This was around 9pm. I arrived and after check-in, I was not seen until 12:40pm. My visit was done about 2:10 a.m.</t>
  </si>
  <si>
    <t>Check-in personal were friendly and helpful. Technition  did nice treatment and answered  my questions.</t>
  </si>
  <si>
    <t>Appointments can be sometimes hard to get and the time between appointments can be far apart. I miss the kiosks for taking care of travel. Most staff is kind and courteous. Community care can be definitely improved appointments missed because it takes too long to get approval after consultations</t>
  </si>
  <si>
    <t>Most personnel at check in windows are not cordial and seems like they would rather not be there.</t>
  </si>
  <si>
    <t>I was told to be at the lab for blood work at 730 am and then was to wait around for a 10am appointment. I got to the lab 730 .Waited my turn for 30 minutes .Was then told that they had no orders for blood work for me .So i had to leave . Go down to the Purple team check in .Wait and then check in and go back up to the lab and wait again. Then go wait for the appointment. Not planned out very well</t>
  </si>
  <si>
    <t>2022-11-16</t>
  </si>
  <si>
    <t>I miss the easy check in of the kiosks, having to use my phone is a real pain. Not the tech savvy. On the good side: Dr [NAME] saw me right away concerning my health issues and I didnâ€™t even have an appointment with him. He is outstanding! The best Dr I have seen there.</t>
  </si>
  <si>
    <t>The check in nurse working on Saturday was really nice. And I liked how nobody was there or around me. And I love how everyone had a mask on.</t>
  </si>
  <si>
    <t>The check in process is almost impossible. If you don't have a smart phone or are not good at using all the technology you are in trouble.  The Kiosk don't work there is often no clerk.
I couldn't scan the bar code.  Just wait and hope they don't count you absent and go to next patient.   Getting travel pay is also hard. Too many hoops to jump through.  If someone would actually look</t>
  </si>
  <si>
    <t>I was informed to have a driver with me and also during check-in, however both Provider and Tech stated it was not needed. 
Recommendation: Ensure driver requirement is clarified to patient, prior to appointment. This resulted in a loss of pay for my Driver to be present.</t>
  </si>
  <si>
    <t>Check-in to the clinic was quick and easy. I was on time and was soon called by the nurse to begin the vital statistic process. In the past, it may have taken 10-35 minutes or more to reach the same point. The doctor conducted her examination and we had a comprehensive conversation.  Everyone was friendly, professional and no one was rushed including me. I enjoyed the visit and staff. Thank you.</t>
  </si>
  <si>
    <t>Everyone at the NorthCentral clinic is awesome.   The ladies at the front door, the check in desk and the immunization clinic are great!</t>
  </si>
  <si>
    <t>Everyone was respectful and helpful from check in to discharge. Everyone I dealt with in the facility was awesome to deal with.</t>
  </si>
  <si>
    <t>The appointments were either overbooked, or understaffed.  The waiting time was 45 minutes past the appointment time, plus another 20 minutes wait at the ophthalmology clinic.
Recommend that the optometry check-in clerk notify the patient that the wait to be seeing will be longer that the appointment time.
Recommend little confusing sign at the ophthalmology clinic be more clear for check-in.</t>
  </si>
  <si>
    <t>Took 25 minutes to check in as the kiosk was inactive and their was a long line to check in and check out.  Kiosk makes it much easier given the limited number of staff.</t>
  </si>
  <si>
    <t>I had a early appointment. 7:00 am and found that I had to check in by cell phone which I am no good at. Finally stopped an employee who went back and let my team know I was there.  Not everyone has a cell phone or not very good at using them (am 80 years old)</t>
  </si>
  <si>
    <t>Open up the electronic check in.  The clipboards and pens are handled by everyone and are never cleaned. Some of us have disabilities that make it hard for us to write!</t>
  </si>
  <si>
    <t>You arenâ€™t setting the staff up for success, there werenâ€™t enough workers, the ticket machines are the only way to check in and they didnâ€™t work. Plus they didnâ€™t have the medicine I was prescribed and they never sent it or followed up. It was a fail all around at the pharmacy.</t>
  </si>
  <si>
    <t>Check in took too long.  I almost missed my appointment and I arrived 15 min ahead of schedule.</t>
  </si>
  <si>
    <t>I wish that the kiosk was taken out, was much easier to do travel than the on line</t>
  </si>
  <si>
    <t>Spartanburg VA Clinic</t>
  </si>
  <si>
    <t>Everyone was so nice, from the lady at the front door giving out the mask, the ladies at the check in desk were very polite, and the ladies drawing the blood were nice as well.</t>
  </si>
  <si>
    <t>Attitudes need to stay out of the work place.  It is not profitable to fuss, complain, and show displeasure with the time a veteran arrives from a procedure for an appointment with the doctor who ordered the procedure.  Just check their vitals, finish the check-in, don't involve co-workers in another room to whine about a vet sitting right there!</t>
  </si>
  <si>
    <t>As soon as I walked in I was greeted by security and directed where to go for check in. The staff was nice and courteous. They even offered me water  when they didnâ€™t have to. Nice and pleasant experience</t>
  </si>
  <si>
    <t>Olympia VA Clinic</t>
  </si>
  <si>
    <t>This was my first in-person VA healthcare appointment ever and it EXCEEDED my expectations.  The facility was clean and laid out nicely.  The gentleman who checked me in was prompt and friendly and did not have a typical "bureaucratic" attitude towards patients.  He, my check-in nurse, and my treatment provider (NP [NAME]) were attentive, friendly, and thorough.  I had an excellent experience.</t>
  </si>
  <si>
    <t>At 9:30am, I texted CHECKIN to 53079 and followed the link. 
After following all instructions, I received the following message: 
â€œYouâ€™re checked in.â€
â€œWeâ€™ll come get you from the waiting room when itâ€™s time for your appointment to start.â€
Two hours later, I was told that Iâ€™d never checked in because I didnâ€™t bring my ID to the clerk! Your check-in system is terrible.</t>
  </si>
  <si>
    <t>When ask if I  want to keep or cancel my appointment, the option doesn't send my response, which sometimes cancels my appointment by mistake. I watched someone use the machine to check in, and actually canceled his appointment by mistake and had to reschedule his appointment for the next possible date. Did I mention that, he came from a far distance from the VA? Heartbreaking! We must do better!</t>
  </si>
  <si>
    <t>The process for filing for travel reimbursement has fallen apart. I have no received my last one and it was not possible to request reimbursement for my last two visits without standing in a long line to discuss with an agent (vice the kiosk entry).</t>
  </si>
  <si>
    <t>The way you have to check in like the old way</t>
  </si>
  <si>
    <t>When picking up a perception at the pharmacy after my doctor's appt,no one told me you had to check in with a pharmace before  it would be filled. You need to make this clear to us vets instead  of letting us sit waiting for our crips that aren't  being  filled.</t>
  </si>
  <si>
    <t>The kiosks that were used to apply for mileage reimbursement are no longer used, making it much more difficult to apply.  Half of the clerks had no idea where we needed to go to get the form, so we were sent from pillar to post.  What a mess!  We are EXTREMELY disappointed that the kiosks are no longer used!  They were so convenient!</t>
  </si>
  <si>
    <t>The QR Code has been implemented but, you must check in at the appointment desk. Why is that?</t>
  </si>
  <si>
    <t>The new check in process is very difficult for older citizens like myself to figure out without help. Someone should be there to help older people like myself to learn the new check in process.</t>
  </si>
  <si>
    <t>Yonkers VA Clinic</t>
  </si>
  <si>
    <t>They need to fix the kiosk machine at the Yonkers VA itâ€™s been broke for months,and it seems No one cares about fixing the machine.</t>
  </si>
  <si>
    <t>The staff from check-in to the nurses and doctors were courteous, professional, and upbeat.</t>
  </si>
  <si>
    <t>from the check in window thru the catscan , ultrasound the staff were polite , professional , frierndly very understanding...Thank you VA FOR THEM ALLGOD BLESS.</t>
  </si>
  <si>
    <t>I have noticed that all the kiosk ar gone to check in and do travel reimbursement. This was easy and very quick way to do travel reimbursement. Now I have to go home and log on to a website and do the very same thing the kiosk was doing. Many of our older veterans aren't comfortable using a computer. My computer skills are very limited as I don't  rely on computers for my daily interactions.</t>
  </si>
  <si>
    <t>Nurse seemed somewhat incompetant. Could not draw blood for over four patients, causing a back log waiting for someone else to come do it. Waiting time was over 45 minutes plus another 1hr. 30 mins to get the cat scan. 20 mins check in time. 15 mins cat scan.</t>
  </si>
  <si>
    <t>Beaufort VA Clinic</t>
  </si>
  <si>
    <t>Both check in kiosks were not working at 07:45 am</t>
  </si>
  <si>
    <t>South Bexar County VA Clinic</t>
  </si>
  <si>
    <t>The individuals that you check in with do not acknowledge you when you are waiting even though they have no customer at the time. I would expect that they could look up from the computer for a few seconds to greet you.</t>
  </si>
  <si>
    <t>getting to the breathing test was problematic there was no sign, but do not enter, take a number and wait. i waited but found out i did not have to wait just check in at the first door on the left.</t>
  </si>
  <si>
    <t>New check in process for blood draw was confusing. The receptionist told me that I was checked in and if I wasnâ€™t called in 4 minutes to go to the window. After 4 minutes, I pressed link that was on my phone after scanning the QR code and checked in again. After 15 minutes I went to the window and checked in a 3rd time. It still took an hour (not 4 minutes) to get my blood drawn with an appt.!</t>
  </si>
  <si>
    <t>Eric gave a thorough explanation of what to expect, including a change to one of the adhesives(?) being used and answered all of my questions. I'm glad that he took the time to have general conversation too, it helped to ease my anxiety and made it a little easier to get to sleep. I did not get the name of the woman who assisted with check in, but kudos to her too.</t>
  </si>
  <si>
    <t>It's always 45 minutes  or more to get in to a scheduled appointment.  Taking out the card reading kiosk is a nightmare. How many vets can figure out how to go online to get travel reimbursement?</t>
  </si>
  <si>
    <t>I have found during my visits over the last year that the check in process with the receptionist is longer than it should be and that the staff are rude and disrespectful. My PCP never seems to be available for my schedule visits.</t>
  </si>
  <si>
    <t>Had the QR code displays up all around clinic to check in for appt but once logged in it said this check in manner was not available.  Other than this small inconvenience, the visit was tremendous!!</t>
  </si>
  <si>
    <t>The Womenâ€™s Health Clinic is disrespectful and unorganized. During check-in to receive my shingles vaccine, I was ignored, then told my appointment was at 9:30 verses my actual time of 12:30. I was seen anyway, but upon checkout, I stood at that same counter, where the receptionist was filing her nails, ignored again. Since I had another appointment on the other side of the VA, I walked away.</t>
  </si>
  <si>
    <t>In the pharmacy area, there needs to be signage on how &amp; why to get inline for the pharmacy check in then why you need to get another ticket after you see your name on the TV.  I stood by the check in for about 20 mins while waiting on my prescription and every single person asked someone nearby what they were supposed to do &amp; even they said they weren't sure, and that is after getting a ticket.</t>
  </si>
  <si>
    <t>Why aren't the Kiosks working?
I liked using them because it made the "signing in" process very easy and I got to see future appointments.
Please bring these back!</t>
  </si>
  <si>
    <t>The nurse was helpful and check in was good.  Dr. [NAME] is very good at explaining procedures and very kind. He seems to really care about helping me. I appreciate that.  Thank you.</t>
  </si>
  <si>
    <t>A fumigated building leaving a film on the floor, chairs, desks, and literally all surfaces. A Custodian attempting to clean the floor but kept using the same water without changing it. The floor, slick, chairs moved easily presenting fall risk. Sitting in the chemical used attracting my animals and causing laundry to be done once home. Kiosks for the lab, smartphone only leaving the elderly lost.</t>
  </si>
  <si>
    <t>New Bedford VA Clinic</t>
  </si>
  <si>
    <t>Check-in was easy and I had a very short wait for my appointment.
My session was handled professionally and I felt satisfied I had been treated properly.</t>
  </si>
  <si>
    <t>When the doctor sends the prescription for pick up, it would be nice if it could be filled immediately and not make me check in with the pharmacy before they fill the order for pick up. Having to wait is ridiculous when you have already recieved the text that it is ready.</t>
  </si>
  <si>
    <t>Wright-Patterson VA Clinic</t>
  </si>
  <si>
    <t>The check in nurse was particularly courteous, helpful and thorough.  She had to do a throat culture and nose swab and explained exactly what she was doing and why.  She did this in anticipation of what the doctor would want.</t>
  </si>
  <si>
    <t>went to VA clinic on 11/14/2022@10:00 for schedule cbc - eye optometry d .Appointment was printed on Apr 27, 2022 has a future appt @ 09:48:21 was inform I did not have an 11/14/2022@10:00 appointment scheduled.no effort was made by check in clerk to  correct the problem was told to schedule appointment for NCV-EYE OPTOMETRY 02 for Dec 13 2022 @ 13:30. lack of cooperation and phone contact issue.</t>
  </si>
  <si>
    <t>My in person visits to SFVA @ FT [NAME] are consistently good experiences.
The personnel from parking to check in are polite and professional.
My medical team is responsive and easy to engage.  Thank you VA.
[NAME]</t>
  </si>
  <si>
    <t>The staff at the check in desk (NAME) and staff nurse (NAME) were especially helpful to me.  Thank you both. Also,  the lab technician was very professional.</t>
  </si>
  <si>
    <t>Annual meeting with Dr. [NAME] in Vascular Health was excellent. Very thorough caring and considerate. Dept. Staff check in helpful above and beyond getting blood work order placed.</t>
  </si>
  <si>
    <t>From checkin to [name] - LPN assessment and Dr [name]€™s TLC Iâ€™m blessed.  Iâ€™m trying to get my Husband to change to her as well.  The care is Exceptional - I speak so Highly of my care team and the VA - keep up the fantastic job. Thank you so much</t>
  </si>
  <si>
    <t>2022-11-29</t>
  </si>
  <si>
    <t>Nashville VA Medical Center, TN (626)</t>
  </si>
  <si>
    <t>VISN 9: VA MidSouth Healthcare Network</t>
  </si>
  <si>
    <t>I did attend my appt, took time from my job in order to arrive on time only to find out there was nobody at the front desk on the 3rd floor. Used the QR code to check in, received an automated response via text msg but was never contacted by staff. One sign said go to the 4th floor to check in, I did. There was nobody there either, only a sign that said go to the 3rd floor to check in.</t>
  </si>
  <si>
    <t>Total # of Comments</t>
  </si>
  <si>
    <t>Percentage of Comments out of Total Comments</t>
  </si>
  <si>
    <t>11/14/2022 - 11/29/2022</t>
  </si>
  <si>
    <t>2022-12-13</t>
  </si>
  <si>
    <t>I noticed that one the staff inside the booth where to check-in isn't that courteous/respectful enough to treat us the way Veterans should be treated.</t>
  </si>
  <si>
    <t>The Doctor, the assisting doctor and the entire staff from check in, pre/post op and procedure team were outstanding (in no particular order, [NAME] [NAME] (V?), [NAME] and Dr. [NAME]. If I missed anyone I am remiss as they all were truly stellar in their care delivery.</t>
  </si>
  <si>
    <t>From check in to check out, every staff person was very pleasant, respectful, helpful and displayed genuine concern for me.
All of my questions we answered professionally and in understandable terms. 
Staff members directly involved with my procedure were very informative, compassionate and listened to me carefully before answering.
This is why I recommend the St Cloud VA to all Vets I know.</t>
  </si>
  <si>
    <t>Everyone is so helpful there, from the guy who test you for covid to the attendants who help you check in. Iâ€™m very grateful for all there work.</t>
  </si>
  <si>
    <t>I checked into bldg 1 on Saturday 10 Dec 2022 with the check in staff and one of the ladies at the desk had a very curt matter of fact attitude when I asked simple questions.  I asked where RM 119 was she said "I don't know anything about that just go downstairs" I asked other questions and again she said just go downstairs in a very short rather rude manner. This concerns me for older veterans.</t>
  </si>
  <si>
    <t>From the check in staff to the nurse, doctor and lab person, everyone was very courteous, helpful and professional.  Very happy with the ShakopeeVA Clinic.</t>
  </si>
  <si>
    <t>Bring back the kiosk so veterans can easily check-in and apply for transportation reimbursement.</t>
  </si>
  <si>
    <t>check in was great and helpful to my appointment. my provider and assistant was very professional and awesome shower great care for me during my visit shout out to them.</t>
  </si>
  <si>
    <t>I am thoroughly pleased with the Durham VA Eye Clinic and the outstanding care o receive from this team of professionals. From check in to check out, the staff couldnâ€™t be any betterâ€¦they are all great. Also really pleased with the Northgate Shuttle that keeps me from driving into the VA. Iâ€™m confident that Dr. [NAME] is the reason for the remarkable care we all receive!!</t>
  </si>
  <si>
    <t>I did check in with receptionist but she didnâ€™t let the staff know I was waiting. 30 minutes later I asked receptionist why I wasnâ€™t being seen. Shortly thereafter, I was seen. Otherwise everything was perfect.</t>
  </si>
  <si>
    <t>Lake City VA Medical Center</t>
  </si>
  <si>
    <t>I was totally impressed 
With the Eye Clinic Optometry Staff and Doctors. The equipment they used to test my eyes was technology I never seen before. Totally satisfied with the results and and the courtesy of the Doctor, Intern, Check In receptionist and eye glasses dept.</t>
  </si>
  <si>
    <t>The people at the front who check in veterans for appointments or schedule future appointments are rude. There is no disguising the fact the want you to move on quickly and get out of their window. I refuse to use them to schedule future appointments and make the offices call me instead. 
Also, it is insulting when the nurse comes out and repeats my name wrong over and over different ways.</t>
  </si>
  <si>
    <t>The new check stinks. I checked in on line and went to check in at the desk the person said you are already checked in. After sitting for 1 1/2 hours, I went back to the person and she said it never registered. It wasnâ€™t the check in peopleâ€™s fault. Again the system needs worked on.
   I will give a big pat on the back, to those check in women for getting me in as quick as possible. Thanks</t>
  </si>
  <si>
    <t>Guayama VA Clinic</t>
  </si>
  <si>
    <t>Install a check-in system in which early arriving Veterans may check-in for their lab turn to help organize the current unorganized system that makes Vets look like cattle. This system may be installed between the access door and the storm door, when the guard open the storm door Vets can check-in and have an orderly access process process for their LAB appointments.</t>
  </si>
  <si>
    <t>I recommend you get your check in computers checked.  This is the second time Iâ€™ve come to an appt., watched the girl check me in, and waited until way past my appt time to be seen, because the computer didnâ€™t talk to the other computer and tell them that I was there and present for my appt.  From talking with several staff members, this is a common occurrence.  I was livid and fit to be tied!!!!</t>
  </si>
  <si>
    <t>Great experience from check-in, medical appointment and lab work. Thank everyone who took care of my health needs.</t>
  </si>
  <si>
    <t>Everyone I dealt with at the Palm Bay Clinic from check in to the doctor was great. Wait time was very short. Really liked the whole experience.</t>
  </si>
  <si>
    <t>From check-in upon arrival to the very short time in waiting room, every thing went according to schedule with very courteous staff.</t>
  </si>
  <si>
    <t>There were many of us there to get labs done and I thought the check in system and the staff were incredibly efficient (and very kind).ðŸ‘</t>
  </si>
  <si>
    <t>I was immediately acknowledged when I walked up to check in for my appointment with I'll be right with you. When it was my turn to be checked in was treated like a person and not a number. My technician was pleasant and she made an uncomfortable mammogram an easy experience making sure she captured the shot the the right way the first time and not having to put me in the same position again.</t>
  </si>
  <si>
    <t>I turned up on a Friday afternoon to check in for the lab (without an appt), but was told I had to have my blood drawn prior to 1000. I had to take time away from work to do that.
The lab technician who drew my blood stated that this was incorrect.
I do not know what caused the issue, but it did cost me 2 hours from work.
Thank you for your attention.</t>
  </si>
  <si>
    <t>Aurora VA Clinic</t>
  </si>
  <si>
    <t>Very nice and very helpful staff all around.  From check in to completion of visit everyone was very nice and very helpful.  Great staff.</t>
  </si>
  <si>
    <t>Every thing about the SW CLINIC is excellence,from check in to Dr [NAME] oand the social worker I was with on the 12th.</t>
  </si>
  <si>
    <t>I was there as part of the burn pit survey. the appts were xray at 820 and I was seen early.
The lab was 1215 and asked if I could be seen. I was told "you agreed to the times"
Then was told I would be set for check in at 1015. I left and returned at this time. I went to check if I was checked in and was not. I'm glad I checked.
cannot finish...running out of space</t>
  </si>
  <si>
    <t>Fresno VA Medical Center</t>
  </si>
  <si>
    <t>Today was my first day at the veterans hospital, and every person that helped me from the front desk, to the check-in, to the LVN and the medical assistant, and the Doctor who saw me; all were wonderful, friendly, welcoming, and helpful.</t>
  </si>
  <si>
    <t>My appointment was at 8:30.  I checked in at around 8:10.  I was not called back for my appointment until 9:15.  My appointment was for lab work.  The lady that did my lab work told me that their check-in system was down.  Other than that they did a great job !!!</t>
  </si>
  <si>
    <t>Knoxville VA Clinic</t>
  </si>
  <si>
    <t>Kiosks for travel disappeared? It was very nice when they were working. Online app don't work at all. How about connecting travel to veterans appt who are eligible and once check in have it sent to travel also with a email .</t>
  </si>
  <si>
    <t>After 430 at the pharmacy, should be sign to check in at the window.</t>
  </si>
  <si>
    <t>[NAME],  the check in agent, is always courtesy and respectful and remembers me. [NAME] is down to earth,  respectful and attentive to my needs and overall support veterans.  Nurse [NAME] goes beyond what is required of him.</t>
  </si>
  <si>
    <t>My whole visit was great to include the ck in, check in with the nurse, and apt w Dr [NAME].   The Doc does a great job of taking care of me â€” thank you.</t>
  </si>
  <si>
    <t>West Norriton VA Clinic</t>
  </si>
  <si>
    <t>It was very good experience except at check in and check out with te window we could not hear each other</t>
  </si>
  <si>
    <t>Check in guy seem to care less about my concerns all others did outstanding.</t>
  </si>
  <si>
    <t>Hi, I always feel welcome when I enter the building. Any person that I meet in the hallways always greet me with a smile and ask if I could use help getting to where I need to go. I appreciate that very much. I am a teacher and quite familiar with brief interactions in the hallway.  So after taking care and completing my urgent care visit, I followed directions to check in and sit and wait for</t>
  </si>
  <si>
    <t>Excellent service from check-in &amp; medical staff. Explained process &amp; follow-up in easy to understand terms. Very friendly staff.</t>
  </si>
  <si>
    <t>When trying to install the QR reader so I could check in (the text to number said unable to check me in online) it was overtaken by a scammer unbeknownst to me until I was wondering why VA needed my credit card info! Please be advised this is happening right in the clinic while trying to use the technology YOU require intead of the tried and true card scanner that was way easier to begin with.</t>
  </si>
  <si>
    <t>When checking in, there was alot of confusion but the visit was great.  The checkin area was so cramp, you couldn't get a wheelchair in very easy.  The computer systems had difficulties working but the person was very pleasant and we got our appointment made.</t>
  </si>
  <si>
    <t>Check in was a no waiting. The phlebotomist was early and good. I was out before my 10am appointment .</t>
  </si>
  <si>
    <t>2022-12-12</t>
  </si>
  <si>
    <t>Everyone was helpful, on time and made me feel at ease during my appointment. Not sure about the phone check-in procedure as to when to check-in after receiving a confirmation text. I check-in when I received the text and again when I had my appointment.</t>
  </si>
  <si>
    <t>Sierra Vista VA Clinic</t>
  </si>
  <si>
    <t>When I arrived to the VA clinic, I checked in using their recommended QR code. It never registered with the link to complete the check in process. Fortunately my provider came out to the lobby to check if I was there. The link showed up 15 minutes into my appointment. I'm glad my appointment wasn't canceled. Your QR code check in does not fit with most the clientele using VA services.</t>
  </si>
  <si>
    <t>The new check in method using my phone is difficult the use and so far does not work properly. I prefer the old system of just inserting my VA card.</t>
  </si>
  <si>
    <t>Mr. [NAME] went over some comunication issues about how to take the meds prescribed. He was very patient with me and went over the why's. Check in was very efficient as well.</t>
  </si>
  <si>
    <t>the volunteer at the check in desk was very friendly and helpful, and showed me how to get to my care giver.</t>
  </si>
  <si>
    <t>Respectfully, and in appreciation, I find the new on line travel pay system to be very confusing, with over a dozen hoops, &amp; more than one choice at some hoops, to contend with. Iâ€™ve had help with it, Iâ€™ve tried it alone; in my mind it has to be simplified like the kiosk of 3 steps and youâ€™re done with receipt in hand before you leave for home! Look @ bewildered eyes in line @ Travel Pay Office!</t>
  </si>
  <si>
    <t>I had an awesome experience considering they fit me in for my test so I my Dec.21 surgery can go ahead. The Check In/Out Ladies at Radiology were amazingly helpful. My X-Ray Tech was awesome, she had me in/out quickly. The nurses that did my CT Scan &amp; IV were fast and efficient. I did have an issue with some comments made by a nurse, but is was handle by a VA Manager.</t>
  </si>
  <si>
    <t>Columbia VA Clinic</t>
  </si>
  <si>
    <t>The office doesnâ€™t have enough staff during check in and check out. Itâ€™s a very long wait and when you check with them something went wrong and you didnâ€™t get entered in the right check in. The Columbia VA office is the closest local clinic and needs more staff to properly provide adequate care in a timely manner.</t>
  </si>
  <si>
    <t>Mann-Grandstaff Department of Veterans Affairs Medical Center</t>
  </si>
  <si>
    <t>Make the reimbursement for travel imbedded in the appointment/check-in system.</t>
  </si>
  <si>
    <t>I would like to see more of a knowledgeable person at the check-in counter. I was trying to get my record updated for my dental so I can get scheduled for a 1 time dental visit. The person behind the counter is insisting that thereâ€™s only a 120 day grace period in order for me to be seen for dental. I know that I have 180 days from the date of my retirement. The information is in VA website.</t>
  </si>
  <si>
    <t>When I attempted to check in on my phone, nothing would load. So I went to the front desk and the customer service rep said she checked me in at approx 1:05 pm. My appt was at 1:30 pm. At 2:00 pm I checked with another rep at the desk and she advised I was not checked in afterall and checked me in almost an hour after I arrived. Finally the technician came out to get me at 2:30 pm and he was great</t>
  </si>
  <si>
    <t>The phone check-in system is still not up to speed. But it is getting better.</t>
  </si>
  <si>
    <t>when i finished my appointment the front lobby was locked out   couldnt even access the travel pay kiosk      was still only 4:30 pm</t>
  </si>
  <si>
    <t>2022-12-11</t>
  </si>
  <si>
    <t>From the person at the entrance, to the persons at the check in desks (2 of which I went to), to the nurses who gave me vaccinations, to the nurse at the specialty clinic, to my provider, I experienced knowledgeable, professional treatment.  Excellent...</t>
  </si>
  <si>
    <t>Everyone from the people at the door, to the checkin person, to the tech, to the Doctor, It was a very easy and enjoyable experience. For the 40 plus years I have never had a bad experience at the VA and always felt respected.</t>
  </si>
  <si>
    <t>I informed check in that I needed to make the last shuttle back to Brockton. WOW. They made sure I made it. My visit was not rushed and I felt very comfortable during my whole visit. A wonderful Staff!!!</t>
  </si>
  <si>
    <t>Monroe VA Clinic</t>
  </si>
  <si>
    <t>I have no complaints, every time I've been there the personnel have been great. Ladies at check in help in whatever I needed. In short everyone has been exceptional.</t>
  </si>
  <si>
    <t>Better service at the check in desk they seem to not care about us</t>
  </si>
  <si>
    <t>providers are great/listen to your questions and concerns on all aspects of your health.
 The area that could use a work is when youâ€™re checking in. Some employees could work on their customer service skills. My last few visits Iâ€™ve had some very rude encounters and have witnessed it done to others. Primary Care 3 check in desk might need some classes on treating, with dignity and respect.</t>
  </si>
  <si>
    <t>Please get the check in stations on line, it's a lot easier to get checked in with them working</t>
  </si>
  <si>
    <t>Personnel at check in desk on the 8th floor, either need more help or some sort of customer service training.</t>
  </si>
  <si>
    <t>My Dermatology care is great, from my check in at the front desk with the very kind &amp; professional lady at the front check in &amp; making a F/U appt at check out time=Superb service!!!    *Dr. [NAME] is the best Dermatologist in my opinion, his Bed side manner is professional &amp; he listens and answers all my dermatological concerns &amp; questions every time I come in  for an appt.  Dr. [NAME] is the Best!</t>
  </si>
  <si>
    <t>Need to bring back travel re-embursement on Kiosk</t>
  </si>
  <si>
    <t>Navy Corpsman Steve Andrews Department of Veterans Affairs Health Care Clinic</t>
  </si>
  <si>
    <t>The check in scanners are gone. I thought they were very efficient.</t>
  </si>
  <si>
    <t>Why do have a new system to check in for your appointment and do your travel claim, that does not work?</t>
  </si>
  <si>
    <t>From the time I walked into the facility, I felt welcomed and respected.  The security guard was friendly and extremely courteous.  The check in clerk was so nice and proficient.</t>
  </si>
  <si>
    <t>From parking to walking into my provider's office was incredibly easy. Everyone was amazingly helpful. I was on-time for my appt and was seen within 5 minutes of check-in.  Totally amazed by the professionalism and courtesy given by my provider's section.  I was not at ease before the procedure, but the "it's all about you" attention and explanations before, during &amp; after put me totally at ease.</t>
  </si>
  <si>
    <t>As usually i find the VA in fredericksburg helpful and smoothly run.  However I don't seem to work well with checkin machine. I find it most difficult to operate.</t>
  </si>
  <si>
    <t>Entrance is confusing at first. Am I supposed to check in with those people at first?</t>
  </si>
  <si>
    <t>The people at Primary Care check in are and continue to be rude and abrasive.
My related visit was not satisfactory. The appointment time was unilaterally changed at the last minute, the staff did not accommodate my concerns, nor were interested in my care. Moreover, I was rushed through the appointment and the doctor I saw talked over me every time I tried to bring up my concerns.</t>
  </si>
  <si>
    <t>The signs above the check-in machines in the imagery waiting area. i texted the number and signed in online when I was supposed to at the desk instead. The front desk only says check-in for x-rays, it is confusing where to check in. Other than that the personnel are always great!</t>
  </si>
  <si>
    <t>Was treated well and professionally from check in to check out. I was â€œon timeâ€ and so was paged to see the doctor almost before I was seated in the waiting area. Dr [NAME] spent time discussing my lab results, the reason for this follow up visit and we were able to refine my health need to what looks like could be a manageable diagnosis and treatment program. Everyone friendly and welcoming.</t>
  </si>
  <si>
    <t>Volunteer was very compassionate and helpful to point and assist with check in and appointment area</t>
  </si>
  <si>
    <t>Check in people were very good - handled the fact that I arrived 1 hour early in stride and still got my blood draws done in a prompt manner. The tech [NAME] did an excellent job</t>
  </si>
  <si>
    <t>Great individuals from check-in to labs.  Awesome service!</t>
  </si>
  <si>
    <t>The self check in process does not work, you have to go to a rep at a window to check in for appointments.</t>
  </si>
  <si>
    <t>Great experience from check in to check out! All questions were answered and all staff was extremely courteous.</t>
  </si>
  <si>
    <t>Bring back the self check in stations</t>
  </si>
  <si>
    <t>WHEN WE GET REFRIGERATED DIABETIC MEDICATION WE DO NOT KNOW WHEN IT IS DELIVERED OUT OF TUSCON. DISSCONNECT. HEAD OF TUDSOC SHOWULD BE FIRED. TOTAL DISCONNECT AS TO NEEDS OF VETERANS. DO YOUR JOB!!!
YOU HAVE TRACKING ON MEDS BUT IT IS NOT USED. WHY? COST CUTS!! ITS ALL ABOUT THE $$$ THE BUCK
JUST LIKE YOUR CHEAP CHECKIN PROCEDURE. TAKES 15 MINUTES TO CHECK IN. JOKE. YOUR GOING BACKWARDS VA.</t>
  </si>
  <si>
    <t>Everyone was wonderful except the people checking in for the lab .  They were having computer issues and it apparently affected them. They were less than polite when directing me to check in at optometry.</t>
  </si>
  <si>
    <t>Everyone that I deal with for my ketamine treatments from check in to leaving are always the best..kind, compassionate, helpful, knowledgeable and funny.  Dr. [NAME] is the best at what he does and it shows.  Nursing staff, same...I love that crew.</t>
  </si>
  <si>
    <t>I called the on call nurse first. Told me my address was wrong but she couldn't fix it. All my mail correspondent comes to my current address. When I check in my address is correct. What's the problem? Next she said to go urgent care near me. The first one I called was permanently closed. The next two could see me the next afternoon. Fortunately my pact nurse called and said they would see me.</t>
  </si>
  <si>
    <t>Atlantic County VA Clinic</t>
  </si>
  <si>
    <t>I truly feel safe at the Northfield facility. My primary care provider Mrs. [NAME] is very helpful and courteous in handling all my medical concerns. The staff at the front desk during check in is also truly kind, polite, and professional!!!! Great facility!!!!</t>
  </si>
  <si>
    <t>1) Kiosks are missed, need them back. I am sure there are venders out there that would love to have the contract to do so.  
2) Face coverings need to go bye bye. 
3) Would like to see pharmacy window removed, seems ridiculous having it there for veterans to talk to a microphone. 
4) Thank you for no more worthless wrist brackets and dumb questions being asked when walking in the door.</t>
  </si>
  <si>
    <t>Wrong box. The check in and travel compensation were simple using the VA ID card. Going back to the paper request for travel is dumb.</t>
  </si>
  <si>
    <t>2022-12-10</t>
  </si>
  <si>
    <t>The new "system" takes more time to check in and definitely make reimbursement for travel harder. (I still have been unable to claim travel pay.)</t>
  </si>
  <si>
    <t>Dr. [NAME] is a great physician and explains everything thoroughly. I look forward to seeing him every year. All of the check in/check out people are super.</t>
  </si>
  <si>
    <t>I was a little taken aback when I girt arrived for check-in. I was told that I would be checked in at the last window. However, when I got to the last window, the receptionist pointed to a screen with a qr code. My concern was the feeling of being brushed off that was a bit irritating. The nurse that received me was phenomenal, and she created a sense of warmth and that created an enjoyable visit.</t>
  </si>
  <si>
    <t>The only negative thing was the texting software would not let me check in for my appointment.  Everything else was excellent.</t>
  </si>
  <si>
    <t>I tried to check in where I knew I was supposed to check in.  I was sent to another building.  The other building desk staff sent me back to the original place I tried to check in.  This back and forth resulted in ~35 min of missed appt time, so my 60 min dietician appt was now only 25 min.  The dietician was excellent, but we were very rushed and now I will have to schedule another appt with her</t>
  </si>
  <si>
    <t>I am extremely happy with my care at the Portland VA. All of the people there are very helpful &amp; professional.  From the moment I check in to the moment I left, I was very happy with the level of care &amp; service provided.</t>
  </si>
  <si>
    <t>Raleigh III VA Clinic</t>
  </si>
  <si>
    <t>Staff at check in desk was nice and professional. Nurse was on target with questions and shits. As always Dr [NAME] was "super" and full of excellent information. He is the best.</t>
  </si>
  <si>
    <t>The on line/phone check in process is consistently broken.  The Kiosk system worked much better. Or just check in with the clerk if getting rid of the kiosks.  I have to talk to one of the MANY clerks when the on line process fails anyway.  ALL the clinics Iâ€™ve visited, myself or with my wife (also a vet) are always overstaffed with clerks who do not appear to be occupied with anything.</t>
  </si>
  <si>
    <t>I thought the colonoscopy team did a great job.  From check-in to check-out, highly professional.  I know yâ€™all work hard for us and I appreciate everything yâ€™all do to take care of me.</t>
  </si>
  <si>
    <t>The entire experience from check-in to my visit with the Audiologist was most satisfactory. Wait time was minimal.  The Audiologist was helpful, friendly and professional and made me very comfortable asking questions and providing quality care.</t>
  </si>
  <si>
    <t>I couldn't do the "Check-In" procedure on my smartphone in the clinic due to no cellular connection. I had to go outside the clinic in order to restore my cellular connection and complete the "Check-In" and then go back inside. This was my first time attempting this type of "Check-In".</t>
  </si>
  <si>
    <t>Please start using my ID to check me in. You have asked me to get it, I did, but when I offer it as identification, clerks reject it every time. I have to nearly yell my last name and last 4 (PII) in a room full of strangers. This is a violation of privacy. Fix kiosks. Take my ID, look, scan, something. But stop this nonsense. If there are those without IDs, that is an exception to the rule.</t>
  </si>
  <si>
    <t>Ms. [NAME] is always keeping things flowing as smooth as possible for Dr. [NAME]. When you walk up to the check-in counter though she is definitely about business, she brings a smile to your face before going in for your appointment. When. You come out, you know that she is going to attempt to set you up for your next appointment. She regulates but makes one feel comfortable and aware.</t>
  </si>
  <si>
    <t>I checked in 5 minutes before my scheduled appointment and waited an hour before being seen. Multiple people who arrived after me were seen first. I asked the provider what had happened, and he said that the check-in staff neglected to notify him that I had arrived. When asked, the check-in staff claimed the opposite. Suggestion: Require a reply on check-ion notifications.</t>
  </si>
  <si>
    <t>Waiting an hour or more from check in until blood is drawn is too long. Several people ahead of me said they had extra long wait times. It appeared only two or three blood draw stations were operating and there were more than 40 people waiting according to the call window.</t>
  </si>
  <si>
    <t>My team are always friendly and on top of my needs. Even the check in people always thank me for my service and are kind. Very impressed with the people working at the Chattanooga VA.</t>
  </si>
  <si>
    <t>The check in process via text us disgustingly slow.  I checked in at 0900 but the text to actually allow me to check in didn't arrive until 55 minutes later, after my appointment was completed.  Had to have a receptionist check me in.  Totally unsatisfactory check in experience. The system fails big time and only compounds the workbof the receptionists.</t>
  </si>
  <si>
    <t>On Dec 6, 2022 I arrived 20 min early, checked in for my 0940 appmt @ Eye Clinic. At approx 1010 I had not been called and asked the Check-in clerk about the delay. Within several minutes I was called and the appointment went normally.</t>
  </si>
  <si>
    <t>I had to wait 45 minutes after I checked in to be called in for my bloodwork. My "appointment" was for 9:15 AM. I arrived at 9:05 AM and it was 10:00 AM&lt; when they called my number. There is no longer checking anyone checking your appointment time. You just go to the kiosk and touch the screen to receive a number. No ID required or checking your appointment time. Appt. times after mine were ahead</t>
  </si>
  <si>
    <t>everyone i dealt with, from check in to technicians, wer kind and super friendly, keep it up! thanks for all you do, regards, george</t>
  </si>
  <si>
    <t>Kiosk scanner check in system didnâ€™t work. Waited and finally went to the window to ask if I was checked in.  I wasnâ€™t.</t>
  </si>
  <si>
    <t>Continue to change the way you check in check in</t>
  </si>
  <si>
    <t>I suggest the check-in kiosks be reinstalled for faster checking in on the day of the appointment.</t>
  </si>
  <si>
    <t>Check-in procedure has changed. I went to a check in kios. There was one method which requires Google or Facebook, I donâ€™t think I have either. The second method had a square with squiggles in it for me to take a photo, I did and I had to give a SMS something.
I went around the corner and checked in with a lady behind a glass. She checked me in.</t>
  </si>
  <si>
    <t>The nursing staff, my doctor, and the check-in and check-out were very professional and made me feel as though they cared.</t>
  </si>
  <si>
    <t>Every visit Iâ€™ve had to Dr. [NAME] office Iâ€™ve never had a welcoming or personable experience with any of the receptionists who check me in.  However, after the check-in Iâ€™ve always had a good experience.</t>
  </si>
  <si>
    <t>Orem VA Clinic</t>
  </si>
  <si>
    <t>The facility is very nice and always clean with open spacing and seating. On entering they check temperature and are welcoming. It is easy to check in. All staff I've had contact with are friendly and professional and the care is thorough. I've also had opportunity to see the interaction with other veterans and staff in the waiting area and it is always friendly and welcoming.</t>
  </si>
  <si>
    <t>I transferred from the Stockbridge Clinic, and I am much more impressed with the professionalism and courtesy of the check in clerks at this location.</t>
  </si>
  <si>
    <t>I had an appointment but after I checked in at the kiosk they weren't aware. I had to go to the door as soon as the nurse came out and explained. She took me in but it was like I had to explain what I needed. It just wasn't how it normally is and was frustrating. From the time I walked in the front door it just seemed like things weren't right.</t>
  </si>
  <si>
    <t>EVERYONE from check in to checkout was most courteous and accommodating. Professional staff knew of my illness and treated me with kindness and respect.
I have told others and often repeated that if the United States ever gets total healthcare for all in this country it should definitely be patterned after the VA Healthcare system.</t>
  </si>
  <si>
    <t>Put back the kiosks for checkin and travel pay. The replacement system isn't working unless your goal is to not pay vets for travel. If that's the plan it's working.  
Get the middle people out of the loop for outside appointments. Why can't the Dentist just schedule with an outside provider instead off waiting weeks for someone a hundred miles away to get around to doing it? What's the plan?</t>
  </si>
  <si>
    <t>The lady taking the blood was excellent.  One concern what happened to the check in kiosk's.  They were fast and efficient.</t>
  </si>
  <si>
    <t>The old way of checking in just scanning my ID card was great. This new way using my smart phone I could not get to work so I had to wait in line to check in. The woman who helped me was very nice and helpful. You have to remember a lot of us are seniors and a lot of this technology is beyond us.</t>
  </si>
  <si>
    <t>When I first arrived at the out-patient clinic the front end staff at the check in counter (3 of them) were talking  among them selves while several veterans were in line to check-in.  they seemed to be unconcerned about the patients.  When I got to the nail section the tech said take off your shoes and socks before I even had a chance to sit down.  After I received the medical attention I was</t>
  </si>
  <si>
    <t>Charles Wilson Department of Veterans Affairs Outpatient Clinic</t>
  </si>
  <si>
    <t>It would.be nice to see all Vets
Come in wearing a Mask!!! They
Walk by, go to check in, were they
are given a mask... Disrespectful</t>
  </si>
  <si>
    <t>Kiosks used for checkin are now being removed. Cell phones will be the method of choice. Indivduals without phones will be left out.</t>
  </si>
  <si>
    <t>It is good to see the facility improvements at George H. O'Brien Jr. Department of Veterans Affairs Medical Center in Big Spring, Texas.
I am hoping that the Veteran's Administration puts the Kiosks back in operation. I found them easier to use than texting from my cellphone.</t>
  </si>
  <si>
    <t>Although the location was way to find, there was nobody at the front desk, with it saying to call inorder to check in. this along with there being four numbers suggested to call made things confusing, some numbers immediately hanging up</t>
  </si>
  <si>
    <t>Very nice and helpful man behind counter of LAB check in. Labs are walk in now and it was a several hour wait. When I asked when a better time of day or day of week, he told me and I came back then. They do need more lab people.</t>
  </si>
  <si>
    <t>The check in process using the kiosk is easy and efficient. I saw my medical provider at the scheduled appointment time. The staff was very friendly and considerate.</t>
  </si>
  <si>
    <t>The automatic check in system in the old location worked well and most folks liked it, no waiting in lines.  Shortly after this facility opened the system was scrapped and now we wait in line again to check in at the desk.</t>
  </si>
  <si>
    <t>Eye Clinic Team from the check in desk attendant,  The Technician and the Optometrist was superb, efficient and provide excellent care and service.</t>
  </si>
  <si>
    <t>McHenry VA Clinic</t>
  </si>
  <si>
    <t>I arrives 15 minute prior to my appointment. Upon arrival I was confronted with federal masking requirements and no guns allowed signage prior to entering the building. Once I entered I was greeted pleasantly by security after passing thru the vestibule at the front door. Security directed me to the front desk or to the kiosk to checking in. 
Lab personnel called me back with 3 minutes of check.</t>
  </si>
  <si>
    <t>Nurse [NAME] was very professional and besides the initial check in, the EKG. Was comfortable
Dr. [NAME] was caring and informative and I felt relaxed
Was a comfortable setting through out the process</t>
  </si>
  <si>
    <t>2022-12-09</t>
  </si>
  <si>
    <t>I hated the check-in procedure.  It required that I have smartphone in order to sign-in.  You should have issued one to each veteran. Go back to the old system!</t>
  </si>
  <si>
    <t>Great staff, from the ladies at the check-in window to the nurses and doctors who spoke with me in the 3 different areas I had to visit, Ortho Surgery, Labs, and Physical Therapy. I enjoyed my visit very much.</t>
  </si>
  <si>
    <t>My experience was AWESOME, from check in, to the VA Ambassador who walked me to the waiting area, the X-Ray tech, my doctor, and especially the primary care nurse!  She was fantastic, genuinely caring, enthusiastic, and explained what to expect.  I am completely happy with the VA care team in Portland!</t>
  </si>
  <si>
    <t>Most of the people working the front desk to check in , have bad attitudes and are very rude. Some times on their cell phones taking personal calls or watching some video on YouTube or twitter. Some type of social media. Have even seen face time calls. I see that every one that works there covers up for each other.</t>
  </si>
  <si>
    <t>Check in was easy, wait time very minimal, great screening process by the nurse, thorough care by Dr. [NAME] who asked if there was anything else he could do for me. 
Wow!</t>
  </si>
  <si>
    <t>I am fortunate to have Dr [NAME] as my PCP.  Iâ€™ve been under his for approx 15 years.  Heâ€™s the â€œbestâ€.  I look forward to seeing him every six months.  The lab &amp; check in desk are outstanding!</t>
  </si>
  <si>
    <t>If the Check in clerks are working on other things move them away from check in desk. I felt ignored. If I had not gotten to park close to side where I was going I would be confused with signage.</t>
  </si>
  <si>
    <t>Person at check in desk was rude</t>
  </si>
  <si>
    <t>When I set up with my primary care recently, he did not listen or help with my noisy joints, or with helping with the burn pit registry data that needs to be check into or added to my medical record. All he said was loose weight then we can re-evaluate. My joints have been failing for years and it isnâ€™t from weight itâ€™s from military service!!  I just want a Dr who is here to support ME!!</t>
  </si>
  <si>
    <t>I do not like the new check in policies at the VA.  The kiosks we're much easier to use, and did not require an additional task at home to schedule travel pay</t>
  </si>
  <si>
    <t>Check in personnel need to be more personable not just ask name and last four of social. Would be great if someone would say "good afternoon  or good morning,  how can we help". So much as a number, not a person.</t>
  </si>
  <si>
    <t>East Meadow VA Clinic</t>
  </si>
  <si>
    <t>The MH doctor listened to everything i said, and explained everything. ThNURSE WAS VERYGOOD, AND THE DESK(check in)were also very good. 
It was a good appt</t>
  </si>
  <si>
    <t>Lady at right side of check-in booth very helpful, thorough and all around efficient.  Thank you so much to Dr. [NAME] and attending Nurse for providing an outstanding health care service.</t>
  </si>
  <si>
    <t>Compliments and appreciation to check in staff at Physical Therapy. I continue to rely on  therapist [NAME] and confident about his expertise in helping me with my health issues/concerns.</t>
  </si>
  <si>
    <t>Their was no staff at the information desk. Giving my name at check in, the gentleman just walked away. He did not say anything, like please take a seat and well be with you. He opened the door and said name, the walked away. This was after having to walk around and ask random people where i was suppose to be.</t>
  </si>
  <si>
    <t>Just a little concerned about my initial entry that made me late for my appointment even though I checked in on time at lobby check-in.</t>
  </si>
  <si>
    <t>The check in was easy and staff was very helpful and respectful.</t>
  </si>
  <si>
    <t>Do away with the designated entrance and exit.  The doors closest to the parking lot have worked for year both ways and there is no reason to force people to walk further than they need to.  The check-in greeters are a waste of resources.  One person to give directions if needed would be more than adequate not a row of glass cubicles.</t>
  </si>
  <si>
    <t>Rockford VA Clinic</t>
  </si>
  <si>
    <t>The LabTech/Phlebotomist was excellent in skill &amp; personality. She put me completely at ease during the blood draw. 
The gentleman @ the front desk/clinic check in, acts like he hates his job. He is the most unpleasant &amp; unfriendly  person at this clinic every time I go there.</t>
  </si>
  <si>
    <t>The nuc test checkin personnel was very very helpful.  I appreciate the extra mile  
 taken to complete my appointment.</t>
  </si>
  <si>
    <t>Pharmacy check in is no issue.  Now there needs to be improvement made on customer service.  Seems it's selective.  I understand the long hours and many patients day in day out.  However, when one states why are you here and what for? Statements questions are not professional.  Maybe how may I help you may I see your veterans ID.  What prescription are you here for? This is customer service.</t>
  </si>
  <si>
    <t>I was treated with respect and total care from check-in to finish.</t>
  </si>
  <si>
    <t>From the check in station on til the finish of my appointment, the staff is very courteous, professional and knowledgeable of their respective roles in the VA community.</t>
  </si>
  <si>
    <t>Veterans are confused about how to check in for their appointments now that kiosk has been removed. Lot of veterans do not have smart phones and the travel website is a disaster as well.</t>
  </si>
  <si>
    <t>I think additional signage would be helpful to Veterans. Such as Check-in above that area. Patient Advocacy above the desk - or is it a reception desk? The system checking in with a VA card was much more efficient and allowed the disabled vets to sit down immediately - as it is now they stand for quite a few minutes because the clerks are few and computers are slow.</t>
  </si>
  <si>
    <t>The team that cared for me on my visit was superb. No one should expect anything more of how they treated me. I felt special even though I know I was only one of many. The attitudes was positive and refreshing from the time of check in to when I walked out the clinic. I thank them for caring for me and I thank you all for allowing me to let you know how special I think the people in Optometry is.</t>
  </si>
  <si>
    <t>I had an scheduled appointment at 7:30 am. I checked in with the ladies in the front and was told I was checked in already online. I seen the lab personnel  walk in after that time. After waiting 30 minutes, I find out my online check-in did not check me into lab. Finally getting to the lab for blood draw there was aboslutely no customer empathy about what had happened.</t>
  </si>
  <si>
    <t>The medical provider, PA [NAME], was outstanding--thorough and professionally friendly. The check-in/ out experience was satisfactory at best--I expected better (and will leave it at that).</t>
  </si>
  <si>
    <t>Birmingham VA Clinic</t>
  </si>
  <si>
    <t>I used the kiosk to checkin for a walk-in to see my doctor.  I waited for an hour before I went to the window to see when I might be seen.  I had to wait 3 1/2 hours to see my doctor. I don't understand why you have to check in at the window and the kiosk. My doctor told me he got the notice that I was there to see him over 2 hours after I checked in.</t>
  </si>
  <si>
    <t>West Lakeland VA Clinic</t>
  </si>
  <si>
    <t>The plastic window at the front desk (check in) is a bit much!  And get rid of the face masks have them Available if wanted.</t>
  </si>
  <si>
    <t>El Paso Westside VA Clinic</t>
  </si>
  <si>
    <t>I would like somebody to check into my medical records and find out how come I can't keep a primary care provider</t>
  </si>
  <si>
    <t>The Pharmacy had my meds ready by the time I was wheeled down from the ICU. Was completely satisfied. Radiology needs new check-in secretary though. I always feel disrespected and uncomfortable when I go there.</t>
  </si>
  <si>
    <t>The check-in reps are in a half round with high walls making it impossible for reps at windows 3,4 &amp; 5 to see if a vet is waiting. They holler out, "next vet window _". For all they know there's no vet waiting and no way to see when a vet walks in.The waiting rm for labs is immediately inside the front door to the left. But to check in one must go to the opposite end of the waiting rm.</t>
  </si>
  <si>
    <t>Very satisfied with Checkin and lab process. Very quick and convenient.</t>
  </si>
  <si>
    <t>Check in was very easy and quick. Waiting area comfortable. Very professional and friendly visit with Optometrist, [NAME]. Facility is very comfortable and spacious. My visits have always been First Class! Thank you! Blessings for a Joyful Christmas!! In Jesus love...</t>
  </si>
  <si>
    <t>The woman working in the office check in check out window was very rude and cold</t>
  </si>
  <si>
    <t>The self-check in kiosks have been removed (this puts a lot more work on the staff, as there was a long line to check-in with only one person at the counter- but he was certainly lovely- kudos!) and while there is a sign that states people can check in by scanning the QR code or texting a number, I had no signal on my phone (T-Mobile) nor did others on other carriers.  Get a cellular repeater!</t>
  </si>
  <si>
    <t>I had a very early appointment, and the nurse practitioner was standing at the check-in waiting for me.  Very pleasant.  Never have had any problems at any of the VA clinics/hospitals I have visited over the years.</t>
  </si>
  <si>
    <t>Just love the convenience of this service! Don't have to go to the VA facility log in at the kiosk, then sit and wait to be called to the pharmacy?</t>
  </si>
  <si>
    <t>From the check-in process through to checking out, I've not associated with a nicer, professional group of people. I never fear using this facility.</t>
  </si>
  <si>
    <t>2022-12-08</t>
  </si>
  <si>
    <t>I have had a consistiantly outstanding experience in the Podiatry Clinic and the staff that provided my care. My experience at George VA has been positive, from the security at the entrance to the folks at the Check in to All the Staff I have encountered.The Volunteers are particularly helpful.
Thus far I am extremely happy with my care at George.</t>
  </si>
  <si>
    <t>Check-in alienating &amp; cold. Clerk was polite &amp; friendly, but inoperable kiosk &amp; plexiglass shields makes 1 feel unwelcome/unwanted. Covid-19 serious concern, but 0 arrival screening to had an appointment/take temperature. Thus 1 wonders how significant Covid-19 threat is.  Moreover I had to walk/search to find working kiosk 4 reimbursement. Better explanation on why of these issues recommended.</t>
  </si>
  <si>
    <t>My recommendation is you need to screw up once in a while or all my surveys will all look the same. You (the VA) do a great job. The VA makes the process idiot proof and convenient. I love this because I know I will be reminded about the appointment so often I can't miss it. Then when you check in the printout tells you where to go and the staff already knows I'm there. Again great job!</t>
  </si>
  <si>
    <t>The checkin process is slow and often bottlenecked as they have to triage stupid questions and walk-ins as well as people with appointments. Allow digital check-in.</t>
  </si>
  <si>
    <t>I believe I was initially seen by an intern to do my final follow up for physical therapy.  I feel like it could have been done over the phone or video.  I spent more time waiting (he was late calling me back) than the appt took.   I feel like it was a check in the box and even though I said nothing worked he said keep doing it.  Provider was more helpful with info for referral to my PCP</t>
  </si>
  <si>
    <t>I was satisfied with the service received from all employees. However, the check-in and travel pay kiosk has been removed and or discontinued. This causes inconvenience to vets and additional workload to employees, as they must distribute, collect, review and fax in paper forms for travel pay. 
Why were they removed and what is the planned alternative? I hope it isnâ€™t to discourage travel pay.</t>
  </si>
  <si>
    <t>Why are you  treated with such contempt at the eye clinic if you don't have a phone to check in to your appointment?</t>
  </si>
  <si>
    <t>Why is there no room for the eye clinic technician?  Why can't the transportation coordinator have a desk and real chair?   Why hasn't your Contract Officer fixed the automated check-in and travel voucher Kiosk?</t>
  </si>
  <si>
    <t>The ladies at the check in desk are always pleasant and helpful.
The lady that does the actual MRI is fantastic!!! She is always helpful, and a pleasure to be around. 
And the people that are there helping her are also very nice.</t>
  </si>
  <si>
    <t>Caldwell VA Clinic</t>
  </si>
  <si>
    <t>the lady at the check in desk was very friendly.</t>
  </si>
  <si>
    <t>2022-12-07</t>
  </si>
  <si>
    <t>Check in and wait time we handled very efficiently and I was on my way home. Great experience</t>
  </si>
  <si>
    <t>From the minute I walk in the people are helpful,nice and respectful from the front check in all the way up to the doctors thank you for all you do</t>
  </si>
  <si>
    <t>You've removed the check-in through kiosk. Before you could check in and then submit travel all from the same point of entry. Now you have to log in several times via the phone nd I have still, 3 days removed, been able to submit travel reimbursement. I travel 2.5 hours to these appointments and this being so difficult is just unacceptable.</t>
  </si>
  <si>
    <t>Front door staff quick in addressing why I'm there.  Getting me to the check-in desk quickly.  Check-in procedure easy &amp; not much waiting time.  Great service.</t>
  </si>
  <si>
    <t>The visit was very easy, starting with a close parking space.  Once inside the check in person was very polite and professional.  Talking with the Doctor was easy and I liked the idea that he really listened to me and answered all my questions and concerns.</t>
  </si>
  <si>
    <t>I wish - and recommend - that the list of care providers could be sent home with me. I remember at the time thinking how amazing certain people and moments were - but when the anesthesia wore off the next day - names were gone - but the experiences weren't.  Wish I had more than 400 characters here - from check-in to discharge - everyone was exceptional.</t>
  </si>
  <si>
    <t>The eye clinic check in staff were professional and helpful. 
The eye doctor was professional and helpful.
The Optometrist-Glasses selection, proper fit and eye prescription was professional and helpful.
Overall my experience at the Martinez VA clinic was pleasant and helpful.
Thank you for such a wonderful experience. I appreciate the help I can get at this clinic.</t>
  </si>
  <si>
    <t>No one at the front desk told me the kiosk couldnâ€™t compute my travel pay, I overheard a veteran say something about it, especially since I was at the kiosk to complete that task.if I hadnâ€™t heard the veteran I would of never known I wasnâ€™t going to get paid.</t>
  </si>
  <si>
    <t>Check In was a breeze!  The lady at the check in window was so very nice and very pleasant to talk with ! A great attitude!! I wish that I had asked her name.
Dr [NAME] is an AWESOME DOCTOR!!  I am very happy with him as my Primary Care Doctor!!  GREAT Doctors are hard to find and I am so PROUD that Dr, [NAME] is my Doctor!!</t>
  </si>
  <si>
    <t>96</t>
  </si>
  <si>
    <t>There was a misunderstanding by me as to my check in time.  Even though I was two hours late according them I thought I was on time! But they were all very kind and took me into see my Doctor [NAME] and he was very thorough and I was very impressed with him!! 
The Boise VA is the best there is!!</t>
  </si>
  <si>
    <t>Check in was not pleasant 
Staff person couldn't be bothered</t>
  </si>
  <si>
    <t>Install VA card reader at the clerk desk to speed up check in time. Greater VA los Angeles and VA sepulveda.</t>
  </si>
  <si>
    <t>Dr's and nurses are great and the check in staff are very helpful and respectful!</t>
  </si>
  <si>
    <t>The check-in process works well, but I have tried many different types of hearing aid pieces that are inserted in my ears and they all just continue to come out all by themselves. The doctor is very helpful and orders different molds to try but I have had bad luck with all of them so far.</t>
  </si>
  <si>
    <t>Mr. [NAME] was very helpful. I check in at Sepulveda but the paper reminder had Wilshire on it. When I made the time my appointment, I was very sure it was at Sepulveda, I did not bother checking the location when the paper reminder came in. Mr [NAME] had me squeezed in his full schedule knowing that I will be late getting to Wilshire and will be told to make a future appointment. Drove from O</t>
  </si>
  <si>
    <t>Excellent professional treatment from check in to session.</t>
  </si>
  <si>
    <t>With the VA removing the "kiosks" from most areas - where it's easier to check in and file for travel pay - the VA has made it harder on the vet and the people working at the VA.
Really stupid decision to remove them.
Total pain in the ass to file for travel pay by going and filing out a paper form that now a travel pay person has to transcribe back into the system.  ASSININE!</t>
  </si>
  <si>
    <t>1) I was concenred that the check-in staff doesn't start until 0800 when the first appointments are at 0800.  I would have expected to have someone manning the check-in desk by 0745 since I am told to check in 15 mins early.
2) Taking away the computer based check-in at the Laboratory was annoying.  We shouldn't be moving backwards in time at the VA going back to writing our names on paper.</t>
  </si>
  <si>
    <t>The self check-in screen did not work and I sat in the neuro waiting room 1 hour. When I spoke with the attendent at neuro reception, she said she had been looking for me. I was in the waiting room since 12:45pm to 1:45pm for my 1pm consult. 
I was finally seen by a  man (no white jkt):some physical and mental testing, but no advice about my increasing dizziness, which my major concern...</t>
  </si>
  <si>
    <t>This was my 5th visit to the Ft Detrick Clinic, but it was the 1st time I felt uncomfortable checking in.  The personnel at the checkin desk were not overly friendly, and they acted like I was a bother to them.  Once I was checked in, the great service was resumed.  The medical staff has always been top notch.</t>
  </si>
  <si>
    <t>At VA admissions for appointment, was directed to a "kiosk" with large viewing screen, no privacy, screen visible to any number of people in the waiting area.
Personal data was required to be entered and was visible, in large print, on this screen -   including my S.S. number!  
It was all much longer than needed - all ought to be in my history, in computer, accessible via my VA ID card.</t>
  </si>
  <si>
    <t>The check-in, nurse visit and doctors appointment all went well.  I would recommend all veterans to this clinic for healthcare, 
[NAME]</t>
  </si>
  <si>
    <t>The personal at the check in made it very easy and weâ€™re able to answer what questions I had. All are very friendly and courteous. Dr. [NAME] is a well versed professional in audiology and made me feel I was in the best hands to tend to my hearing loss issues.</t>
  </si>
  <si>
    <t>Macon VA Clinic</t>
  </si>
  <si>
    <t>This is both a compliment and concen.   The med tech who assisted was professional courteous, competent.  I appreciate the great support.
My concern is this is the second time I've checked in &amp; the department i was seeing was not notified that I was in the waiting room. This last appoint was 45 minutes after checkin and the previous one was 30.  Checkin employee did not seem concerned about it.</t>
  </si>
  <si>
    <t>Long waiting time to check in.</t>
  </si>
  <si>
    <t>My first appointment at this facility. Process seemed to work well for check in and the wait time for blood draw was short. I appreciated the well wishes for a Merry Christmas.</t>
  </si>
  <si>
    <t>Both health care providers that I saw were friendly, professional, and efficient and displayed interest in me personally and any issues I might have had. The check in and check out clerks however seemed to only be doing their jobs without displaying a caring, friendly attitude to the veterans coming in for health care.</t>
  </si>
  <si>
    <t>was a great visit.the check in person was really good.</t>
  </si>
  <si>
    <t>Doctors come and go. I have had many different ones. THIS IS NOT GOOD. Takes too long to get an appointment. Meds were delivered in days, now it takes weeks to get them. HORRIBLE.
Got a bill for my meds. Paid online that day then got another bill that was a duplicate of the last one. WHAT?
I HATE THE NEW CHECK IN BY SCANNING AN IMAGE WITH A PHONE. Stupid idea
Folks at the Billings VA are NICE.</t>
  </si>
  <si>
    <t>It would be nice to return to the Kiosk check-in. I Don't have a Smartphone, so I have to ask the People at reception desk to check me in and it's always the same response, "Use your smartphone" and then my respond "I DON'T have a smartphone" followed by a look of frustration from them because they have to do the check-in.  EVERYTIME</t>
  </si>
  <si>
    <t>Pharmacy should not wait for the patient to check in first before it begins to fill the prescription. This is a waste of our time. If a doctor puts in a request for a prescription for his patient, the filling process should begin at that time so when the patient gets to the window, maybe it will already be on the shelf waiting to be picked up.</t>
  </si>
  <si>
    <t>Prompt &amp; competent agent to check-in and out.</t>
  </si>
  <si>
    <t>Dr [NAME] and her Staff are professional, courteous.   Check in Staff makes you feel comfortable right from the start.</t>
  </si>
  <si>
    <t>When attending appointments at the Hope Center, all of the employees at check-in are always busy with phone follow-ups delaying check-in. One station should be dedicated &amp; give priority to in-person check-ins to speed up the process. Thank you.</t>
  </si>
  <si>
    <t>[NAME] from Oncology helped me with my appointment. He was kind, courteous, friendly, and knowledgeable in securing an appointment for me in Hematology. He made the process of getting an appointment for my consultation an enjoyable experience despite a few variables that were making it challenging for the process. I look forward to meeting him when I check in for my appointment today.</t>
  </si>
  <si>
    <t>Fix the check in process for the lab.  I watched countless numbers of veterans looking on what to do when they walked in.  Very poor signage and or instructions.  You must take a ticket to wait to get a buzzer to then get to the lab.  You have no idea whos next or where you are in line.  This is particularly problematic when there are large numbers of people showing up at the same time.</t>
  </si>
  <si>
    <t>From check in personnel to my professional providers I am always made to feel I am the most important person.</t>
  </si>
  <si>
    <t>While the check in rep could have been a little more cordial (not have such a stern tone), my overall experience was pleasant as the pholobotomist was very proessional, kind and swift.</t>
  </si>
  <si>
    <t>I called theAfter our nurse I got this gentleman on the phone and he was telling me that I was calling for the wrong day to get my pain medicine harassed me the whole phone call I really think that you need to check into this person he was not doing the veteran any good whatsoever thank you for your attention I do not know the name of the man but it was that you call center I believe in Ohio</t>
  </si>
  <si>
    <t>The receptionist was very helpful with directions to the office for my visit. The check in nurse and doctor were very professional and courteous.</t>
  </si>
  <si>
    <t>Santa Rosa VA Clinic</t>
  </si>
  <si>
    <t>Check in was easy,
My session was excellent.</t>
  </si>
  <si>
    <t>2022-12-06</t>
  </si>
  <si>
    <t>1. I am diabetic and use the Free Style Libre. Why do I have to reorder these every month?  Canâ€™t this be done with an automatic shipment every4 weeks?
2. It used to be so easy to sign in to myhealthevet.gov. Now with the changes last night it took me 10 minutes just to get signed in. 
It seems like the recent changes (log in, turning off the kiosks) are making it more difficult for the vets.</t>
  </si>
  <si>
    <t>Miss the check in kiosk</t>
  </si>
  <si>
    <t>All of the staff, from checking in through being seen were friendly and helpful. The wait was not long. The medical practitioners were friendly and thorough. This facility always makes me feel comfortable and shows friendly concern for my needs and questions from front desk check-in to the end of the visit. The facility is well ordered and comfortable. Canâ€™t say enough good things about the clinic</t>
  </si>
  <si>
    <t>From check in to check out very positive, very professional, very caring.</t>
  </si>
  <si>
    <t>Parsons VA Clinic</t>
  </si>
  <si>
    <t>4 month followup and check-in.</t>
  </si>
  <si>
    <t>I needed a phone to check into my appointment. Unfortunately I don't have a phone and this complicated the check in process and took longer than it should have.</t>
  </si>
  <si>
    <t>Gene Taylor Veterans' Outpatient Clinic</t>
  </si>
  <si>
    <t>The way they do travel pay is not very convenient anymore. The kiosk were nice but now that they are no longer in use the website does not work so only option is mail in which takes a very long time.</t>
  </si>
  <si>
    <t>It is so much easier when the kiosks were operational</t>
  </si>
  <si>
    <t>Check in staff should understand that they are working for the veterans.  Personal business between staff members should stop when a Veteran walks up, check them in, then go back to what ever personal business they may have.  â€œRespectâ€</t>
  </si>
  <si>
    <t>At the time of my visit I also requested if I can get a Veterans ID and was promptly helped right away at the check in counter where to obtain it after my appointment. It was a pleasant experience all the way from the reception, nurse and audiology office where the ID was processed. All involved were knowledgeable were to direct me and helpful. Appreciate it very much.</t>
  </si>
  <si>
    <t>After stepping off the second floor elevator only one kiosk was working. After checking into my appointment it was unclear to go to the point a doctor a nurse were directing people after exiting the elevator. I needed to be told where to sit as signs are unclear and the location my text message mentioned told me to go somewhere else. Lab check in was long and most veterans did not understand how</t>
  </si>
  <si>
    <t>The receptionist be more attentive to the clients at check-in and volunteer information regarding travel processing since the kiosk was not working.  I also had to call to check on the status of my orthotic inserts after waiting so long for a call to let me know they had arrived.  The process to issue them once I arrived was seamless.</t>
  </si>
  <si>
    <t>I was move into were I need to, check in and taken right in.</t>
  </si>
  <si>
    <t>The reception personnel and my doctor were great â€¦ exceptional and professional every step of the way.  I was in and out in no time, completely satisfied!  From the first call to the VA call line, to the text appointment confirmation, to reminder texts, to check-in at the Belvoir VA Clinic, to the Audiology appt with the superb doctor, a great experience.  Thanks to all for your service!</t>
  </si>
  <si>
    <t>The lab and XRay were awesome. The receptionists are doing too many jobs to effectively check in Vets. You need a call center team which ONLY handles calls. Iâ€™ve been on both ends of that group and theyâ€™re stressed out, over worked and ineffective. This can and should be fixed today. Itâ€™s not rocket science, of which I know a thing or two about. Youâ€™re doing a huge disservice to Vets. Fix it.</t>
  </si>
  <si>
    <t>The checkin lady was very nice and cheerful. The guy who did my test was friendly and professional. The doctor was very specific in her explanation of everything and I felt she was on top of my needs.</t>
  </si>
  <si>
    <t>Eureka VA Clinic</t>
  </si>
  <si>
    <t>Many times I feel treated as anything other than human. The person at check in just shrugged her shoulders when I asked her if she can get my nurses attention. My provider tried a foot brace on me which didnâ€™t fit but didnâ€™t say if a bigger size can be ordered either from SF VA or an outside provider and I sensed frustration on his part, he said because everything heâ€™s tried hasnâ€™t worked.</t>
  </si>
  <si>
    <t>I have been attending dental treatment and it is an excellent dental treatment I have been receiving since I came under the care of Dr [NAME]. In the time under her care I have got What I have been seeking since I came to Miami in 2001. But the support is terrible a single person, out of 3, attends the clerical duties an check in behind a single window with a broken two way speaker.</t>
  </si>
  <si>
    <t>The lady who took my blood for lab work was great...no pain and just one attempt was all she needed! I'm just curious as to why the old kiosk sign in is no longer being used...it seemed to work very well.</t>
  </si>
  <si>
    <t>Go back to the kiosks to check in. Check in is a disaster! How about a dr that listens to me? Do we not have any female providers?!</t>
  </si>
  <si>
    <t>When I got to the appointment and attempted to check in, I was told that my appointment had been canceled by the call center.  I was not called to be advised of this.  I received a letter in the mail after the appointment date letting me know of the cancelation.  The doctor claims he did not know of the cancelation.  He ended up being able to fit me in.</t>
  </si>
  <si>
    <t>Everyone from the entrance to labs and check ins was right on point courteous professional caring</t>
  </si>
  <si>
    <t>Doris Miller Department of Veterans Affairs Medical Center</t>
  </si>
  <si>
    <t>I appreciate all the staff at both the intake clinic and at the dental clinic for the quick check in, helpful service and dedication to my care. Thank you all and God Bless you.</t>
  </si>
  <si>
    <t>This was my first appointment; I felt a little unsure at the beginning kiosk machines.  After i passed the point, my team informed me very well.</t>
  </si>
  <si>
    <t>The kiosk did not work and I could not get the text check-in to work on my phone, so I went to the desk to check-in, which turned out to be the easiest and most convenient. Everyone I talked to was pleasant and helpful.</t>
  </si>
  <si>
    <t>11/19/22 Emergency Room experience was excellent from every perspective. Check-in as well as discharge was quick and organized. Nursing staff attentive and Dr. [NAME] outstanding in his communication, support and review prior to discharge. The pharmacy prepared necessary prescription prior to leaving. Pharmacologist, Dr. [NAME] is exceptional and supports our understanding of medications</t>
  </si>
  <si>
    <t>The staff at the El Paso Dental Clinic always make me feel welcome and valued. This includes the receptionists at the check in desk, Dr. [NAME] and his assistant. I truly appreciate their concern, courtesy and professionalism while addressing my needs.</t>
  </si>
  <si>
    <t>Rainbow City VA Clinic</t>
  </si>
  <si>
    <t>Twice Iâ€™ve arrived early for my appointment and checked in using a kiosk. Both times the kiosk did not alert staff that I was there. Luckily I heard another patient checking in with my Doctor so I went to the window to check in. The staff were fantastic as usual, they were friendly and respectful. The staff is never an issue. My only complaint is the kiosk. Please fix or replace them. Thank you</t>
  </si>
  <si>
    <t>I'm not so sure about requiring cell phones to check-in at the clinic. Although these days it's hard to separate people from their phones, I thought it in general a better practice to not bring your phone to a medical appointment.
I did complete the pre-check-in ahead of time at home via the email from the VA link to the process. That seems an efficient and helpful process.</t>
  </si>
  <si>
    <t>The new check in service really really really stunk today normally it doesnâ€™t but today was very bad</t>
  </si>
  <si>
    <t>Very professional and courteus personnel from check-in to appointment completion. Outstanding!</t>
  </si>
  <si>
    <t>Put staff at the check in station that want to check people in. 3 staff at stations, 1 doing the check in. And after 5 minutes of waiting, I was finally called over to 1 of the stations that really didnâ€™t want to do it. Her attitude showed openly when getting my last 4. 
I get bad days, busy days. There was only 2 of us so not like they were busy and it was 8:20am, so doubt bad day.</t>
  </si>
  <si>
    <t>Upon arriving at Alvin C. York I went to the check in desk for urology/dermatology and the young lady there was very rude and presented a very sarcastic attitude. After check in, while waiting in the waiting room, others who checked in talked about their treatment from the same lady as they checked in. I checked in at 12:30PM and she was the only lady there at the check in office.</t>
  </si>
  <si>
    <t>I usually never have to wait to be seen!  Several times I was still at the kiosk and they called me back!  Now getting the appt is a different story!</t>
  </si>
  <si>
    <t>Everyone from check-in to the blood draw to checkout was very  welcoming, courteous, helpful, and effective. All is in an outstanding status in the clinc. Thank you!</t>
  </si>
  <si>
    <t>Kiosk broken did not report check in</t>
  </si>
  <si>
    <t>Staff is always courteous and efficient, never more than a few minutes wait time after check in.
The technician are professional and conscientious.
Couldn't imagine better service!</t>
  </si>
  <si>
    <t>I have to call each month to get my pain medications. Half the time I come in to pick them up they are ready. The other half the time I have to check in, wait 30 minutes to an hour and then get them. I  see no reason why they canâ€™t simply have them ready to pick up. I even call and they say they are ready for pick up, but in essence, theyâ€™re not ready.</t>
  </si>
  <si>
    <t>From check-in to check-out, was about 30-45 minutes for an eye exam.  Beautiful new facility with friendly warm personnel.   [NAME] was my technician and Dr [NAME] was my optometrist. Both were great listeners and put me at ease.</t>
  </si>
  <si>
    <t>My physician put in an order for a 1-3 month supply of medication, as I have been out for a week. The pharmacist said he couldnâ€™t do that as I have some meds â€œin processâ€ to be mailed. He only gave me a 10 day supply. Why is a doctorâ€™s order void by a pharmacist, and it wasnâ€™t even the pharmacist, it was the check-in employee. Treat your veterans better and with more respect.</t>
  </si>
  <si>
    <t>`1</t>
  </si>
  <si>
    <t>Excessive wait.  Appt at 1145, checked prior, not seen till 1230.  Perhaps a staffing problem (called out sick?). No mention of delay when check in.  First time this problem at HSV CBOC.</t>
  </si>
  <si>
    <t>It took me over an hour from check-in to pickup at the pharmacy. I am sure they are busy but this seems excessive.</t>
  </si>
  <si>
    <t>I wish I could check my prescription in online or via the phone. That way I could just show up and grab my prescription from the window. I had the flu and had to check in to then wait 35 minutes for my medicine.</t>
  </si>
  <si>
    <t>I have been impressed by the personal attention I feel I get at each of my appointments.  From check in to check out everyone is vested in my care.</t>
  </si>
  <si>
    <t>Even though I was told I could pick up my meds at the pharmacy there, it was closed and no direction for alternative. I now have to wait two weeks. It was difficult to get changed from pickup to mail through checkin staff. Also, the travel pay site was down. Exactly no change from paper request. Still a burden/waist of time. Likely to deny it like all the others that are service connected denials.</t>
  </si>
  <si>
    <t>I think the continuity of VA healthcare is horrendous.  I showed up yesterday to my doctors appointment to find that it had been canceled and the doctor had retired in September. Nobody bothered to call and tell me this. Fortunately, the person at the check-in desk was able to get me an appointment with my new provider. But itâ€™s gonna take a lot of effort to rebuild my trust.</t>
  </si>
  <si>
    <t>I feel it would be better if the VA would require check ins be done by writing my name and last 4 SSN instead of having to say the information if front of others who are in the area.</t>
  </si>
  <si>
    <t>Tried to contact my primary Doctor or anyone at the check in dept for about an hour to see if I needed to do labs as I wasnâ€™t sure if I was seeing a doctor or not.Turned out alright as I went ahead and did my labs.</t>
  </si>
  <si>
    <t>2022-12-05</t>
  </si>
  <si>
    <t>When I arrived to check in, there wasnâ€™t anyone at the check in counter. After about 15 minutes of waiting, a nurse took me in without me being checked in, the nurse wrote down my information and put it on the check In counter, she then took my vitals. The woman that was supposed to be at the check in, about 10 more minutes, finally showed up.</t>
  </si>
  <si>
    <t>Let us put travel pay on the kiosk again at the Brockton facilityâ€¦â€¦..</t>
  </si>
  <si>
    <t>Check in: I was only person at counter and stood directly in front of middle desk. I was ignored by female at that desk, she looked at me directly and did not acknowledge me. She was not on the phone nor appeared to be working on computer. After several minutes, I said excuse me, she looked up at me, said nothing. Man at desk next to her finally said he would help me, cuz she wasnâ€™t going to.</t>
  </si>
  <si>
    <t>You are requiring patients to check in via text yet no one comes out and by the time the vet realizes that no one is coming they are late for their appointment ad have to reschedule.  ive witnessed this three times.  Also, sometimes when appointment changes are made we are not notified of the changes.</t>
  </si>
  <si>
    <t>I needed assistance with some paperwork I was given in the past to complete. None of check-in clerks had a clue who I needed to give it to. I was referred to the person in Veterans Services (Rm 102) who totally dismissed me and offered no assistance in pointing me in the right direction.
KUDOS to my counselor [name] who make Veterans her priority!</t>
  </si>
  <si>
    <t>bring back travel pay from kiosks</t>
  </si>
  <si>
    <t>Check in system is cumberson..no need to answer next of kin info to verify you are there. I missed that part and sat 40 minutes until I checked in again.</t>
  </si>
  <si>
    <t>Wonder why the kiosk's have been removed? I found them quick for registration and applying for travel pay.</t>
  </si>
  <si>
    <t>Everyone from check in to Technician was very pleasant and respectful!</t>
  </si>
  <si>
    <t>From check-in to check-out I was treated with respect, the staff was knowledgeable and personable. GREAT TEAM!</t>
  </si>
  <si>
    <t>Blood lab has improved significantly, wait time has decreased immensely. They get u in and out quickly and they are all nice to you. The X-ray wait time however is ETERNAL! From checking in to sitting waiting to be called out back. There was no one at the check in desk for 20mins, then messed up the arrival order of people. After, had to wait 2 HOURS to get X-rays done that didn't even take 10mins</t>
  </si>
  <si>
    <t>The entire process, from check in to check out, was efficient and friendly. Highly recommend.</t>
  </si>
  <si>
    <t>The pharmacy staff wasn't very helpful and some what rude. Older Veterans have a hard time using the Kiosk machine and no one is there to offer any help or assistance.</t>
  </si>
  <si>
    <t>When you arrive in VA and try to check in
They say every time, Iâ€™ll be with you in a minute!!!! After they have a talk and laugh itâ€™s your turn, then itâ€™s what your name last 4 and sit over there like your a problem. No smile or even if they recognize you being there, I hate checking in to those people</t>
  </si>
  <si>
    <t>2022-12-04</t>
  </si>
  <si>
    <t>Mileage kiosk are going away and I donâ€™t have a smart phone.  Or the knowledge to use it.</t>
  </si>
  <si>
    <t>Everything went as expected but it used to be a lot simpler. I liked it when the VA rep at the front desk just printed out a Number for us. Then we had to use the kiosk which was OK. Now we gotta go to a window which is NOT a big intrusion, but the idea is it was never "broken." Just saying. Not a PROBLEM but one never knows what they'll have to do "this time" to just check in. A.B.</t>
  </si>
  <si>
    <t>I met with a cardiologist with concerns about my heart after many tests. I am concerned about chest pains. He said we don't worry if under 30 seconds. Well i worry! I left not knowing what i can do to help myself.
The electronic check-in machines have been removed. Why? This is going backwards. Now must fill out travel remb requests on paper. Makes no sense.</t>
  </si>
  <si>
    <t>you are told to check in at one station but when the Doctor calls you they are at the other a different station and you have so walk back to the station where she called you.  Help the service center to remedy this.</t>
  </si>
  <si>
    <t>Kingman VA Clinic</t>
  </si>
  <si>
    <t>From the time I'm greeted at the door and through the check in process with the folks at the counter and on into my blood draw I could not be more pleased.  Everyone was helpful and friendly.   Amazing that you get so much done for us.    Keep up the great work.</t>
  </si>
  <si>
    <t>Texarkana VA Clinic</t>
  </si>
  <si>
    <t>The appointment was for lab work. Check in was fast and simple. The lab technician which drew the blood was professional, his attitude was very upbeat and set a positive mood for the work needed. There was minimal pain in the needed procedure due to the technicians training and experience.</t>
  </si>
  <si>
    <t>I liked the self check-in that we had before covid19 and I think we should go back to it. Waiting in line just to check in seems wasteful.
And if spreading covid19 or anything else is a concern with the self check-in, it's no different than everyone touching door handles.</t>
  </si>
  <si>
    <t>The check in kiosks were much easier than the new system of scanning a QR code or the long lines at check in desks.  Even staff commented the old system of kiosks worked better for them.</t>
  </si>
  <si>
    <t>It would be great to track our meds.   From the time we order them to the time they get to our door.   Give them a tracking number so when we call in to check in on them, we know where they are.</t>
  </si>
  <si>
    <t>I was impressed once I got to the Check-in counter with the amount of information that was on counter.</t>
  </si>
  <si>
    <t>Nine times out of ten the receptionist at each clinic are rude. They act like we are bothering them when we check in and they treat us as second class citizens as if they are better than us. I have witnessed veterans being talked to like they are a child getting in trouble with the parent. They are there to assist us. They should show some respect and appreciate the fact that they have a job.</t>
  </si>
  <si>
    <t>2022-12-03</t>
  </si>
  <si>
    <t>The service at my eye appointment was outstanding.  The providers were caring and competent.  The kiosk for signing in to the appointment was not working, but the receptionist at the eye clinic handled it easily.  I happily recommend the Kansas City VA Hospital whenever I have the opportunity.</t>
  </si>
  <si>
    <t>Do not like the new check in process may be ok if you would have a smart phone with you still need a station for checking in</t>
  </si>
  <si>
    <t>The check-in process using a smart phone is a joke but might be better than the receptionest who was too busy talking to her fellow work mates to serve the people who served this country, Also the doctors don't care about the quality of our lives, just how fast they can get us in and out of the room.</t>
  </si>
  <si>
    <t>the check-in procedure was screwed up and caused some anxiety! there was a paper sign over the ID reader and terminal saying to text, which failed.</t>
  </si>
  <si>
    <t>Even though it's been quite a  while since prescriptions has moved, I've noticed many people have a hard time locating where to go and how to check in. Maybe something could be done to help clarify the situation.</t>
  </si>
  <si>
    <t>Travel Reimbursement is now on paper instead of using the kiosk machine. This makes it harder to complete. Wasted no paper and ink, not mentioning someone has to enter the form electronically. Trying to use the portal is a waste of time. The portal just takes me back through a loop of pages.
Portal check in is a pain as well. Kiosk machine worked well. Now everyone goes to the window.</t>
  </si>
  <si>
    <t>It all begins at check in. First came the smile then the last four of my social security asked. Then my name and a mask which I donâ€™t like at all. Be seated and your name will be called. I arrived about 20 minutes early. Went over in my head what questions I have for the Audioligest. She came out and off I went. She was so friendly and kind. She answered all my questions and it was over in 15 min.</t>
  </si>
  <si>
    <t>I preferred the kiosk check in including the ability to file for travel. I understand the volunteer assigned to provide me with the travel forms and assistance was trying to be helpful; she was very condescending and treated me like an idiot. I also suffer from PTSD; the less contact with others, especially in a VA facility the better. I understand that is not the experience others would like.</t>
  </si>
  <si>
    <t>Difficult to check in, with NO SMART PHONE, and NOT TECH SAVVY!!</t>
  </si>
  <si>
    <t>Travel expense reimbursement... my appointments with the VA Dallas and Garland have not been updated in the system since March 2022!  I don't understand why these completed appointments are not updated. Could someone check into this?  I would like to complete the form for reimbursement for each completed appointment before the end of December. Thank you very much for your assistance.</t>
  </si>
  <si>
    <t>The check in people, nurse &amp; lab workers were all first class.
The doctor spent so much time documenting everything on the computer that she hardly even looked at me. Couldnâ€™t you just record the visit and transcribe it to the computer after? I know the doctor needs to look at my history and test results and authorize tests and alike. Maybe someone can do that so the doctors can be doctors!</t>
  </si>
  <si>
    <t>The almost 20 minutes in line to check in, Desk 2 was talking to another employee and Desk 1 took his time getting ready. While Desk 1 was getting ready, he was talking to Desk 4, distracting him from his duties. If those people are taking breaks, why are they sitting at their desks on not some break area or place not seen by the people standing in line? Makes it most frustrating.</t>
  </si>
  <si>
    <t>It used to be very convenient to check in for appointmens and file for travel pay afterwards on the kiosks placed throighout the VA. Recently the have all been disconnected. It is vastly more difficult to get travel pay now. Requiring going online to file. What if you are an older vet with little or know computer knowledge? You've taken a system that worked well and made it much more complicated.</t>
  </si>
  <si>
    <t>Bring back the self check-in kiosks</t>
  </si>
  <si>
    <t>Marshalltown VA Clinic</t>
  </si>
  <si>
    <t>in month 5 i recieved appointment letter for my november 28 appointment , so i went , just to get told they canceled my appointment , i drove 50 minutes for nothing again , the man scheduling the appointments on days when the doctor is not in , at least i was able to get in on november 30 ,  the kiosk does not work at marshalltown , i have no way to get fuel reimbersement during last 4 trips</t>
  </si>
  <si>
    <t>1.  It is a very large campus.  Once you know where your building is it is relatively easy to navigate.
2.  Once at my designated place check in/out was pretty straight forward.
3.  Telehealth appointments have been a little hit and miss.  A couple of times I was not called.  Given the VA'S work load my overall experience is satisfactory.</t>
  </si>
  <si>
    <t>Check-in staff was pleasant this day, sometimes they are not. Had a great appointment with Dr. [NAME], she listened to my concerns and addressed my issues in a professional manner, was great.</t>
  </si>
  <si>
    <t>Re-establish the ability to request travel reimbursement on the kiosk at the VA Medical Center in Seattle. You took away something that made it easy for us and turned it into a pain in the @$$ to try and apply for. Next, at the end of your visit the Doctor tells you a make an appointment that is 60-90 days out but the system wonâ€™t let you, so you forget to  call back in 30 days</t>
  </si>
  <si>
    <t>From the minute I walked into the building till I left the center I found it very comforting and everyone was extremely helpful and courteous. A nurse just coming into work took us up to the 2nd floor and walked us down to show us where to check in. Even though 
we got there an hour late we were helped with extreme care and respect.  The check in was very easy and everythng was fully explained.</t>
  </si>
  <si>
    <t>The Doctor and staff were verry through and showed concern for my health needs.
The check in staff did the best they could with what they had to work with, they need more handicap equipment.</t>
  </si>
  <si>
    <t>The admin check in staff was less than adequate. They have team signs for literally no reason. They conducted training while 30 plus folks waited. The heaters at the door didn't know there was trading and only one line. They should communicate and direct folks better.</t>
  </si>
  <si>
    <t>The check in desk; it is hard to communicate with the person through the plexiglass.  I know itâ€™s to protect from COVID-19 but it is difficult to communicate information.</t>
  </si>
  <si>
    <t>I'm having trouble with my travel benefits. There is not an easy way to file the claim but to fill out paperwork. Before you had the kiosk and that was perfect now I'm at a loss as to why that system was removed. I tried to use the online method but I have so many issues I gave up</t>
  </si>
  <si>
    <t>Let's get the kiosk's working at this facility.</t>
  </si>
  <si>
    <t>I understand that medical students need a place to learn and grow to become professional, medical providers someday, but as a veteran I should be asked if I wouldnâ€™t mind seeing a student prior to the doctor.  This should be done during check-in and not in front of the medical student/students.  There are times - depending on the nature of the visit - that I just want to see the doctor.</t>
  </si>
  <si>
    <t>Bring back the kiosk for check-ins.( note; I do not have phone that scans for check in). Sometimes I am unable to stand in line an extended period of time to check in at desk. Check in at kiosk was much faster and easier in my opinion then being on my phone.</t>
  </si>
  <si>
    <t>They went above and beyond it looks like a tough job at the check in due to hard of hearing and confused people</t>
  </si>
  <si>
    <t>Check in was better than last time, still took a while as the clerk at the desk was occupied with other matters and did not acknowledge the ever-increasing line of people who were waiting.</t>
  </si>
  <si>
    <t>I was told to go downstairs to have labwork done. I tried to check in at the kiosk but it didn't have me in the system and told me to see a staff member. I looked for a staff member but no one was at the desk. I waited around for about 30 minuets but had to leave for another appointment. So I never got my bloodwork done.</t>
  </si>
  <si>
    <t>The appointment seemed to take too long.  I arrived at 1:45 to check in for a 2:00 appointment.  Imaging did not begin until after 3:00.</t>
  </si>
  <si>
    <t>Bring back the kiosk for check in. Kiosk make  check in faster and easier.</t>
  </si>
  <si>
    <t>Quick and easy from check in to finish</t>
  </si>
  <si>
    <t>Would like to see return of Check-in Kiosk.
Difficult to receive return communication from some areas when using Secure Messaging on MYHEATHEVET
For the most part, I am very pleased with the VA healthcare experience</t>
  </si>
  <si>
    <t>The removal of the automated clinic check-in kiosks make it extremely difficult to check-in to the clinic.  The removal now makes it a requirement to use a smart phone to check in.  I do not text or scan anything from my cell phone.</t>
  </si>
  <si>
    <t>Thank you so much Dr. [NAME] for your care. Very much appreciated. 
Many Thanks to the lady at the check in window that helped me with three different issues. I'd like to thank the volunteer and the nurse as well.</t>
  </si>
  <si>
    <t>The check-in process, actual appointment and visit to the eyeglass office were all completed in a very timely manner.</t>
  </si>
  <si>
    <t>From the time I stepped up to the "check-in" desk to the end of my visit and again stepped up to the "check-out" desk, everyone on the staff was polite, caring and friendly. Could not ask for better service. GREAT TEAM.</t>
  </si>
  <si>
    <t>Need more help at check in desk</t>
  </si>
  <si>
    <t>The Pharmacy is the ONLY VA program that works. The rest are ridiculous, like the kiosks   at the offices, they worked great the VA spent Millions to install them, the Vets Loved them no more Paper for travel Reimbursements. Then BOOM no more thrown away for no good reason, Millions of dollars wasted.  I can NEVER get into a provider but when I out outside the VA system they fight tooth and nail.</t>
  </si>
  <si>
    <t>I have nothing but good things to say about the Tyler clinics, and the new clinic is tops. Everyone I have had contact with, from the girls at check in to the lab guy's and doctors have been great. Always get great care and Thank You to all who work there for caring and taking care of all our needs.</t>
  </si>
  <si>
    <t>I am sooo happy with every staff member I interact with at St. Cloud.  Nurses are WONDERFUL, Doctors actually care, check-in personnel are always happy to see you, and the greeter at the front door is very informed and helpful.  My Montivideo CBOC nurses and the entire staff the BEST!</t>
  </si>
  <si>
    <t>2022-12-02</t>
  </si>
  <si>
    <t>When these surveys are done, they should cover the customer journey (marketing industry term) through the whole appt experience, rather than only ask about the hospital.  Hospital --&gt; Check-in --&gt; Waiting --&gt; Nurse --&gt; Doctor.  Imagine this scenario: One doctor endangers a veteran with poor treatment but everyone else is flawless.  How does the veteran reflect that here?</t>
  </si>
  <si>
    <t>Not enought space available to give you complete details. 
You do have a problem with the check in workers at the eye clinic. Also, the windows at checkin block visibility between the receptionist and Veteran which makes it difficult to communicate or actually see if there is anyone available. 
Consistency for appt check-in is questionable. Attitude and professionalism needs to be addressed.</t>
  </si>
  <si>
    <t>I am extremely upset that the VA stopped using the Kioskâ€™s to allow a Veteran to file for travel! This is very hard for senior veterans who donâ€™t have any computer or cell phones! Why did you return to the 19th century using paper? The kiosk system was efficient and allowed me to usually receive reimbursement within a couple days! Now it takes sometimeâ€™s over a month! Please go back to the kiosks!</t>
  </si>
  <si>
    <t>I am thrilled that Canton opened that clinic! I love the comfy vibe of the place when I walk in, &amp; people are always offering us snacks &amp; drinks &amp; ask if we need anything. The check-in area is always super kind &amp; accommodating. And I absolutely adore my caregivers! They are great listeners &amp; very attentive, &amp; care about whatâ€™s important to me! [NAME] &amp; [NAME], [NAME] are my favorite!</t>
  </si>
  <si>
    <t>My Provider is located in Bravo Section.  However, my appointment card always sends me to Charlie Section.  Why can't the VA identify the section Ms. [NAME] patients should check-in?</t>
  </si>
  <si>
    <t>Audio staff from check-in to short wait time and finally to doctor or staff appointment is always a pleasant experience. They are prompt, patient and friendly and attentive to the vets needs.</t>
  </si>
  <si>
    <t>Small glitches to check into when I arrived. [NAME] (nurse) was Super as always.
Appointment went well.
Next appointment is next year!</t>
  </si>
  <si>
    <t>I liked the check-in kiboshes.</t>
  </si>
  <si>
    <t>Clifton Park VA Clinic</t>
  </si>
  <si>
    <t>Dr [NAME] and the staff are exceptional.  This Staff and the VA health system has been exceptional.  I have NOTHING to complain about. If I have an issue between appointments they respond and check in on me.  Excellent service and care !!</t>
  </si>
  <si>
    <t>Since we now check-in for appointments in the lobby, it would be very helpful if the location of each appointment could be shown on the screen and/or printed on the receipt.</t>
  </si>
  <si>
    <t>I received courteous service from the check-in desk and complete, informative service from my provider.</t>
  </si>
  <si>
    <t>The area I waited in was very clean and comfortable.  The check in procedure was easy and fast</t>
  </si>
  <si>
    <t>Upon arrival as I was goig to checkin with my ID I QR scan codes that were posted. First let me say not all of us Vets are so tech savy young or old. Second my and most individuals do not get cell phone reception within most sections of the VA Hospital. Third there was a clip board?  For us to sign in on for labs? Contct me for follow up as I will seek patient advocacy in this matter. 304 926 7794</t>
  </si>
  <si>
    <t>Great visit starting with the greaterscat the door and then on to checkin the next visit with the nurse was more than I expected compassion attention to my issues and responses that I could understand the next step was with the Dr he remembered me and took time to review my issues and resolved several needs in a very positive way. It is very comforting to know that we have such a great hospital</t>
  </si>
  <si>
    <t>November 23 was not my most recent visit.   The appointment that day was terrific.   I was in the ER for kidney stones on the 30th.  What a mess.....
Specifically [NAME] in the check in station.   She is rude and doesn't not listen... has no Patience or compassion.</t>
  </si>
  <si>
    <t>North Jefferson VA 1 Clinic is the preferred location for my healthcare needs. My PCP and nurse with Red Team were amazing! Service and care is second to none. Dr. [NAME] was thorough and set everything up to make it easy for me to get the best quality of care necessary. It was a breeze going through check in/out with Red Team as well as Labs and Radiology. Highly appreciated and recommended!</t>
  </si>
  <si>
    <t>You have gone back to manual check in with people behind the glass.
Feel you have gone backwards in advancement here. Took way to long for anyone to even acknowledge I was standing there.
Then they expected me to yell our my personal information.
Handed them my card and the look I got reminded me of my 13 yo grand-daughters face when asked to do something. Rolled eyes and all.</t>
  </si>
  <si>
    <t>Athens VA Clinic</t>
  </si>
  <si>
    <t>The kiosk was not working properly, so I was Not check in and waited until I asked what was going on to the front desk personnel.  Also, my doctor needs an assistant to help him through  all the patients paperwork. Thank you.</t>
  </si>
  <si>
    <t>Why in the heck would you get rid of the check in kiosks????  That is stupid! Now you are placing a burden on front desk staff to check in the older vets. It was 100 % of the patients that entered when I was in the waiting room. Stupid!</t>
  </si>
  <si>
    <t>The check-in was effortless, was warmly greeted at the entrance, with a short wait time. The provider was very concerned about my well-being, and listened to my concerns.</t>
  </si>
  <si>
    <t>The doctors, nurses, technicians, are all good folks and do their jobs very well but the staff manning the desks at various clinics are arrogant and uncaring and do just as they please. I have been standing at a check in counter and made to wait while clerks were laughing at something and not doing their jobs. It is also a joke to attempt to obtain an appointment in any quick way the usual appoint</t>
  </si>
  <si>
    <t>Mrs. [NAME] and her staff at the Pulmonary office were extremely friendly and I absolutely enjoyed my time from check in to check out.  This was my 1st time meeting Mrs [NAME] and she was so kind and thorough. I actually can't wait for my next appointment with Pulmonary.</t>
  </si>
  <si>
    <t>From check-in to check-out, I felt as though I was visiting friends. Everyone engaged in small conversation until work begun and after it ended.</t>
  </si>
  <si>
    <t>People waiting for the pick-up from Owl transport now wait in the outpatient pharmacy. The flow of traffic in the pharmacy needs work. The check-in computers and line to pick-up rxs are in the same space.  Patients checking in at one of the windows must cross through the line of people waiting to pick up rxs.  Waiting 50 minutes for rxs after surgery is ridiculous.</t>
  </si>
  <si>
    <t>The travel pay. situation at McGuire-Holmes in Richmond is bad.  Get the kiosks back online and get travel pay up-to-date.</t>
  </si>
  <si>
    <t>For my past few visits to the Lafayette clinic the kiosk were not working and on my last visit there was only one reception signing vets in. I think more attention needs to be placed on making sure that there is sufficient staff and kiosks are working.</t>
  </si>
  <si>
    <t>Since Kiosks are no longer available to report mileage, I had to use the website... I could not figure it out and ended up just quitting. The lady in Travel accounting, said, yes the website for getting mileage reimbursement is hard to use, but if I called her back that she would walk me through it.... In the end I just gave up....  I will try again when my nerves calm down and call for help.</t>
  </si>
  <si>
    <t>Pharmacy at Vancouver VA was having issues with amout of callers affecting check in and wait times</t>
  </si>
  <si>
    <t>From the check in to the lab, everyone I encountered was polite, efficient, and created a pleasing experience.  The Lab techs were extremely efficient and drew my blood sample extremely well.  I tend to be a difficult stick having deep veins that tend to roll.  Your personnel in the lab have been extremely good and very proficient at their jobs.</t>
  </si>
  <si>
    <t>Westmoreland County VA Clinic</t>
  </si>
  <si>
    <t>Check-in was easy and fast.  I waited no more than one minute to be called into the lab for a blood draw.  Less than five minutes later I was back in my car and on my way home.  The lab tech was quick, efficient, and courteous.  Great experience.</t>
  </si>
  <si>
    <t>My normal wait time at the lab is about 20 minutes after I check in. My last visit to the lab I waited for over an hour and it is due to the short staff in the lab. Whatever you did to cause this issue needs to be reversed NOW !!!</t>
  </si>
  <si>
    <t>Va has bent doing better this yeas so far when we check in it take to long because the person that check you in is talking to much to the nursing or DR, about thing we do  not need to know. what happen with the check in machine , or is that just one thing that we paid for to not use.</t>
  </si>
  <si>
    <t>I was not able to check in at the kiosk. I talked to someone at the desk and they said I was checked in. I waited 45 mins after my appointment time and asked someone about why I haven't been seen yet. They looked into it and said I wasn't check in. They were able to check me in and get my labs done.</t>
  </si>
  <si>
    <t>The imaging tech called me while I was in route to make sure I was going to be at my appointment and told me to check in immediately and I would be taken in immediately.   It worked out great and it was very appreciated.</t>
  </si>
  <si>
    <t>The my healthy vet sucks. I have never been able to access it. One must change the username and password regularly to utilize this service. It is confusing and often not responsive. My healthy vet prohibits effective communication to my medical team. 
Secondly the travel pay system is broken. The kiosks were great. Now I must submit a hard copy like we are back in 1992. Fix this</t>
  </si>
  <si>
    <t>I was given an appointment with a doctor who was on scheduled leave and not expected to return for another week.  I was also told to go to team B, and after sitting there for approx. 15 minutes, I was told to go check in at team A.  I sat there for another 15 minutes before being told the doctor was out on leave.</t>
  </si>
  <si>
    <t>During my scheduled labs; my check in and completion of blood draw everyone was very courteous, professional and helpful. Thank you all.</t>
  </si>
  <si>
    <t>Eugene J. Towbin Healthcare Center</t>
  </si>
  <si>
    <t>I have been treated with respect each time I have had an appointment at the North Little Rock VA hospital and clinics. My only concern is the missing travel pay KIOSKS.</t>
  </si>
  <si>
    <t>Check in lady was very polite and courteous. I was directed to radiology, where I was once again greeted politely. I was in and out. The X-ray Tech was awesome.</t>
  </si>
  <si>
    <t>I was a bit confused where to go to check in. The signs in the hospital didnâ€™t match what was on the letter.  Better signage at the location on where to go is needed.</t>
  </si>
  <si>
    <t>First visit to Villages V.A. and my experience couldnâ€™t of been better. My check in was easy, waiting room clean and well lite and comfortable. Optimology evaluation nurse came and did a comprehensive exam which was very good.  The next Optometrist was a college senior doing on site labs and was professional. When Dr. [NAME] came, he performed his own exam with great care. Thank you V.A. Villag</t>
  </si>
  <si>
    <t>The Katy clinic is the best. My care team (NAME) treat me great. The optometrist, the x-ray team, audiology, Physical therapy, have always treated me so well. Check in is always smooth. I canâ€™t say enough good things about the Katy clinic.</t>
  </si>
  <si>
    <t>I am extremely pleased with the monthly check in from Pharmacy. My pharmacy is well aware of all my health needs. Because of this she is on top of anything that may need addressing. Her explanations assist me in being aware of my limitations, my successes, and any referrals I might need. Through the pharmacist, my doctor is always informed. During the Covid lockdown my pharmacist was my lifeline.</t>
  </si>
  <si>
    <t>My appointment for Dec. 1st was scheduled by phone about 6 weeks in advance. When I arrived to check in I was told there was no record of my appointment! Somebody dropped the ball. I rescheduled for Dec. 6th.</t>
  </si>
  <si>
    <t>Better signs that direct you from the pharmacy check-in/waiting room area to the actual "windows".  This was my first visit to the medical center and I had to find someone to walk me to the right area.</t>
  </si>
  <si>
    <t>I checked in with my phone and received the message that I was checked to have a set and that I would be call. After almost 40 minutes I still had not been seen. So I went to the front desk and and told them the situation. I was told that the phone check-in was not available in Ukiah that I needed to check-in at the front desk. I asked why there was no sign on the door stating this? It ended ok.</t>
  </si>
  <si>
    <t>When I check in at the Villages VA for a X-Ray the receptionist was like I was bothering her. Not a Really Happy Person. Other than that Everyone Else was Great</t>
  </si>
  <si>
    <t>Tried scheduling with help from St Cloud MN VA at the end of October.  Was told Bay Pines would call me to schedule.  No call until I called Bay Pines Traveling Vet Office on 11/21.  Return call the next day and appt very promptly scheduled after that.    Also, regarding patient privacy on check-in at appt.  Clerk called from across the check in room - what's your last name, last 4?   No privacy!</t>
  </si>
  <si>
    <t>I miss the Kiosk for sign in and all other support they offered. Never had a issue. Speed and ease was its hallmark from my vantage.</t>
  </si>
  <si>
    <t>I went into the Long Beach VA today for a blood draw and was greeted by 2 different Security Officers and they were very helpful with directions and extremely courtous.
Upon entering the Blood Draw Lab, the lady there was very friendly and helped me to check in next door because I didn't see the check in sign when I walked towards the giant Blood Draw Sign first.
(suggestion:  make a big sign</t>
  </si>
  <si>
    <t>I was an emergency walk in, I was informed by check-in staff that I may have to set in the lobby for a spell.  Once inside the clinic, the staff I encountered was very professional.</t>
  </si>
  <si>
    <t>Iâ€™m so happy to be a patient of the Hero Clinic. From check-in to checkout every time it is prompt and professional. 
My service providers are amazing. Nurse [NAME] is professional and helpful while he goes about his business. Dr Sandoval is second to none. He listens carefully and explains everything in understandable detail. On this visit he brought in Dr [NAME], she equally amazing! Thank yo</t>
  </si>
  <si>
    <t>The appointment kiosks were a great time saving tool that also greatly assisted in submitting travel reimbursements. PLEASE reinstated them as soon as possible.
Also, and more importantly, the "answering system" that has recently been put in place is a complete FAILURE. Every time a message is passed through an intermediary the message is corrupted. Get rid of this failed NON-service yesterday!</t>
  </si>
  <si>
    <t>I made an online appointment for the Annual Check-in more than 6 months ago.  About 1 month prior to the appointment I was called and told that I selected a day and time that is reserved only for new patients, yet there was no mention of any restriction when I made the appointment.  Your appointment system needs to be fixed, or, the staff could have advised me much sooner that it needed to change.</t>
  </si>
  <si>
    <t>Double check in for lab work is awkward and Iâ€™ve observed people not get called because the front desk check in didnâ€™t add them correctly.  Also urine specimen cups need to be available upon entry without having to wait to check in.</t>
  </si>
  <si>
    <t>Reno East VA Clinic</t>
  </si>
  <si>
    <t>The phlebotomist did an amazing blood draw.  No pain an and one of the best draws in my life!  Very courteous and honored us Veterans.  The check-in staff were equally honoring Veterans.  Excellent experience!!!</t>
  </si>
  <si>
    <t>2022-12-01</t>
  </si>
  <si>
    <t>Because of kiosk problems had me as a no show 
Caused extended wait before it was discovered</t>
  </si>
  <si>
    <t>Despite the check-in system being down, and having some issues with computers, my team (Team 15) was able to get me in quickly, once I was actually checked in, did a thorough interview, suggested several vaccines I had not considered, and completed my visit with care and attention to detail. The process is a lot longer than a trip to a civilian doc, but I feel like it was much more thorough.</t>
  </si>
  <si>
    <t>I was at the clinic for a routine annual physical. The entire experience was very efficient and professional, from check in to initial screening and finally time with my provider. My provider gave a detailed assessment of my lab results which was very helpful. She answered all my questions. I appreciate the excellent support.</t>
  </si>
  <si>
    <t>I receive notification almost daily reminding me of my scheduled appointment.  When I got to my providers office at my scheduled appointment time 7:30, no one was there till 8am. There were no stations available to check in and once the receptionist arrived she told me to go to the other station to check in because her terminal was down. Definitely not acceptable.</t>
  </si>
  <si>
    <t>In general, I am satisfied with the care and service I receive at Jefferson Barracks from Geriatrics Clinic, Audiology and Optometry.  However, I find the desk staff at the entry of the building and at several of the reception desks to be impersonally abrupt.  Also, for a recent visit to John Cochrane Endo department, the signage for check-in was wrong, not working. Recept staff not helpful.</t>
  </si>
  <si>
    <t>Need easier check-in procedure that doesn't involve using cell phone.  Old system was simpler and I see they still use that system at Tuscan VA.
Thank you</t>
  </si>
  <si>
    <t>Wayne County VA Clinic</t>
  </si>
  <si>
    <t>Always appreciate the staff here. From check in to check out they are highly professional, helpful, and they go out of their way to help me as a veteran. Thanks guys!</t>
  </si>
  <si>
    <t>on 21st of Nov I was seen at Conroe  Cliinic by nurse [NAME] and [NAME] . Ms Tina sugessted I go an ER for CT scan and I did. I went to St. Lukes ER. Tchecking on myest were done and I took an 11 page report back to Conroe Clinic on Wednesday morning gave them to gentalman at checkin window, was  Ms [NAME] whose name is on envlope . She called me on Thursday PM checcking on me .</t>
  </si>
  <si>
    <t>2022-11-30</t>
  </si>
  <si>
    <t>Every visit Iâ€™ve had here has exceeded my expectations.  From check in to check out.  I feel like these are my people.</t>
  </si>
  <si>
    <t>Dr. [NAME] and [NAME] are great health professionals. Concern. Check in computer kiosk will be greatly missed.</t>
  </si>
  <si>
    <t>I was very pleased with both the nurse and physician who cared for me at my most recent visit.  Initially I was usure of how to check in, but did get a complete explanation of the process from the very kind clerical person at the cardiac care unit.</t>
  </si>
  <si>
    <t>Dermatology team great from check in to check out...</t>
  </si>
  <si>
    <t>Jonesboro VA Clinic</t>
  </si>
  <si>
    <t>I am still very upset about being treated like a third class citizen because Iâ€™m a police officer. When I show up in full uniform, they refused to see me, or treat me, because I have my firearm on my side. Itâ€™s part of my uniform, and I will not take it off while I am in it. Even though the regulations say that if Iâ€™m on duty, I need to check in with a VA police officer, there is not one! Fix this</t>
  </si>
  <si>
    <t>The initial check-in process was changed from using a kiosk to scanning a QR code which in theory is a god idea. However in practice it's doesn't work well because cell phone data coverage is poor or non existent in many areas of the facility.</t>
  </si>
  <si>
    <t>check in receptionist very helpful and pleasant and nurse also very professional.</t>
  </si>
  <si>
    <t>Enjoy the option to be seen here vice the main campus. Easy to find and a modern and clean facility. Front COVID screeners did not even acknowledge and barely looked up as I entered or exited..but no problem..I sort of knew where I was going and had no need to speak to them either. 
Check in was fast and easy and was seen pretty quickly by the nurse and eventually by the doctor. Kudos to all!</t>
  </si>
  <si>
    <t>Southern Prince George's County VA Clinic</t>
  </si>
  <si>
    <t>I am always taken care of by Dr. [NAME] and her nurse. From Mr. [NAME] at check in to the two people who do my lab work, I feel confident my scheduling and medical care are superb.</t>
  </si>
  <si>
    <t>It has gotten too difficult to check-in at the clinic.  The waits are not good.  Sometimes it is faster and more convenient to drive all the way to Hampton Veterans Hospital two miles away than the clinic,</t>
  </si>
  <si>
    <t>I like the way the first person one contacts, the person who gives the covid temperature test, is friendly and has a friendly greeting!!  That person sets the tone for a good visit.  Also the persons who check you in; they do not seem to mind to check you in even though there is the check-in machine where you can use your card.  Their friendly check in voice is better!</t>
  </si>
  <si>
    <t>We checked in before with a computer.  Now we have to go to one of two windows and check in with a person.  The people who are checking in, are also helping people on the phone make appointments.  They can not do both at the same time, resulting in veterans waiting in line to check in.  What was wrong with the old system?</t>
  </si>
  <si>
    <t>I was unable to use the kiosk for checking in what happened is it I was unable to use because it sent me to a page on my phone that didn't make any sense when I clicked on the link.</t>
  </si>
  <si>
    <t>The check in system didn't work. I photographed the square and got the expected results, but I was not checked in. I'm not sure where the information went but it didn't go to the lab check in. I was able to check in at the desk but by then I missed my appointment and was at the back of the line. Instead of being on time my appointment was 30 minutes late thanks to the computer system.</t>
  </si>
  <si>
    <t>Not Everyone has a Smartphone and the clerk that checked me in called me Lazy for not being able to check in.</t>
  </si>
  <si>
    <t>I no longer receive entitled travel allowance since removal of kiosks. Iâ€™m 85 and donâ€™t have a computer. When I tried to get online with my wifeâ€™s ipad and got a run-around on the site and never did find a place or form to complete, so I gave up. Donâ€™t understand why when you check-in they couldnâ€™t submit to travel.</t>
  </si>
  <si>
    <t>Gardena VA Clinic</t>
  </si>
  <si>
    <t>The doctor and nursing staff are always great.  The admin people are some of the worse customer service people I have to deal with and I always dread having to call in or talk to them during check-in etc.  Unfriendly, seem too busy to help and act like they really don't care.</t>
  </si>
  <si>
    <t>On the day of my lab appointment, I noticed a LGBTQIA+ "pride flag" being displayed in the window of the check-in counter. I am both sad and angry that an office that represents veterans will display a flag of certain radical ideology. I fought for and served under the flag of the USA ONLY! This is inappropriate to display this flag at the VA. You would not fly the Confederate flag, would you? NO!</t>
  </si>
  <si>
    <t>I dropped off paperwork to the Women's clinic for the Dr. to sign on October 7. The check-in person put a yellow sticky on it an was suppose to call me to pickup.
I sent a secure message in about 3 weeks after dropping off to check the status, the person who called stated I needed an appointment which she made for November 18, walked into Dr. office to find out they lost the form, why?</t>
  </si>
  <si>
    <t>My appointment was for 1130: I arrived at 1120, and after checking in I waited in the lobby like the rest of the patients until 1200. I walked back to the check-in and asked what was going on. I stated that I was going home. The admin person next to us came over to help. They said they made a mistake on the entry or something and fixed the problem. 
Gundersen Clinic has a max wait time of 20mins!</t>
  </si>
  <si>
    <t>I don't feel any concern for me as a Veteran no my age or that I'm a veteran. consideration for my time. A appt in June or July 22 arrived at appt on time  and was told the dr was not coming in. Arrived appt for 7:15am 11/25/22 no one was there to  check in  help arrived to work at 7:20 am.</t>
  </si>
  <si>
    <t>There was a lack of communication between the desk and the back. Although the staff is always friendly; I signed in at 12:32 and was not seen until 1:30. We are told to be early and have to check in just to wait almost an hour. The explanation was given that although I had signed in; they did not know that I was there.</t>
  </si>
  <si>
    <t>There are no Colonoscopy Signs to give patients directions as to where the check ins are or where the procedure is performed.</t>
  </si>
  <si>
    <t>Transportation provided was professional. Check in efficient and easy. Treated with courtesy and respect.</t>
  </si>
  <si>
    <t>I have recently have come off Oxycodone (October). I was given Dukloxetine ,Celecoxib, and Acetaminophen (Tylenol) to replace the oxycodone. They don't work. My pain levels have risen from 5-6 pain at certain times of the day on Oxycodone to a level of pain now at 9-10 level at about 18 hours a day. My quality of life sucks as this is a important response in the States. I will check in the USA VA.</t>
  </si>
  <si>
    <t>I tried to use the kiosk to check in to make it faster for me and everybody. when I checked-in , it didn't say if I was in the correct location or what door I'm expecting to get called from. so I tried to check in again with the personnel and ask if I was in the right place. which they I was, but it made the kiosk impractical.</t>
  </si>
  <si>
    <t>I suggest, the pharmacy let folks know they have to use kiosk in pharmacy. I waited extra long before another veteran told me I needed to sign in. At the front of the building, it says not to check in at kiosk.</t>
  </si>
  <si>
    <t>Scanned the bar code to check-in 15 minutes before appointment.  Went through the entire process and answered all the questions and at the end it stated that an error occurred and I should check with the attendant.  The attendant stated that I was already checked-in.  
Have not received round trip travel reimbursement for trips on October 17, 2022, November 3, 2022.  Form 10-3542 were submitted.</t>
  </si>
  <si>
    <t>It takes too long to get appointments. Appointment made today (11/30/2022) won't happen till March 9th 2023. additionally appointments usually take 1 1/2 to 2 months unless along by one of the doctors. then appointments have to go through an scheduling nurse while each wing having three floors has six employees manning check in desks per floor. That's 18 people per wing. What a waste!</t>
  </si>
  <si>
    <t>Patient advocates don't return calls.  Password requirement bad for vets with cognitive issues. Travel reimbursement confusing without kiosk.  Have not had gas money reimbursed in over 2 years.  Just because a few people were bad does not mean everyone should be punished.</t>
  </si>
  <si>
    <t>ON MY FIRST VISIT, THE YOUNG WOMAN AT THE CHECKIN LINE DID NOT RESPOND TO MY PRESENCE. SHE WAS PLAYING WITH HER COMPUTER. AFTER A MINUTE I LEFT AND WENT TO THE OTHER WINDOW. I AVOIDED HER ON LATER VISITS</t>
  </si>
  <si>
    <t>I am not sure why the hospital did away with the"travel pay" kiosks'.If someone was trying to cheat the system, it would be nice to let us know the reasoning.Otherwise, we are left to wonder why something that worked was eliminated.Recently I called to schedule a dental cleaning and was told the earliest appointment would be in February.I was told I could not use the Community Network Option. (??)</t>
  </si>
  <si>
    <t>Bring back check in machine it was a lot easier to do a travel claim and quicker not  that it's hard but just more convenient I have just skipped travel claims all together at the Portland VA hospital since the pandemic</t>
  </si>
  <si>
    <t>Houma VA Clinic</t>
  </si>
  <si>
    <t>When i go to any VA appointment, i know that what ever each appointment covers Im leaving satisfied with my results. From the guard to the check in lady to the nurse to my provider, Im getting what I need. &amp; the restroom is clean &amp; fresh hot coffee...............</t>
  </si>
  <si>
    <t>Dr. [NAME] and her team are marvelous.  They always take great care of me. [NAME] at check in is also amazing.</t>
  </si>
  <si>
    <t>Check in staff and Dr's were very nice and helpful during my visit</t>
  </si>
  <si>
    <t>Care team was good and very respectful.  When checking in it was a bit confusing about where to go.  There was another check-in station but it was not for the colonoscopy procedure is was there for.</t>
  </si>
  <si>
    <t>The Eye Department at WVAMC are the best! From the check in staff, to the techs and of course the doctors. I have had multiple surgeries and my vision now at age 77 is best since I was 50, or younger. Dr [NAME] and Dr [NAME] have done excellent work on me and they are very personable and kind.</t>
  </si>
  <si>
    <t>Easy check in. No waiting time. Personable friendly Dr.</t>
  </si>
  <si>
    <t>Much easier with Automated check in system for â€œlabsâ€ now back to old system of â€œmanual, get a number at the windowâ€. Most everybody was looking for the â€œcheck in machineâ€ in the hallway.</t>
  </si>
  <si>
    <t>New Port Richey South VA Clinic</t>
  </si>
  <si>
    <t>Check in took too long. All 3 check in kiosks were out of order. I have used them before and they expedited the check in.</t>
  </si>
  <si>
    <t>My â€œannualâ€ blood test was scheduled for a year yet the computer system didnâ€™t have it. The lab tech worked around the problem without a issue but shouldnâ€™t have had to. And while Iâ€™m thinking about it, removing the kiosks was really dumb!</t>
  </si>
  <si>
    <t>Always pleased with the service/support I receive from the VA. From check-in to getting my vitals taken to sitting with the Dr to discuss test results, next steps, etc. I am always treated with respect. 
I also appreciate the call from the Pharma person to review medications. Even though I already did that with the doctor I am glad to have an extra set of eyes watching over me.</t>
  </si>
  <si>
    <t>The QR did not work. Had to use the texting mode. Go back to the kiosk. Not everyone has a smartphone and keeps it updated.</t>
  </si>
  <si>
    <t>When I arrived for the appt there was a sign to check using kiosk. I went to  the kiosk and there was an out of service sign. i went to the receptionist who was on the phone and ignored me. Theres not enough characters to describe the incident. The receptionist literally in front if the kiosk was rude, unprofessional and didnt seem to like to work there.</t>
  </si>
  <si>
    <t>When the doctor put the medication in it should go right into the pharmacy so when we go check in we don't have to wait Need to bring back the travel computer much easier than doing the paper work or doing it through the website doctor Need to listen to us more feel like we sometimes we get pushed way after so many years going and complain about the same thing over and over it gets tired and frust</t>
  </si>
  <si>
    <t>Iâ€™m unhappy with the new way being used to file travel expense reimbursement. It seems that the VA is going backwards. I used to file on the kiosk electronically. Now I have to manually fill out a document with pen and paper. Itâ€™s almost like the VA is trying to make it difficult so veteranâ€™s wonâ€™t fill out the necessary paperwork.</t>
  </si>
  <si>
    <t>Appointment check in slow</t>
  </si>
  <si>
    <t>Check in system was great</t>
  </si>
  <si>
    <t>The check in process needs to provide more privacy by shielding you and the receptionist from being heard by everyone in the waiting area.</t>
  </si>
  <si>
    <t>Received excellent service from [NAME] in Audiology. Also, very personable and professional service from lady at audiology check in desk.</t>
  </si>
  <si>
    <t>Every visit to the Manchester VA has been outstanding. My last visit was unbelievable. I walked up to the check in counter and within 30sec I was called and guided to the Cscan room where the tech was waiting for me. No wait art all.</t>
  </si>
  <si>
    <t>I came to my appointment on time.  Did not like the new way to sign in with my phone instead of at the kiosk. But. Within a couple of minutes. The very polite nurse asked for me, drue my blood, without any hesitation or problem, directed me to the wash room with urine cup. I was out of the room within 5 minutes!  I was offered coffee and a snack. Filled out a travel form, out in 15 minutes!</t>
  </si>
  <si>
    <t>Easy check-in, seen on time</t>
  </si>
  <si>
    <t>I came for my appointment and check in waited 45 minutes and I went to the lab to ask the clerk and she said she didnâ€™t see my paper work at all and wait for another 10 minutes before I can be served. The appointment text reminder was not clearly informed my appointment when what time and where, Cause I was confused a couple times and have missed my appointment because I went to a different place.</t>
  </si>
  <si>
    <t>I do not like the new 'check in' process using my cell phone. The old way worked fine, why change what was working? If people complain that they had trouble with it, they would have trouble with the new method also.</t>
  </si>
  <si>
    <t>Chiropractor: got me in early and afterwards he logged in and provided some initial results from an MRI that I had completed earlier that day.  The MRI was not related to my chiropractic visit.  Great customer service.  
MRI: the check in lady is very helpful and polite.  Saw me in the hallway and asked if she could help me.  The lady prepping me for the MRI was extremely helpful.</t>
  </si>
  <si>
    <t>Checked in on kiosk waited 1.5 hrs got in line for the one person check in was told kiosk hasnâ€™t been working very well , had to leave because of prior commitments, wasted2.5 hrs for nothing</t>
  </si>
  <si>
    <t>Why on Earth the VA has stopped using the kiosks is beyond me! 
It makes checking in, and applying for travel reimbursement more difficult, plus you no longer get a receipt!
Item 2 - Why? Why with a brand new construction did the only put in 1 men's room toilet? Just silly! ...and dumb! If that toilet breaks... Uh... We all have a problem!  I was told there are 2 toilets in the ladies room.</t>
  </si>
  <si>
    <t>Front desk check-in clerk was difficult and asked to many personal questions about the tests I was having done. Felt like it might be a HIPPA violation. Clerk at station #7.</t>
  </si>
  <si>
    <t>I was treated with the utmost respect by Vicki at Lab check in.  She went ABOVE AND BEYOND her duty.  The same with the gentleman that drew my blood and the gentleman that gave me the chest CT Scan!</t>
  </si>
  <si>
    <t>The entire crew at the Laguna Hills VA Clinic were incredible.  I would specifically ask that [NAME] and [NAME] in check-in and RN [NAME] and Dr. [NAME] be recognized for their compassion and professionalism.</t>
  </si>
  <si>
    <t>I never had a bad experience at Lebanon VA. Staff is always helpful and courteous.  From the greeters when you arrive, to checkin and nurse all were great.</t>
  </si>
  <si>
    <t>The medical personnel was great, but administrative staff was rude. When I caught an error in my insurance, the kiosk told me to see the front desk. I walked over and stood in front of the desk. There were 2 employees behind the desk, and both saw me. Neither acknowledged me.  Hade I went to the wrong place? I turned to security and they confirmed I was at the right desk. The admin looked annoyed.</t>
  </si>
  <si>
    <t>Fastest time Iâ€™ve ever received my prescription. It was already ready when I went to the window to check-in. Insane!!</t>
  </si>
  <si>
    <t>When having lab tests the kiosk is not the only check-in one must complete. If the nice lady at the desk had not advised me that I needed to check-in with her I would have wasted time waiting for lab tests. Kudos to her!</t>
  </si>
  <si>
    <t>The TEXT CHECK-IN method you are currently using SUCKS.
Patients want to talk to a warm body and not some automated system. Then there are those that do not have text services or a phone so it makes it difficult to check in.</t>
  </si>
  <si>
    <t>went for blood work and checkin at 9:30am for 10:am apointment, at 10:30 after seeing people coming before me and leaveiing I had to ask when I was going to be called there reply was aftyer giving my name was next, if I had not asked I would still be there.</t>
  </si>
  <si>
    <t>I was impressed with every staff member from check in, care and check out. The staff is caring and professional.</t>
  </si>
  <si>
    <t>The automatic check in with an iPhone isnâ€™t working. I have to go to the reception window every time to ensure my check in is complete.</t>
  </si>
  <si>
    <t>Nurse [NAME] &amp; Dr. [NAME] were great!  The only suggestion I would say are the check in staff. The door beeps when you walk in, yes we are busy scheduling appointments and what not, but no acknowledgment was made. Only quick acknowledgment that was made was if the veteran was not wearing a mask or proceeded straight to the counter. Please be more attentive and courteous.</t>
  </si>
  <si>
    <t>Good safe service. I would rather come to the Durham VA facility for health services than go to outside facilities. The service has improved tremendously. The only constructive comment would be on the new Travel Pay use of cell phones. I don't use one so I have to fill a paper for every time. Used to be able to use the Kiosk but they have been in activated.</t>
  </si>
  <si>
    <t>Hagerstown VA Clinic</t>
  </si>
  <si>
    <t>You need to reinstall the kiosk in Hagerstowns and Martinsburg.  It took over 30 minutes of waiting time to be able to make my appointment.</t>
  </si>
  <si>
    <t>Appointment was at 7:30am with nurse, 8am with doctor, no one showed up to desk to 8am, first one to check in, sat there waiting to be called in , only to find out 2hrs later that the doctor called out sick 
Want to know how to get that 2 hrs back, because my time is just as important as the doctors time, I am tired of sitting around waiting for a timed appointment and never being seen on time</t>
  </si>
  <si>
    <t>East Orange VA Medical Center, NJ (561)</t>
  </si>
  <si>
    <t>I've had an incredibly positive experience with the VA. If there is one constructive feedback, I would provide is that there be a bit more discretion during check in. While it has never impacted me personally, recently I witnessed a veteran required to communicate his anxiety attack openly during check in. He was trying to be discrete but the person processing him was loud and curt.</t>
  </si>
  <si>
    <t>Royal C. Johnson Veterans' Memorial Hospital, SD (438)</t>
  </si>
  <si>
    <t>It seems difficult to get travel pay now that the Kiosk have been removed, and the paperwork must never get filed once its turned in. I have not had travel pay for a couple of years.</t>
  </si>
  <si>
    <t>11/28/2022 - 12/13/2022</t>
  </si>
  <si>
    <t>2022-12-27</t>
  </si>
  <si>
    <t>This was my first visit to the VA Health Care system.  I was not sure what to expect but I was pleasantly surprised.  From the first point of check in the people were very professional and respectful.  The doctor kept asking me if all of my questions were being answered and took the time to explain what was provided to me at the VA Health Care. I am very happy that I decided to use this service.</t>
  </si>
  <si>
    <t>the check in station has 4 agents and there were 5 people in line to check in. all 4 were on the phone with veterans. my suggestion is have 2 dedicated to in house check ins and 2 dedicated to phones.</t>
  </si>
  <si>
    <t>Very courteous and knowledgeable staff in check in area and lab.</t>
  </si>
  <si>
    <t>Medical appointments can cause me anxiety, but everything about this appointment helped. Everyone I encountered from check-in, the nurse, the provider...etc, were professional, friendly and helped put me at ease while answering my questions and explaining the situation.  Thank you.</t>
  </si>
  <si>
    <t>Why do I have to check in to wait to say I am there for my prescription .why not check in on the  kiosk  to say I am here for a prescription and let that get me in the line to get my prescription .</t>
  </si>
  <si>
    <t>Everything was great, from check in to nurse to doctor</t>
  </si>
  <si>
    <t>There's kiosks everywhere that you can't use. I've been all over the country and never ran into that. They're all covered up except for lab and pharmacy. I put in a paper voucher for travel in September and still haven't received anything. I've been back several times and just don't bother now, but that's very frustrating. Everywhere else, kiosk and done, for travel and check in.</t>
  </si>
  <si>
    <t>I wanted to get tested for Covid before my therapy appointment, and still don't understand why there isn't a direct entrance to the testing area so if someone is sick they don't give it to others; and I don't think they're sticking the swabs up far enough for a good sample. 
I waited a good 20 minutes after checking in on the kiosk for my therapist to come out. Please put in more maps!</t>
  </si>
  <si>
    <t>I always receive excellent service from the Beckley VAMC from the time I check in until I leave. Everyone is always kind and courteous. I have small veins and when I go to the lab the nurses are always asking how I am doing, and they try not to stick me more than twice. I ride the VA van and the drivers are always kind, courteous and professional. I have nothing but respect for everyone at Beckle</t>
  </si>
  <si>
    <t>Since the travel pay kiosk has been removed the travel pay is taking forever to get. I have filed travel pay claims from October and I have not received my pay yet and it is the end of December already. You shouldn't try to fix something that isn't broke. When I used the kiosk my pay was in my account within a week after my appointment.</t>
  </si>
  <si>
    <t>The front desk staff at the Lab check-in were courteous and quick. The Lab Tech assigned to be was super professional at her job.</t>
  </si>
  <si>
    <t>Process to pickup medication from pharmacy is a complete mystery to first-timers. Nobody told me I had to check-in in order to start my prescription. I sat there for 1.5hrs before I figured it out</t>
  </si>
  <si>
    <t>This clinic need its own doctors for eye care,dental and needs to have a traveler's kiosk to process travel for the Veterans</t>
  </si>
  <si>
    <t>2022-12-26</t>
  </si>
  <si>
    <t>I am always greeted with a smile from the lady at the main entrance.   then the ladies who are at the computers will always check me in for my yoga class each Tuesday with no problem doing it for me (they did away with the check in machine).  the ladies rest room is
always spotless and so clean because I always go in after my class before going out to do my weekly chores.  I have only praise.</t>
  </si>
  <si>
    <t>Change the telehealth question above.  Kind of impossible to get a chiropractic adjustment through the phone or video.  Also,  change the recurring healthcare scheduling process.  It is a complete waste of time to check-in and then have to check out to get the next month's appointment.  Just let us make the next month's appointment when checking in.  That would save everyone time.</t>
  </si>
  <si>
    <t>Staff at the Plano VA facility were friendly and professional from check in, my nurse and my physician. The facility was clean and well kept.</t>
  </si>
  <si>
    <t>I was greeted at the door and a check in as usual. I didn't have an appointment with my health care team, so i wasn't able to answer some survey questions. I was only there to take labs. It was a great experience, and the staff was very helpful!</t>
  </si>
  <si>
    <t>bring back checking in with VA identification and check in screen much easier</t>
  </si>
  <si>
    <t>Was okay except I did not get travel pay entered
I had difficulty with using my card due to my health 
The guy at the desk say I had to use Kiosk 
I wasnâ€™t able to f do Kiosk</t>
  </si>
  <si>
    <t>The Checkin from the phone should somehow notify the desk personnel so that both Dr::/ lab tech and desk personnel are both notified of who is/is not checked in any given office. 
When I checked in, only the Dr. knew I was there.</t>
  </si>
  <si>
    <t xml:space="preserve">My visits to the different VA facilities I have gone to have always provided me with the best possible treatment I could expect.  From check in to consultation with medical and provision of medication by the pharmacy I have received only the best. </t>
  </si>
  <si>
    <t>The kiosk system for check in and travel pay which worked, has been removed. Had to fill out travel sheet on ground floor. The young man attendant at the desk was rude, impatient and down right hostile. I got an eye roll when I asked him to repeat something because I am very hard of hearing. You need to put a quality check person in the system to check on people who have direct veteran contact.</t>
  </si>
  <si>
    <t>2022-12-25</t>
  </si>
  <si>
    <t>Everything went well with my last visit except the new check in procedure is not as easy as the old kiosk system.</t>
  </si>
  <si>
    <t>To The Ladies in The X-ray Section after some confusion of getting the work order for x-rays from care giver. The Ladies at the Check in desk and the ladies who finally Helped me get the X-rays were awesome, caring and Professional at taking care of Me. It took two trips to VA unit to get the x-rays because of time to get order. My Thanks and For The caring Check in desk and X-ray.</t>
  </si>
  <si>
    <t>From the check in procedure to the tech I was handled swiftly and with courtesy. Overall another great experience at the Brunswick facility.</t>
  </si>
  <si>
    <t>The initial check in process to the final schedule for the next appointment was professionally handled.  The Dermatologist is a very pleasant and knowledgeable person.  My compliments to the entire staff at this facility.</t>
  </si>
  <si>
    <t>Good flow from check in to check out</t>
  </si>
  <si>
    <t>Excellent provider with great communication from check in to check out</t>
  </si>
  <si>
    <t>2022-12-24</t>
  </si>
  <si>
    <t>Check in staff should be more judicious in the volume of their voices when checking in patients to ensure patient privacy.  Masking requirements should be relaxed for fully vaccinated patients.  Iâ€™ve left several voicemails for my social worker [NAME] regarding transportation to a procedure that will require sedation and have not received any response.</t>
  </si>
  <si>
    <t>The "abrupt" termination of the kiosks is, to put it mildly, BS.  The end of the contract did not sneak up on the VA.  To not notify Vets of all the changes, in advance, is unconscionable.   BTSSS is a joke.  Frustrating even for those who are computer literate; impossible for those who are not.  I would bet my next Dias ability payment that the workload at travel has more than doubled with paper.</t>
  </si>
  <si>
    <t>Bring back self check in stations.</t>
  </si>
  <si>
    <t>BRING BACK THE TRAVEL KIOSKS!!!!!!</t>
  </si>
  <si>
    <t>Need to get the lobby check in repaired and to give feedback on floor of that dayâ€™s appointment  â€¦.better signage to elevatorâ€¦.better signage to speciality practices</t>
  </si>
  <si>
    <t>Please bring back the self-serve computer that allows for the patient check-in themselves. If anyone feels uncomfortable using it, then they can go to the desk to check-in. Please.</t>
  </si>
  <si>
    <t>From the check in personnel to the nurse and the doctor it has been very friendly and efficient, I could not be any happier on my dealings with the VA. Please keep up the great staff that work for the veterans.</t>
  </si>
  <si>
    <t>Update and upgrade check in procedure and kiosk. I feel we have taken a step backwards in check-in, travel pay etc. Back to paper for travel, not everyone has or can operate smartphone</t>
  </si>
  <si>
    <t>The eye clinic does not appear to be well run.  The people were nice and competent, but the overall service was terrible.  I arrived at 11:20 to check in for my 11:30 appointment.  My eyes were dilated at about 12:00, then new pictures were taken of my eye around 1:00 and I finally saw a doctor at about 2:50 for about 5 minutes most of which she was consulting with her supervisor out of the room.</t>
  </si>
  <si>
    <t>When checking in for an appointment, two separate activities are required:  1) the check-in at the kiosk inside the main entrance and then 2) giving the same information to the receptionist at the individual clinic (mine was an audiology appointment).  Why the same activity at both locations?  And why the need for face masks when no where else still has COVID restrictions like wearing masks?</t>
  </si>
  <si>
    <t>Go back to using the Kiosk, change your computer system  too difficult to navigate and to do travel reimbursement or to track your medical info</t>
  </si>
  <si>
    <t>You have a layout map of hospital.  You should link it with appointments so you know where to go.
Kaiser has check in by email.  You would know if vet is coming.  Also, they have a screen of open appointments to select.  Check out by Vet Appt.</t>
  </si>
  <si>
    <t>Kudos to all involved in my visit from the Wellness Checker at the door, the security, the ones handling my check-in and the Care Giver. I departed the Clinic feeling secure with my concerns mainly due to the service I received from each.</t>
  </si>
  <si>
    <t>Dr. [NAME] was very attentive to any questions I had and able to provide information that has made it possible for me to be able to breath better than I have in the past year because of new medication he prescribed.  Dr. Mattison was very knowledgeable without being condescending.  The intake process from check in to nurse evaluation questioning was very efficient and comfortable.</t>
  </si>
  <si>
    <t>i dont have a phone my wife does but isnt good with it if someone put in the information and showed her how she might be able to do the new check in but this stuff just worries us</t>
  </si>
  <si>
    <t>The check in staff seemed impersonal. However, my nurse and provider very very nice and helpful.</t>
  </si>
  <si>
    <t>I am concerned about the present quality of care under the 2018 Mission Act. The GOPC had a much higher standard of care previously, with kiosk, having Doctors (lost ALL of mine), and now having MOST appointments cancelled/changed without notification. Example: 12/21/2022 appointment status was 'UNKNOWN' on my healthy vet site the day of the visit. I NOW have to call. VA now sucks!</t>
  </si>
  <si>
    <t>as always a great facility. Blood draw was painless. All people from check in until I finished
were the greatest. I got there 10 minutes early and was out 5 minutes before myscheduled appointment. Truely great service.</t>
  </si>
  <si>
    <t>From check in to to the time I walked out, I felt like my needs were being taken care of. 
This was my 3rd visit to this VA facility and I like the way itâ€™s run.
Thanks for all you do!</t>
  </si>
  <si>
    <t>I checked into kiosk early. Patiently waited. Appointment time passed. After 30 minutes past appointment time I went to window. Person didnâ€™t know why I wasnâ€™t called yet. Lab person called my name shortly after. Constantly complaining about her feet only move so fast, appeared to have sour attitude.</t>
  </si>
  <si>
    <t>Put kiosk machines in so that we can register when we arrive and also apply for travel. The day I arrived I had 3 known appointments that I had to keep. A couple days later I got a letter saying I missed an appointment that was not on my healthy vet. I have used multiple VA hospitals they all use kiosk machines except yours.</t>
  </si>
  <si>
    <t>On Dec 20, 2022 @7:30am when I arrived for my appt, there was another person who came behind me and he was very belligerent about putting a mask on, taking a number from the kiosk etc. He was using vulgar language in general which seemed to be aimed at the US gov and policies surrounding the clinic. It was uncomfortable to watch. The lady behind the desk handled the situation the best she could.</t>
  </si>
  <si>
    <t>I have to go to the Va clinic once a year to stay in the va system. I consider this a waste of my and the clinicâ€™s time since I use civilian medical help except for hearing aid support. There should be an EASY way to check in without an appointment. The Atlanta phone system does not have that option and is very difficult to connect to a human.</t>
  </si>
  <si>
    <t>Waited an hour lasted check in with nobody ahead after double checking that I was checked in. While in lab room, one of the techs was being rude and pressing and then started looking through my medical profile. She then proceeded to say, â€œoh he has a TBI, makes sense he is slow.â€ I understand she probably didnâ€™t mean it in a rude way but it came across pretty rude and made me feel stupid.</t>
  </si>
  <si>
    <t>So satisfied with the care and respect at this center, from check-in, to the nurses and lab technicians and most of all my doctor.</t>
  </si>
  <si>
    <t>I had an error that occurred with check in during October. This error caused my dependents stress and prolonged their enrollment into champva, although I was assured the two are independent of each other. Instead of correcting prior health plan date of termination,  it was placed as an enrollment date. 
This put my dependents as enrolled that date, which placed champva as a secondary.</t>
  </si>
  <si>
    <t>I offer my compliments to the entire staff from check-in, medical questioning and information provided, to preparation and comforts offered.  Procedure was explained in detail and with concern for my wellbeing.  I am a talker and hope I did not bore any of the staff with my comments or storytelling.  The procedure was made easier for me by the level of concern shown by all staff.</t>
  </si>
  <si>
    <t>Maybe the kiosk could alert the veteran that heâ€™s not checking in at the right  area before he waits so long to be seen and have to reschedule. I had another appointment that I needed to go to afterwards.</t>
  </si>
  <si>
    <t>Bring back the kiosk travel pay!</t>
  </si>
  <si>
    <t>My Pharm Dr ordered my prescription and advised me to visit the PICK-UP window for retrieval. At the pick-up window I was told to check-in with the attendant pharmacist. (I felt this was an unnecessary step since the prescription was ordered by a VA employed pharmacist). Both windows require the same ID process. This added 35 Mins to my wait. Very Unhappy. Remedy needed!!! Others experienced same.</t>
  </si>
  <si>
    <t>The whole experience was good. Check in is quick. The ultrasound went quickly, and the technician was respectful of my privacy.</t>
  </si>
  <si>
    <t>Very professional interaction,  from check-in to technician.</t>
  </si>
  <si>
    <t>Amazing speed from check in to done . Every step is this way</t>
  </si>
  <si>
    <t>2022-12-23</t>
  </si>
  <si>
    <t>Do all patients who need a wheelchair know that they need to call ahead first?
I ran into a gentleman who was waiting in the parking lot garage and asked me to ask someone at the check-in desk that he needed a wheelchair.</t>
  </si>
  <si>
    <t>North Bexar VA clinic once again impressed me with polite and professional staff: greeter at door; young ladies at check in.  Charles, nurse, Dr [NAME], had me feeling like I was welcomed friend.  My decision is made not to return to Wilford Hall due to the real concern and care at this VA clinic.  Dr [NAME] spent time listening to heart, lungs &amp; talking with me with real heart felt care!  Thank u</t>
  </si>
  <si>
    <t>I was very satisfied with the RN check in, her knowledge and concern.
Also the Dr.[NAME] did a thorough job, very to have them for my Dr. and RN</t>
  </si>
  <si>
    <t>I like using the kiosks for check in and they took them out. I hope its just temporary.</t>
  </si>
  <si>
    <t>Outstanding service - from check-in to being seen by provider. Very professional</t>
  </si>
  <si>
    <t>The new check-in system is not working very well on my phone (iPhone 12). One of your staff tried to help me do it and even she couldn't get it to work. It may work on other phones, though.</t>
  </si>
  <si>
    <t>Check-in receptionist very cordial. My healthcare therapist made me feel respected and comfortable as she has for the many prior treatments at this clinic.</t>
  </si>
  <si>
    <t>I meet my new VA healthcare  provider . He was very patient with me and we went over some of my healthcare concerns and offered some suggestion for me to check into.</t>
  </si>
  <si>
    <t>The lady at the front desk to check in completely ignored the line of people waiting to check in because she had a closed sign up but her coworker was not at her desk the entire time. They checked me in and told me to sit and wait which I did for 30 min. I eventually had to walk somewhere else bc they didnâ€™t communicate to my doctor I was there. Requested mammogram at 45 but they scheduled anyway</t>
  </si>
  <si>
    <t>I just wish the check in employees would believe that Iâ€™m the veteran. I do understand they see male veterans more often than women veterans. They say, are you really the veteran? They ask for my ID. I donâ€™t see them ask male veterans for an ID. They ask for their last name and last four SSN. One time the nurse said out loud Mr King.I wasnâ€™t sure if there was another veteran with the same name.</t>
  </si>
  <si>
    <t>It is taking way too long in my opinion to schedule appointments.    The check in process was totally unacceptable.  I tried calling Greenville and no one answered the phone.   The front desk and everyone I encountered were just going through the motions, no concerns for the patients.   Thank you for listening.</t>
  </si>
  <si>
    <t>Excellent service. From check in to the health care provider</t>
  </si>
  <si>
    <t>Optometry department check-in was prompt &amp; wait to see a provider was minimal. Preliminary tests were done quickly &amp; professionally; the technician explained things every step of the way. Doctor's exam was efficient and he answered all my questions. The optician shop provided me options for glasses and that process was also very smooth. Overall, a very successful visit - I was very pleased.</t>
  </si>
  <si>
    <t>The check in window on the 2nd floor where I was going was not manned.</t>
  </si>
  <si>
    <t>A poster on the door suggested patients check in by phone.  I did that, but apparently it didnâ€™t work and I sat uncalled for 15 minutes.  Clinic wasnâ€™t busy. Either the system doesnâ€™t work properly or reception staff isnâ€™t paying attention to it.</t>
  </si>
  <si>
    <t>I am extremely happy with my healthcare team, they are knowledgeable, friendly, and caring, allow you to tell them your needs and let you know what to expect, and recommendations. The problem was that on my 1st visit I did not know where to go for check-in. Maybe a board with where to go 1st. I had to go to the pharmacy but where is it? I had to go for x-rays but where is it?</t>
  </si>
  <si>
    <t>When you go to the audiologist, is it possible to call the check in desk instead of driving from one side of the base to the other?</t>
  </si>
  <si>
    <t>Kiosk are removed and now check in requires check with an attendant.  This creates a queue instead of ease of check in and filing transportation with the transportation office.  Recommend putting qr icons at each station that allows check in with smart phones and filing travel using the same qr at conclusion of the visit.  Veterans who canâ€™t use the system can check in person with an attendant.</t>
  </si>
  <si>
    <t>Receptionist at check in a friendly and efficient and Respiratory Care Staff are professional and knowledgeable with their dept.</t>
  </si>
  <si>
    <t>Check in was very easy and everyone was very helpful</t>
  </si>
  <si>
    <t>I was scheduled for Lab Blood Work by my Primary and also a by a separate Specialist. These appointments were 1 week apart. When I checked in for the first Lab, the check in man noticed the two separate Lab appointments and arbitrarily cancelled the Lab appointment for my Primary doctor ? 
The Primary doctor did not have vital blood information for my appointment. This was not proper !</t>
  </si>
  <si>
    <t>From front desk check in to the first stick for my blood draw, everything was well done and amid the holiday rush, very nice people to be served by.
My compliments to the West Side VA Out Patient Clinic of El Paso, TX!!</t>
  </si>
  <si>
    <t>I yes  I  liked the check in before,
For the information that day.</t>
  </si>
  <si>
    <t>I have the highest regard for my Bronze Team Dr. M. [NAME], Dr. [NAME], and Nurse [NAME]. They all showed concern, respect, care and listened to my questions about my future prognosis. Unfortunately as usual ( and I did notice all questions asked were after check in) you donâ€™t ask about check in. I think that is because youâ€™re aware of how lazy and disrespectful the checkin Staff are always.</t>
  </si>
  <si>
    <t>The check in staff member is always very nice. The nurse [NAME] is the best from drawing blood to to being a nursing provider. Thank you all so much.</t>
  </si>
  <si>
    <t>only problem was keosk check in did not register my check in, and several others that checked in after me were taken in. There was no one left in waiting room other than myself. Someone else came in and again was taken in for labs before me. I gave my concern to lab tech and she didn't show me as checked in at all. I was then checked in by office person and taken in for labs.</t>
  </si>
  <si>
    <t>The staff onsite were very professional in all aspects of my visit from check in through my blood draw.</t>
  </si>
  <si>
    <t>From check in to getting back to our car, the staff went above and beyond to help us through this appointment. Iâ€™m sure they adjusted as needed to make this the best possible appointment. Thank you.</t>
  </si>
  <si>
    <t>I went to the counter to check in and the woman behind the counter didn't even look up to help me , as she was looking at her phone , and then typing something into it. When she did address me ,I felt like she was angry  at me for bothering her. I almost always have a great experience at the Minneapolis V.A. medical center. I just veiw this as an unusual experience.</t>
  </si>
  <si>
    <t>Yvonne conducted my blood draw. She was professional and engaging. Check-in was fast as well. Positive experience.</t>
  </si>
  <si>
    <t>Early morning appointments. I think somebody should verify appointments and check them in. The kiosk didn't work and I sat for 30 extra minutes until the lab tech realized I had been out there. It tells you to arrive 30 min prior to a 0700 appt so I sit hoping I did the right think. It's one person I would even volunteer.</t>
  </si>
  <si>
    <t>My whole visit was wonderful from check in to check out.  My Dentist/Doctor was professional and delightful.</t>
  </si>
  <si>
    <t>Pharmacy check-in is perfectly fine and they are respectful. It's the pick up window that sucks!!!! They like to ignore waiting veterans and are ridiculously hostile when they finally retrieve your medicine and give it to you. I shouldn't have to ask the pharmacy check in windows for someone to retrieve my medication at the pick up window. 
Install a buzzer!!!</t>
  </si>
  <si>
    <t>Check in personal could be more pleasant!</t>
  </si>
  <si>
    <t>From the front desk check in (my first) to the lab tech, everyone was very helpful, friendly, and respectful.</t>
  </si>
  <si>
    <t>I was greeted upon arrival and escorted to the checkin area.  It was very helpful and I appreciate the gentleman who helped me.  Nobody was present at the travel pay desk- I left my paperwork- hopefully someone will take care of it for me.  Thank you!</t>
  </si>
  <si>
    <t>I received great customer service from the time I had to re-schedule my Jan 20 appointments on December 22 through my first re-scheduled appointment on December 23.  I couldn't have asked for better service from the appointment scheduler, check-in, nurse, and Dr. (Dentist).  Superb service.  Makes me proud to be a veteran!</t>
  </si>
  <si>
    <t>I love the Dallas VA, I've had the best care there in the 3 times I had to visit the ER I was in a bed within 30 minutes of check in.  
But after a move to E TX the Texarkana VA is LA VA system &amp; they want me to apply all over again. I want to drive to FTWOPC 2 C my Dr that I've had for almost 2 decades now. But would like a Cardiologist in Texarkana or Bonham instead of having 2 drive 150mi 2 DFW</t>
  </si>
  <si>
    <t>The Robles clinic reception clerk showed a negative reaction of being bothered when she saw me at the waiting line to check in. 
 My primary doctor was in a hurry, I asked her about a chronic skin condition and she answered me that that is something else and never said what it was or recommended me to a specialist. 
Two pharmacy waiting lines over one hour to listen a pharmacist, no prescription.</t>
  </si>
  <si>
    <t>The entire staff from the front desks, check in clerk, lab technician,  nurse and doctor all amazed at the level of care and personal treatment vs. civilian doctors. I haven't had any medical professional "take time" in years.</t>
  </si>
  <si>
    <t>My appointment was at 1pm. I got there early and was gonna wait till 15 minutes before my appointment to check in. They weren't busy and took care of me without waiting.</t>
  </si>
  <si>
    <t xml:space="preserve">One of my prescription's didn't arrive as expected, Probably something I didn't do correctly, and I will need to check to see it it looked like if the number was decreased by one. I will check in the next day or so. I am also now out of that prescription. </t>
  </si>
  <si>
    <t>I believe the annex here is doing everything they can to address the needs of my Brothers and Sisters. I have heard not 1 complaint from anyone except for the kiosk machine being offline.</t>
  </si>
  <si>
    <t>I'm always treated with respect (especially with my time) at the Tx VA Clinic in Tx City.  People are always attentive and helpful.  If there was one small bit of criticism, it's the check in process.  Yesterday I stood in line looking at 4 people in front of their computers for check in purposes, one who had someone in front of her.  None said anything until the only person that was busy called m</t>
  </si>
  <si>
    <t>Never have a problem at Pact 6 facility. Check in, exam. Q&amp;A from Doc. or staff just a relaxed comfortable atmosphere. Also requested a glasses adjustment from vision Dept. and walked right in it doesn't get much better than that. TY Conroe VA.</t>
  </si>
  <si>
    <t>At the 8:00 AM appointment several people were scheduled for the same time. No problem! However, it was announced that the lab was now open and to proceed â€¦not in order of time or check in but just get to the proper door and upon arriving put your appointment slip on the door. One is then told wait in the hallway waiting area to be called.</t>
  </si>
  <si>
    <t>No long wait. Please bring back kiosk for check in and travel .</t>
  </si>
  <si>
    <t>The MRI Technicians were fantastic!! They alleviated any concerns I might have had and walked me through every step of the MRI process. Great job! 
Also, the gentleman at the radiology check-in did a great job! He was very professional and had great customer service skills!</t>
  </si>
  <si>
    <t>Easy to check in for scheduled appointment. Escorted to exam room. I was given many opportunities to ask questions.</t>
  </si>
  <si>
    <t>everything from the check in process to the time I walk out the door, everything that takes place is done with respect and efficiency.</t>
  </si>
  <si>
    <t xml:space="preserve">Courtesy  was great with fast check in  with  a  very short  wait until  I was called to  have  my bloodwork drawn. It was fast and painless by a very pleasant  and professional  VA employee.  Thank You.  </t>
  </si>
  <si>
    <t>People working in ER check in need to be more friendly and directions maps need to be posted.</t>
  </si>
  <si>
    <t>Experience during this visit was outstanding from check-in to making a follow up appointment. Staff at the front desk were friendly and courteous. [NAME] and Dr. [NAME] were awesome as always! Facility was very clean.</t>
  </si>
  <si>
    <t>Easy check in. Signed in, waited 3 minutes. Friendly personnel.</t>
  </si>
  <si>
    <t>2022-12-22</t>
  </si>
  <si>
    <t xml:space="preserve">Both receptionists were courteous, careful and helpful.  The nurse accomplishing my check-in/vitals was likewise courteous and careful and helpful.  Fellow 09 was MOST informative, courteous, knowledgeable and seriously professional and thorough.  Many, many thanks to that Team! </t>
  </si>
  <si>
    <t>Check in for my appointment and during the whole process was very respectful and kept me well informed of what was being done</t>
  </si>
  <si>
    <t>Staff was very helpful from info desk, nurse check-in, and appt. with doctor.   The Dr was very through &amp; we never felt rushed. I wished I had seen him a year ago. He took his time to explain my husbandâ€™s health concerns. I dealt so at ease.  Thank youðŸ‘ðŸ¼</t>
  </si>
  <si>
    <t>Kiosk not working properly. Asking too many questions.</t>
  </si>
  <si>
    <t>What  a  great  crew,  top  shelf  from the moment  you walk  in to check in,  until  you are  finished.  Wait  less  than  five minutes  to be  seen,  and  service  from  front  desk , nurse  and  doctor  are  great.</t>
  </si>
  <si>
    <t>Faster check ins, need more people at front desk, hard to get through when calling (messaging works the best, going in is last resort to schedule or something simple but you will have to wait.</t>
  </si>
  <si>
    <t>The check in process was fast, my provider explained everything to me. I had no unanswered questions when I was done. Great job, keep up the good work</t>
  </si>
  <si>
    <t>As always the staff at McClellan is respectful, efficient and friendly. From check-in to treatment acroos the board.  Thanks to them all.</t>
  </si>
  <si>
    <t>I needed emergency dental services, front tooth extraction, the associates at check in desk turned me away because I was a walk in. I went to patient advocate and spoke with Ms [NAME], she explained how the system normally works, which takes way too long. Our system is truly broken, but she made calls upstairs and was able to get the doctor to see me, Thank you Ms. [NAME] and The Dentist</t>
  </si>
  <si>
    <t>check inm staff made me feel like I was imposing</t>
  </si>
  <si>
    <t>Great experience from check in to seeing medical staff</t>
  </si>
  <si>
    <t>I wish the VA would still use the kiosks to check in at a VA facility. I especially wish they would still use the kiosks for mileage reimbursement. It was so much easier to file for mileage reimbursement instead of having to do it online and going through so many steps.</t>
  </si>
  <si>
    <t>Please have a staff assist or at least help with coming in the room.  Most of the customers were lost because the check in machine was not working and the other machine was hidden on a corner.   So patients just emediately sat without checking in and waiting to be called, nit knowing they had to check in first.  The staff never bothered to ensure the check in process was working.</t>
  </si>
  <si>
    <t>the staff at the va clinic in bradenton fl were excellent from check-in to procedure and very helpful</t>
  </si>
  <si>
    <t>We arenâ€™t patients of the VA, we are a check in the box for them to get their â€œjobâ€ done. I take more surveys than I receive actual treatment. Never in the VA healthcare system have I felt like someone cared about my health as I do. I was even told my doctor that I should take drugs and live the rest of my days out. Iâ€™m 28 years old. Suicide and gender questionnaires donâ€™t benefit anyone.</t>
  </si>
  <si>
    <t>I was asked to check in with reception and then again at a lab reception cubicle which was unmanned. After waiting 5-10 minutes at the empty cubicle, the staff directed me back to the lab. At the lab, there was a lot of confusion about the request for my tests; staff explained to me that the request was not complete. I had to wait while the staff figured out what to do with the order.</t>
  </si>
  <si>
    <t>While at a Hospital Clinic and a provider writes and "submits" a prescription for pickup at the pharmacy it is an easy assumption that if a prescription is submitted then one would wait until notification screen post your name to come to the pickup window.  HOWEVER, this is not true.  The patient has to check-in with the pharmacy BEFORE the "submitted" prescription will be processed.  More.......</t>
  </si>
  <si>
    <t>The gentleman that drew my blood was fast and efficient, never felt a thing.  And the check in was fast and professional.</t>
  </si>
  <si>
    <t>Everyone i contacted from the information kiosk to my primary care physician was very helpful and treated me like they were happy to see me. Great team of people.thank you</t>
  </si>
  <si>
    <t>Excellent ...  Scheduling was easy ... check in was professional ... and my nurse and Provider were Excellent, and very helpful.</t>
  </si>
  <si>
    <t>The staff in radiology are always very professional but most impressive is they are very kind. From the check in desk to the tech doing the xrays I have been very impressed with the staff</t>
  </si>
  <si>
    <t>Though I have no concern during my appointment with the providers that day.  The process between checking in &amp; being seen- needs to be shorten.  Wait time was long, had to ask the "check in" person if they forgot that I was waiting.  I was told when I made the appointment that I had an allotted time for the nurse &amp; provider.</t>
  </si>
  <si>
    <t>Everyone was awesome, from check in to leaving, no stone was left unturned. Nurse [NAME] and Dr [NAME] did an awesome job</t>
  </si>
  <si>
    <t>Three veterans were called before me and another vet who were the first two in line. Was told the checkin system was messed up.</t>
  </si>
  <si>
    <t>My visit on Monday was great. However I tried to go to the lab on Friday but there was some sort of issue with the kiosk. The lady at the desk was rude and condescending. After I was checked in with assistance from someone else, I sat there for 45 minutes and was never called into the lab while everyone that came after was promptly seen and taken care of.</t>
  </si>
  <si>
    <t>In Tomball.....the CHECK IN PROCEEDURE IS LIKE A JOKE....When you stand in line
if yr hearing is bad....you cannot hear or even see the agent....also...I have many times
see long check in lines...and yet...the agts have to answer phone....THE AGTS NEED TO 
BE ONLY FOR CHECK IN AND A OFFICE IN A SEPARATE AREA FOR PHONE CALLS.</t>
  </si>
  <si>
    <t>2022-12-21</t>
  </si>
  <si>
    <t>I checked in using the computer terminal, but it did not register to the front desk that I was present. I went to the desk to check in in person.</t>
  </si>
  <si>
    <t>Go back to the old check-in system and old travel pay systems are always down.</t>
  </si>
  <si>
    <t>Everyone from the check in receptionist, the nurses and the doctor were very polite and professional!</t>
  </si>
  <si>
    <t>Check in at care clinic using your phone is very hard and confusing.  I am not able to understand how to use this on my phone.</t>
  </si>
  <si>
    <t>My only issue with my recent visits were the miscommunications with my check in. Normally in the past my pac team would ask me if I wanted to get the Flu Shot. Every year I want to get the Flu shot I think about it even and still when I get to the clinic I still need to be reminded because my memory sucks and I count on my pac team to remind me</t>
  </si>
  <si>
    <t>Dr [NAME], Dr [NAME], [NAME] RN and the entire team during my bronchoscopy took very good care of me. The gentleman that was head of housekeeping services was kind enough to make sure I got to the GI check in area. Thank you</t>
  </si>
  <si>
    <t>On my last I went to where I should check in at. They told me me I had to go to another station on the other side of the building and check in. I did, knowing better. They at the other station said that they couldn't check me in there, that I'm to check in at the station that I started out with. I told them what was told to me. She called the other station and told the other lady that they couldn'</t>
  </si>
  <si>
    <t>I miss having the Kiosk to check in. The stand in line to talk with a person is slow and confusing.</t>
  </si>
  <si>
    <t>Upon check-in, 15 minutes prior to my appt, i seated myself and waited an hour and a half. Everyone else had been seen and i was alone. I asked a nurse and discovered that the clerk had not actually checked me in. This is outrageous and had me considering whether to go elsewhere for a medicare appointment instead. I need-to be contacted by someone</t>
  </si>
  <si>
    <t>My wife and I have received top notch care from the VA Aurora campus. I would be disappointed if I had to use another provider for care. The only change that I miss is there used to be Kiosk at entrance to get you to your appointment if you didn't have the reminder letter. For some reason they have been removed.</t>
  </si>
  <si>
    <t>Wonderful experience from check-in to check-out!  Dr. [NAME] did an outstanding job in finding my problem and providing great direction on net steps that has averted a even bigger problem.  Can not be more satisfied.  Thank You</t>
  </si>
  <si>
    <t>I checked in to blood draw on time ( 2 patients ahead of me) and had to wait for 15 to 20 min. to get in. Why? Then i could not check in as the kiosk was out of order. When the receptionist came in she did not open her shade for a period. 2 people waiting. after she opened all went well.</t>
  </si>
  <si>
    <t>The check-in and scheduling lady was very helpful and provided me with a hand written appointment card for my next appointment for this visit as well as my next visit with my primary in January.</t>
  </si>
  <si>
    <t>When I arrive to check in the ladies doing the checkin are usually involved in a conversation. I stand and wait for 3-5 minutes. I always wonder why it takes 3 or 4 of them to have the conversation and why that conversation is more important than the veteran patient waiting for them to finish and wait on him.  I have noticed this on each of my visits. It seems like the priority is out of order.</t>
  </si>
  <si>
    <t>It would be nice if the front desk clerks would move attentive to the veterans when are in line to check in or out. They donâ€™t understand why the clerks are ignoring them.</t>
  </si>
  <si>
    <t>Reopen the kiosks</t>
  </si>
  <si>
    <t>The people working in the check-in are good.</t>
  </si>
  <si>
    <t>The check in staff need to be a bit more polite, they came off as rude when asked a question</t>
  </si>
  <si>
    <t>Comments are not about my time with Dr. [NAME] (which was excellent) but just a general observation on my interactions with other areas (lab, canteen, check-in, pre appt interview and vitals check). I saw no smiles, heard no pleasant conversations or laughter. It felt very dour, heavy, gloomy. Even among the younger staff, they seemed melancholy. I know itâ€™s a hospital but not a funeral home!!</t>
  </si>
  <si>
    <t>It would be nice if once you check in your travel would be automatically generated so that people do not have to go through the process of trying to implement an app or fill out paperwork to get their travel claims completed. This is a simple process once a person checks in it is automatically generated for their travel pay.</t>
  </si>
  <si>
    <t>This was my first visit to this facility.  Everyone was very helpful from the parking lot to inside the building, staff would stop and ask if they could help. Easy check-in and my provider was not rushed, very informative and made me feel if they really cared about my well being.</t>
  </si>
  <si>
    <t>I sat in the waiting room for 15 minutes and read a sign that urged me to go back up to the window if I had not been called. The check-in person had not informed the lab tech of my arrival. Once he was award of my presence he called for me within about 3 minutes.</t>
  </si>
  <si>
    <t>You should bring back the kiosk back. This would free up your people do other work. It also makes it easier for the veterans to check in for their appointments and request for travel</t>
  </si>
  <si>
    <t>The check-in process worked much better with the electronic pedestal rather than standing in the walkway waiting for the next available clerk station to become available. It's now been shown that Covid is transmitted by airborne means Not touching the check-in device. Please go back to what was working well.</t>
  </si>
  <si>
    <t>The check in staff and my hygienist [NAME], were super friendly!!!  I truly enjoyed my visit.</t>
  </si>
  <si>
    <t>I was very happy with all of the health care team that I dealt with on my visit. From check in to labs everyone was great and being a 22  year army medic I do have a pretty good idea of how it should work. I am very impressed with the care I was able to receive.</t>
  </si>
  <si>
    <t>Check in staff be more attentive, there was a line a people waiting to check in and one staff member was idle.</t>
  </si>
  <si>
    <t>Mathew made the imaging experience easy. VERY  respectful and helped to provide making the experience easier by explaining what he was doing.  The check in desk was very courteous as well.</t>
  </si>
  <si>
    <t>When you check in if the doctor is behind make sure you inform the patients</t>
  </si>
  <si>
    <t>Treated with respect by all personnel.
Suggest removing kiosks since they are not functional.  Gives feeling they facility is heating towards disrepair.  I personally liked them.
Liked new doctor.  Was personable, cared about my heath, and communicated well.</t>
  </si>
  <si>
    <t>The audiology clinic was very well run. Staff was professional, and facilities were excellent. The entire experience from scheduling, to check in, through the evaluation was seamless, professional, and patient centered.</t>
  </si>
  <si>
    <t>I had a lab appointment to give blood and a urine sample. From the time I checked in at the kiosk, completed my tasks and filed my travel pay, it took 15 minutes. I have to utmost respect for my caregivers.</t>
  </si>
  <si>
    <t>Appreciate the excellent healthcare service provided by Dr. [NAME] and her team.
Online check-in works well and save time.</t>
  </si>
  <si>
    <t>online check in needs to be easier.
The time you have between not being able to order prescriptions and receiving in the mail needs to be longer.
A bill for $5 really?!  Save it for the next cycle there are more charges.</t>
  </si>
  <si>
    <t>Whenever I come to McGuire I am treated with the dignity and respect of all I come into contact with. From the security guards to the travel kiosk to each of my beautiful providers I know I am being well taken care of. 
Thank you all.</t>
  </si>
  <si>
    <t>I wasnâ€™t sure I had the correct medication but the girl at check in did a review on line and explained it to me.</t>
  </si>
  <si>
    <t>Why do you give us an ID card if your check in staff is going to ask me for all my personal information and ask me to relay my name social dob for all the hear that is in line behind me or in the waiting area. I am supposed to trust that no one will steal my identity when itâ€™s your staff I feel is violating our security for our personnel information. There is more I ran out of room</t>
  </si>
  <si>
    <t>The medical staff are fantastic!  Its the check in staff that could use some attention.  A simple hello or offer of assistance would be nice.  It's called Grace and Courtesy.</t>
  </si>
  <si>
    <t>The women at the check in desk in the eye care center seemed to be bothered to have to check people in. I know there are rude people they have to deal with, but not all of us are that way.</t>
  </si>
  <si>
    <t>I had an appointment on 19 December 2022 that was scheduled back in April 2022, When I arrived to check in, I was informed that my appointment was canceled (1 November 2022). No one called, texted, or emailed me to inform me of this cancellation. After sitting in the lobby for more than an hour. The gentleman at the front desk was able to assist by getting me scheduled the following day.</t>
  </si>
  <si>
    <t>Everyone was outstanding, I appreciate the helpfulness of the staff. Especially at check in. I was worried that they would forget about me because I had to go back because they did not have my orders in , only the appointment.</t>
  </si>
  <si>
    <t>The checkin desk is awesome and funny.  They had a very good spirit.  Also, the nurse that I saw before seeing the doctor was awesome as well.  She made me feel less stressed and made me feel as if she would cater to my customer requests.  When she saw that I kept repeating my blood pressure, she offered to write it down for me.  Thank you Front Desk and Nurse!</t>
  </si>
  <si>
    <t>I feel that the female receptionist at the Pain Clinic check in could be more pleasant.</t>
  </si>
  <si>
    <t>1) revise the prescription program so you don't have to wait 20 min. to see the pharmacist and then another 20 to get your prescription.
2) move the kiosk for the pharmacy closer to the pharmacist. I watched an elderly woman who could barely walk push her husband in a wheel chair down to the kiosk, then she had to push him back to the pharmacist and back to the waiting area.</t>
  </si>
  <si>
    <t>The office clerk at the check-in location was like uncomfortable with the shift or something....it was Saturday and her attitude in my opinion was rude .</t>
  </si>
  <si>
    <t>I had surgery on December 19th and had a great experience from check in through discharge with every staff member I encountered. Thank you all for the great service.</t>
  </si>
  <si>
    <t>The Iowa City VA services and the Cedar Rapids VA Clinic are staffed with competent, compassionate professionals, from the front desk check-in to the doctors, nurses and physical therapists.</t>
  </si>
  <si>
    <t>Trying to reach my PCP or to talk to the checkin desk in the Geriatric department (61025)s not working well at all, doesn't matter if I dial in myself or go through the operator no one at extension 61025 answers the phone and by chance on occasion the line gets dropped or cut off after a couple rings.  I have waited on hold up to 35-40 minutes with the hold message.</t>
  </si>
  <si>
    <t>Excellent care from check in to pre op to post op.</t>
  </si>
  <si>
    <t>2022-12-20</t>
  </si>
  <si>
    <t>From check-in to seeing my provider, I felt comfortable and welcomed.</t>
  </si>
  <si>
    <t>I indicated to the check in clerk that I needed oxygen because M o2 bottle would only last for approximately 45 minutes.  After I complained to the Dr. who rushed to nurse [NAME],I was provided o2  40 minutes after check in.</t>
  </si>
  <si>
    <t>I never have a problem with my care at the VA. Dr. [NAME] and his team in my book are second to none and I really appreciate them. From check in to check out my experience with the VA in Florence is outstanding. Thank you so much. I might add I feel the same way about the lab and audiology dept, I donâ€™t think you could make it more efficient.</t>
  </si>
  <si>
    <t>The ever changing â€œcheck-inâ€ process can be confusing. Also the confirmation text starting a week prior to appointment are a bit much.</t>
  </si>
  <si>
    <t>The Check-In and getting appointments Need people who are More courteous and better people skills.</t>
  </si>
  <si>
    <t>Great ccheck in and check up by the nurse and doctor!</t>
  </si>
  <si>
    <t>They need to bring back the Kiosks, for checking in, or provide more stations for check in.</t>
  </si>
  <si>
    <t>New check in was quick, but I liked using the machine check in because information I provided was private and couldn't be heard by others waiting to check in or be called back for appointment</t>
  </si>
  <si>
    <t>There was no one available for check-in and various signs directing patients to other locations for check-in but no one there.</t>
  </si>
  <si>
    <t>The Urologist and staff were EXCELLENT! Kudos to everyone I encountered from check-in personnel, techs, nursing staff, and the physician. I am impressed! Thank you to everyone.</t>
  </si>
  <si>
    <t>The Dental Team I was with were very good.
The check-in and check-out folks were super friendly.</t>
  </si>
  <si>
    <t>Good technician and check in gals were most kind as I am hearing impaired.</t>
  </si>
  <si>
    <t>My appointment was at 0815. I asked twice and was told they were â€œrunning behindâ€ but at 0945, there were others that had come in and got called before me.  I asked again and pushed the issueâ€¦somehow my checkin didnâ€™t get to the lab , or something. Finally was seen around 0945. Not the typical service Iâ€™m used to receiving from here.</t>
  </si>
  <si>
    <t>Since my last visit to Buffalo, the entry/exit flow changed.  Things really went more smoothly with this new arrangement.  Checkin in Radiology was fast and the staff pleasant.</t>
  </si>
  <si>
    <t>Provider and check in staff member were very pleasant.  I felt comfortable and valued.</t>
  </si>
  <si>
    <t>I have always had exceptional service when I visit this facility. From entry to the facility, check in, and care, everyone has been courteous and helpfuk.</t>
  </si>
  <si>
    <t>This response applies to all VA facilities: VA, please go back to using the kiosks for transport claims!  PLEASE!</t>
  </si>
  <si>
    <t>The check in procedure using the kiosk and ID is so much easier and quicker to accomplish.</t>
  </si>
  <si>
    <t>Checked in at 1245 for a 1300 appointment. Asked if I needed X-rays. Girl says no. At 1345, Iâ€™m still sitting in the waiting room so I walk back up to check-in. Turns out the stupid bitch never checked me in!!! And I sat in front of her FOR A FUCKING HOUR!!! 
Ridiculous especially when I have a THREE HOUR ONE WAY trip to get to these appointments.</t>
  </si>
  <si>
    <t>The veteran checking in at the desk ahead of me did not have his correct paperwork and the desk clerk did not have any correct solutions except for his to contact his VA clinic in Utah.  We are in Yuma, Az.  I almost missed my appointment because they took so long.  The VA had everyone on lunch break except one person and the line got long behind me.  Our VA clinic stopped using the Check In keosk</t>
  </si>
  <si>
    <t>Fast respectful complete service.  Every one was great. The checkin lady, The  screening nurse, the doctor, the follow up nurse. The pharmacy!!!! ALL GREAT. THANK YOU FOr  BEING HERE !!!</t>
  </si>
  <si>
    <t>During my visit to the pharmacy, the self-serve check in system was down. There was a sign noting that the system was down, but there were no instructions to customers about what to do. Some were wandering around, looking for someone to assist. I managed to see a pharmacy tech because I found an empty booth and sat down. 
Would recommend posting a sign with instructions to customers.</t>
  </si>
  <si>
    <t>Very courteous and professional from the front check in to my provider!</t>
  </si>
  <si>
    <t>Checking in for appointments in the last three months has been extemely confusing, between the check in kiosks, QR codes, and the manned desks that frequently have nobody there, or the person manning it doesn't acknowledge your presence.</t>
  </si>
  <si>
    <t>Clinic is great. People are friendly and helpful and have a sense of humor. Dr. [NAME] is proactive, answers all questions and seems to have genuine concern. The people who take blood are funny and painless. The tech's who see you first are fast and friendly. No waiting. People at the desk are so much better than in the past. They make it easy to check in and out. No attitude and no rudeness.</t>
  </si>
  <si>
    <t>The process of picking up Medication is broken.  I was the first one to check in and had to wait for 3 hrs before I got my meds.  I think it would have been a lot longer than that if I had not checked on my meds twice.  It's like the took my information and then just totally ignored my med fill.  Other people was complaining as well.  There needs to be something done as people's time is valuable.</t>
  </si>
  <si>
    <t>Get the kiosk working to check in provide screen wipes if you that concerned with finger touch</t>
  </si>
  <si>
    <t>It is ridiculous how long it takes to get in to see someone about the glasses. The waiting queue for checking in is absolutely obnoxious! Rather have a machine to check in with than dealing with the cluster f* of the disorganized mob standing around. When checking out no one and she was like â€œhe was nextâ€ how am I to know with that system? Get rid of the markers on the ground too!</t>
  </si>
  <si>
    <t>the Entire staff,from check in to the CT technologists, did a great job, I was waiting more than 30 mins past my appointment time but otherwise treated very well.</t>
  </si>
  <si>
    <t>The only issue I have is with the reimbursement of travel.  When they had the kiosk it was so easy.  No you have to go to the travel office when it is mostly unoccupied. Veterans are loosing millions because no one is there.</t>
  </si>
  <si>
    <t>Very happy with all staff who were involved. From check-in to lab techs including nurse.</t>
  </si>
  <si>
    <t>The Lab check in desk was very professional.  The technician that draw my blood was also.  A very pleasant experience.</t>
  </si>
  <si>
    <t>Bedford VA hospital primary care is awesome the office check in women are so nice and Dr wadwha is the best doctor there needs to be recognized, thanks so much</t>
  </si>
  <si>
    <t>Lack of assistance from the Benefits office.  Also none of the ID card scanners for travel and appointment check in work.</t>
  </si>
  <si>
    <t>Don't understand WHY the teleprompters/kiosk machine are not working? Because of COVID? To smit the travel pay? If your writing is not that legible or hard to write or print.  The people at the travel desk just give you the form and say FILL IT OUT!!!  What happened, you PAY THEM TO HELP, THEN HELP THE VETERNS! OR put the kiosk machines BACK ON LINE!  What waste of manpower and resources.</t>
  </si>
  <si>
    <t>It took a long time to get into urgent care. I sat there for almost 2 hours and watched others come right up to the check in, get seen by the triage nurse and taken to the back. I sucks to sit there and watch that! Especially when youâ€™re sick and hurting. When asked at the checkin desk the lady got jazzy with me asking why that was happening.</t>
  </si>
  <si>
    <t>My appointment was for 0900 but not taken back until 0920 was just supposed to get a vaccine but by 0928 still not given the injection I had appointment at the main hospital at 1000 so had to leave in order to make it to my appointment on time with having to find parking and get to 3rd floor and check in. Need to be taken back by appointment time would work for me.</t>
  </si>
  <si>
    <t>2022-12-19</t>
  </si>
  <si>
    <t>I think having multiple ways to check in is a better option than use the camera phone to scan the QR code. Not all people have that capability or skill.</t>
  </si>
  <si>
    <t>I continue to be grateful for the EXCELLENT OVERALL SERVICE I receive from ALL STAFF EMPLOYEES. This includes the E.R. doctors, nurses, additional staff and volunteers. I also appreciate the friendly hospital greeters and check-in employees manning the front desk of every clinic I needed to visit with Dad (the veteran) such as the Diamond, Gold, Emerald, etc.</t>
  </si>
  <si>
    <t>checked in with elect. device. dr. did not know i was there. had to tell the check in person that i waited 30 minutes. they got her for me.-----------------------------</t>
  </si>
  <si>
    <t>I love dental and the staff. front desk check in personnel do not seem to be happy within their job. Like you are bothering them to check in. The guy is great though.</t>
  </si>
  <si>
    <t>What great people you have.  From the front door to the X-Ray check in, to the technician doing the procedure, they were all very kind and welcoming and professional!</t>
  </si>
  <si>
    <t>I liked the check in kiosk, it was much simpler and faster checkin</t>
  </si>
  <si>
    <t>Still having a difficult time in filing the travel claim electronic form home was much easier using the kiosk when leaving the hospital</t>
  </si>
  <si>
    <t>With the check in- windows, there shouldn't be a group of people chatting, while the customer is waiting. If you are not ready to service the customer, the window should be closed.</t>
  </si>
  <si>
    <t>The check in experience is harder without the kiosks, it is also harder to request travel pay. With the kiosks you could check in and request travel pay very easily.</t>
  </si>
  <si>
    <t>Admin staff made errors in notifying me of my required arrival time. Check in site directions were not correct.</t>
  </si>
  <si>
    <t>2022-12-18</t>
  </si>
  <si>
    <t>All of this is a waste of time, no one will address the reasons of my stress and anger, still a check in a box .</t>
  </si>
  <si>
    <t>Bring back the Travel Reimbursement request Kiosks.  Having to obtain the request and complete then turn in, is a big time consuming process.  Not only for the veteran, but also for those who work at the VA.  The Kiosk was so much easier, insert your id, answer a few questions, sign your name, and your done.  Not having to wait for others to make an appointment, sign in for an appointment, etc.</t>
  </si>
  <si>
    <t>When I went to check in at the first desk, there was a gentleman sitting at the desk.  He just stared at me and when I said was there for an appointment he said I am from IT,  he was pretty rude about it.  There should have been a note saying to check in around the corner.  There was a note saying if no one us at this desk please check in around the corner.  But, seeing that someone one was there</t>
  </si>
  <si>
    <t>Why were the kiosks removed?</t>
  </si>
  <si>
    <t>I missed a dental hygiene appointment because it took me 30 minutes to find a parking place and another 10 minutes in line to check in.</t>
  </si>
  <si>
    <t>Provide free Wifi to speed up check in progress</t>
  </si>
  <si>
    <t>Kiosks were not working ..to enter travel info....as sick as my husband is the provider gave him a 6 month next check up...</t>
  </si>
  <si>
    <t>Shorter wit time for prescription check in and pick up</t>
  </si>
  <si>
    <t>I Feel that the changes made to the way we check in for labs weather they be Fasting or Not the process has a step in it that causes more of a DELAY than it does in making the experience faster or more efficient. Not sure what the thought was when putting this extra step into the Check-In Procedure. I am saying this because when I got my labs done on the 15th it took roughly 30 minutes.</t>
  </si>
  <si>
    <t>Service is truly an upgrade fron the previous years. Even thou it is not bad i would like to more concern from the check in desk as well.</t>
  </si>
  <si>
    <t>The check in process is still very clunky. Half the kiosks don't work, and there's very little direction to use the correct kiosk (some are for used for different purposes). I ended up wasting about 20 min of time because I used the wrong kiosk to check in. Others I was waiting with did the same thing. Very frustrating.</t>
  </si>
  <si>
    <t>Why were kiosks removed or not in service any more? This is such inconvenience. When the veteran is finished with appointment it is so easier to complete</t>
  </si>
  <si>
    <t>At present it is difficult at best to apply for travel pay reimbursement with the new sign-in  system. Could there be a direct link added to the sign in page to access the travel reimbursement request form. Also a bar code added to the poster that we use to text check-in message. Most clinics I have asked say that about 75% of the veterans use the paper forms to apply for travel pay.</t>
  </si>
  <si>
    <t>Everything went smoothly and got seen right on time for blood draw. People at check in desk were very friendly but the lab tech was not. She was very grumpy but did a good job drawing the blood.</t>
  </si>
  <si>
    <t>I interacted with 3 employees. All were great. I was walked to the imaging lab when I got off the elevator. Check in was easy. I brought images and previous results with me. The intake woman was very pleased that I brought them and she copied them. It was a very short wait to get my mamogram completed. The doctor reviewed the images immediately and told me my results.</t>
  </si>
  <si>
    <t>The entire experience was excellent. Check in was great. Wait time good. The doctor and the nurse were exceptional.</t>
  </si>
  <si>
    <t>Two of the staff members in the lab department at Jefferson st. Jacksonville VA was rude and had a bad attitude. During check-in, the Asian female was rude and the tall white guy standing outside giving directions to service members pointing out where they should be seated was rude as well. I was not aware of special seating arrangements while waiting on your number to be called.</t>
  </si>
  <si>
    <t>Excellent job, from arrival to completion of the appointment.
VA should improve the processing of travel claims following appointments. The previous version used with the kiosk was easier than the current btsss; which is frustrating a lot of veterans.</t>
  </si>
  <si>
    <t>Confirmed pending appt.  Pre check was sent and when I tried to complete it told me my appt had been cancelled. Called in to see and scheduler stated it looked like someone had cancelled the appt and then rescheduled it for the same time.  Confused and unable to pre check in at this time. Iâ€™m</t>
  </si>
  <si>
    <t>The check in Agent was courteous and efficient 
The nurse was friendly, caring and professional 
The Doctor gave a thorough exam. Easy to talk to. Complete in recommendations for complete health care. I trust, and respect her</t>
  </si>
  <si>
    <t>Some confusion on day of appointment but the staff went out of their way to accommodate me. The confusion about the time and not being in the kiosk was unnerving but they still took the time to accommodate me. Great staff, very professional.</t>
  </si>
  <si>
    <t>I have been using the Cape Coral and Naples clics for 26 years.  I like the facilities and the associated medical staff.   The facilities keep getting upgraded.   The only issue I have is going to the most recent travel claim system.  The kiosk was more efficient in my opinion.</t>
  </si>
  <si>
    <t xml:space="preserve">The check in area is not private, everyone in the waiting area can hear everything said by the patient and VA Staff. I donâ€™t want everyone to know of my health or problems that I have. Please change the area so it is private. I believe itâ€™s called HIPPA regulations. Thank you very much. </t>
  </si>
  <si>
    <t>2022-12-17</t>
  </si>
  <si>
    <t>The lady at the check-in desk and the intake nurse were very helpful, friendly and professional.</t>
  </si>
  <si>
    <t>It would be helpful to repair the self-check-in machine. Checking in via the text message reminder is unnecessarily cumbersome.</t>
  </si>
  <si>
    <t>I always feel like we are old friends when I check in very hard to feel that nowadays and the help and concern from my counselor are always welcomed.</t>
  </si>
  <si>
    <t>All the people involved from those who check in to the doctor that looked at me did a fantastic job. Thank you for your good service</t>
  </si>
  <si>
    <t>I arrived early and was taken in before my appointment time.  The check-in, pre-screening, and check-out process was timely, courteous, and pleasant.  Dr. [NAME] went over my Lab results thoroughly, dealt with my medication ordering problem, gave me the results of my CT Scan showing a hernia, and made a referral for a consult with a Surgeon.  I was dealt with in a thorough and professional manner.</t>
  </si>
  <si>
    <t>The check-in desk was not open yet, So I went to the machine and it wanted you to download an app on your phone to check it. So I downloaded the app on my phone and it kept taking me to it a site where Iâ€™d have to pay and they kept it and it did it twice, But finally a woman came out and checked me in by writing my name down. Go back to the way it was with the machine checking in instead.</t>
  </si>
  <si>
    <t>Getting travel pay is a lot more complicated than the Kiosk system was.</t>
  </si>
  <si>
    <t>I was not informed that the readers were out so I now had to go to the desk to say I was there for the appointment.  This also includes that I had to find a working kiosk to get my travel pay.  WTF is going on.</t>
  </si>
  <si>
    <t>I wasnâ€™t sure where I was to go when I arrived. Where was physical therapy? It had been years since I was there last. I went upstairs to check in. Three workers were there. The two in the middle were talking and ignored me. The woman on the right checked me in and gave me directions. The physical therapy lobby worker asked me if I had already checked I.  The therapist was very helpful.</t>
  </si>
  <si>
    <t>Dr. Rembert has been by far the best physician since I have been with any VA clinic. She displays vast knowledge and she keeps me and my wife well informed. Her professionalism and caring is beyond reproach. 
Only concern is the long wait and standing at the front desk for check in. Personnel were seen drinking coffee and watching their phone while the check in grew behind us.</t>
  </si>
  <si>
    <t>Donâ€™t use tech to much. Prefer the kiosk over smart phone for check in. Donâ€™t bring my phone to appts.</t>
  </si>
  <si>
    <t>Need a larger sign for Blue Team check-in. I passed it twice and had to ask where to go. Over all, was a good visit.</t>
  </si>
  <si>
    <t>Everyone I came in contact with was friendly, helpful and courteous. The new building is great - bright with plenty of comfortable seating. Would have liked to have restrooms on each side of the public space rather just on the side furthest away from check-in area.</t>
  </si>
  <si>
    <t>I like the new lab set-up ,with the check in desk and elimination of the crowded waiting room. much better.</t>
  </si>
  <si>
    <t>Checkin using the texting method did not work. One hour AFTER my visit was complete I finally received the answering text telling me that I successfully checked in.</t>
  </si>
  <si>
    <t>I had a very good experience with all at the VA center. EXCEPT for the short redhead lady at the check in at (endoscopy) she was very rude and abrupt, didn't care about my concerns and that I wanted my wife to be with me during my initial check in and prep. For my procedure. I want to emphasize that everyone else was great in every way. But that redhead is very problematic.</t>
  </si>
  <si>
    <t>Having to use my phone to check in and then a computer at home to file for travel reimbursement is very confusing. The Kiosk was much better than what you have to do now.</t>
  </si>
  <si>
    <t>Waited one hour to get blood drawn from check-in while watching employees texting and ordering on their phones.</t>
  </si>
  <si>
    <t>Test all your technology for handling check in before you attempt to use it.</t>
  </si>
  <si>
    <t>The CBOC is a very well run facility. From the security screener to the check-in staff everyone there is friendly and helpful. The medical and mental health staff are fantastic. I am very pleased with the level of care I've received since I have moved into the area. Dr. [NAME], Dr. [NAME], [NAME], the nurses and lab techs, all have been professional and competent. I highly recommend all!</t>
  </si>
  <si>
    <t>This was the first time that I had to wait (over an hour) for an appointment at the Kernersville facility. Dr. [NAME] apologized for the acessive wait time and said that it was his fault. These things happen and my only concern is that it would have been nice to have been informed of the delay at check-in. If I knew that there was to be an hour+ wait, I could have gone down to the canteen.</t>
  </si>
  <si>
    <t>My first experience with Portland VA was very negative. I was scheduled for 1000, arrived 15 minutes early, checked in and by 1115, still had not been seen. Asked another patient if it is always like this. He said yes and best to let checkin know situation. Went back to checkin, advised of wait, returned to seat and called in right away. From there, service was very good. Ended on positive note.</t>
  </si>
  <si>
    <t>I am continually having a problem with Travel Reimbursements - For every 3 trips to the VA (Ft Worth and Dallas) I get 1 check, there is no way to tell which visit it addresses so I have no clue how to straighten it out. When we were on the Kiosk machines that almost never happened.</t>
  </si>
  <si>
    <t>I did receive services from my provider during this visit to the optomitrist, but things did not go smoothly at first.  After arriving to check in, the clerk told me that I had canceled today's appoinment.  I told her that I did not since I am standing here checking-in for my scheduled appointment.  Therefore, someone had canceled my appointment without notifying me.  The clerk was very helpful.</t>
  </si>
  <si>
    <t>For the second time I couldnâ€™t check in using the kiosk. It wouldnâ€™t recognize my VA card or my social security number. Itâ€™s very frustrating. You need to get this checked out!</t>
  </si>
  <si>
    <t>I do not understand the reason it takes so long to make appointments to see a specialist in some cases three, four , month the staff along with the Doctors do a great job when you do get to see them. I also would like to make one other point why did they take out the Kiosk machine it made life so much easier. Thank you</t>
  </si>
  <si>
    <t>My experience at the clinic was outstanding.  The check-in clerks are friendly and very helpful.  Mr. [NAME] team are some of the best medical professionals' I have ever dealt with.</t>
  </si>
  <si>
    <t>Dr [NAME] and her staff are the best  and check in section 6 was easy and well done</t>
  </si>
  <si>
    <t>Everyone that I encountered was pleasant and friendly. The check-in staff, the lab staff and even the contracted security officer. She greeted everyone with a smile.</t>
  </si>
  <si>
    <t>The person doing the test was great the check in person was "your just another number"</t>
  </si>
  <si>
    <t>Ya the front desk people. Did not respect me. They put on airs.   Iâ€™m a retired medical specialist disappointed.  They looked down on me. The male nurse awesome.  I respect dr Thompson this is Sunset peak check in. I suggest they show some respect. And be pleasant.   Iâ€™ve been Vet since 1984.  I know the sisdom.    cowboy</t>
  </si>
  <si>
    <t>The kiosk for check in was removed. No clear information on how to check in at labs.</t>
  </si>
  <si>
    <t>The people were nice enough and very efficient. I tried checking in using the QR code at the door. It was accepted and said have a seat. Then I got a text message and it said that I needed to check in at the desk so my insurance info could be updated. When I went up to the desk the gentleman told me I was checked in and I asked about the update to my insurance and he said he could not do that ther</t>
  </si>
  <si>
    <t>Your kiosks worked. Now you have some online checkin system that does not always launch the va app and gets you checked in properly.</t>
  </si>
  <si>
    <t>easy to check in, very professional, easy to to understand and it felt like they cared about me.</t>
  </si>
  <si>
    <t>So far my interactions with the Ocala-based VA Outpatient clinic have been positive. There have been maybe 1 or 2 occasions where front check-in staff were gruff or short.</t>
  </si>
  <si>
    <t>Receptionist (?) was rude to spouse, also a Veteran, who encouraged me to use VA and joined me on my first visit. The lady behind the plexiglass shouted from her seat to mask up as soon as we entered and snapped at my wife to stay behind the (imaginary) line before telling us to use the kiosk. As a first-time patient, I was unsure of protocol. Employee's actions affirmed my reluctance to use VA.</t>
  </si>
  <si>
    <t>Need a sign to take a slip rather than trying to place a VA card into the kiosk. Confusing without a sign.</t>
  </si>
  <si>
    <t>One of receptionists at the first floor primary care was incapable of check me in the system She told me that I need to  make a new appointment  for another day while my nurse told me that my doctor was expecting me in his office. My time with doctor was cut short because I was running between 3FL and 1 FL to figure it our the discrepancy. I was only seen because I checked myself with Kiosk.</t>
  </si>
  <si>
    <t>Checkin person very slow</t>
  </si>
  <si>
    <t>The people doing check in, the nurses, and Doctors are ALL so caring and professional.</t>
  </si>
  <si>
    <t>Dr was knowledgeable &amp; I felt she was concerned and interested in my questions &amp; responses.  The staff provided a flawless check in. The shot giver administered painless shots and the lab tech was exceptional</t>
  </si>
  <si>
    <t>Check-in clerks at the eye center need better customer service experience.</t>
  </si>
  <si>
    <t>I really appreciate Dr [NAME]. She listened to me and answered all my questions. All the ladies at the desk for check in and check out were very nice. Thanks</t>
  </si>
  <si>
    <t>Travel pay used to be done at kiosks. But now online can be difficult for many vets. Bring back this option at kiosks.</t>
  </si>
  <si>
    <t>Easy check in, great assistants</t>
  </si>
  <si>
    <t>From check in and throughout my examination everyone I interacted with was kind and professional.  My eye test was through and complete and explained everything to me as we went along in a manner I could understand.</t>
  </si>
  <si>
    <t>My check in and lab was excellent. The admin Failed to check me in for my doctors appt following my blood draw. If nurse [NAME] did not physically check the waiting area I would be there waiting for who knows how long. My doctor saw me on her lunch time and I think this is dear to my heart!  Mistakes occur, but I assure you, when itâ€™s time to go home people donâ€™t miss that. Please mention.</t>
  </si>
  <si>
    <t>I have gotten nothing but the most respect for the VA Health Care System and especially the staff.  I have seen multiple divisions and specialties and found the services provided the best i have ever recieved. I have witnessed other patients be very demanding and unwilling tonaccept change and make it difficult for the staff before they try to check in properly or be on time for their appointments</t>
  </si>
  <si>
    <t>Please reinstate the kiosk for travel allowance. The new way is very difficult to use.</t>
  </si>
  <si>
    <t>The vision clinic needs to remove the kiosk from in front of the office , I missed my appointment because I thought I was checked in.</t>
  </si>
  <si>
    <t>Original appointment was scheduled for 12/12. Unable to check-in via virtual system. Had to go to front desk where the attendant was cold, demanding and just not friendly at all. When nurse came out to tell us the doctor was out sick she took care of getting our basic needs met and was patient, kind and very helpful. A total change in our feeling about this facility.</t>
  </si>
  <si>
    <t>2022-12-16</t>
  </si>
  <si>
    <t>Since I only come in 1x per year, i found the kiosk difficult to use.</t>
  </si>
  <si>
    <t>The check in process by the nurse and the service by the doctor were outstanding!</t>
  </si>
  <si>
    <t>Travel pay is taking a lot longer to complete since you took away the check in stands in clinics, I have over 6 travel claims that are in manual review, what is the point of new portal/website to complete claims if it takes as long as filling out a paper form? The old system worked, was easy, and payment was faster renew the contract and bring back the check-i stands! Oh and get rid of the masks!!</t>
  </si>
  <si>
    <t>Why has it become HARDER to submit travel claims now that the kiosks are gone?</t>
  </si>
  <si>
    <t>Medical staff from check in to treatment to discharge listened carefully to my issue, made their recommendation for procedures needed, sought their own support from others and confirmed process. Professional through and through.</t>
  </si>
  <si>
    <t>The check in process via smart phone is slow and laborious. 
Link for travel pay ends up erring out.</t>
  </si>
  <si>
    <t>The kiosk at Lawton North is broken and I havenâ€™t been reimbursed for any of my travel to any of my appointments!</t>
  </si>
  <si>
    <t>Not using monitors in lobbies; have to explain to unsure vets of "NEW" checkin &amp; mileage process moving forward.  Thank you for listening &amp; helping us vets!</t>
  </si>
  <si>
    <t>No one was at the check in desk. After 10 minutes I was able to give info to check  in. Clerk wrote it down on a note pad. After waiting 20 minutes  I was called  and was told that  I had missed my appointment and would get a very short visit. However I did the required  time to complete my visit after I explained what happened  at the check  in desk.</t>
  </si>
  <si>
    <t>Process for obtain mileage reimbursement very difficult and twice no one was there to take a form I filled out and on several other times there were no forms or person there at Admin office where I was suppose to go. And one time I was able to turn in a form, I was reimbursed for mileage for ONLY one-way instead of round trip. 
The old system worked flawlessly using the kiosks.</t>
  </si>
  <si>
    <t>From the moment you check in, you know you are in caring and capable hands.</t>
  </si>
  <si>
    <t>The wait can be improved. I would recommend no more than 15 minutes after arrival and check in. Understand, the ratio of Doctors verses patients.</t>
  </si>
  <si>
    <t>Very pleased  with  the doctor and staff  very  detailed great  experience. The front desk  at check-in  was terrible 4 people  on the desk no willing  to help</t>
  </si>
  <si>
    <t>The front desk personnel does not acknowledge the patients waiting to check in. They were talking about the upcoming weekend while we were waiting.</t>
  </si>
  <si>
    <t>The travel pay kiosks are no longer in service. I went to the travel window and they could not help me gave me a piece of paper to go online and claim travel pay.
I went only and the website is glitchy (would accept my address and couldn't find my appointments) it was difficult to you and kept rejecting me. I ended up NOT getting my travel pay for my last two VA appointments. Need to fix this!</t>
  </si>
  <si>
    <t>From check in to having my blood drawn I was treated with respect. My appointment was for 10 and I arrived early and was on my way by 945.</t>
  </si>
  <si>
    <t>The workers at the front desk/ front admin are the worst at the Joliet Clinic. They look at you when you need to check in and don't say anything.  They make you wait and then get an attitude when they have to check you in.  These are the people that are suppose to make the veterans feel welcome? All these people need to be fired especially the women in the front.  They have attitude for no reason.</t>
  </si>
  <si>
    <t>I thought that after I checked in that waiting half an hour to be called into the Doctors office was to long to have to wait. Then after getting my vital signs and answering a few questions I again waited a half an hour to see the Doctor. Everything thing else during my visit was fine. This was the only time I had to wait this long to check in and see the Doctor when going to the VA over the years</t>
  </si>
  <si>
    <t>I will be 90 years old on my next birthday. To check in with a SMART PHONE  doent
make it very easy on us .</t>
  </si>
  <si>
    <t>I arrived and wasn't sure where to go or check in. There was nothing clearly stating that masks were still needed in VA facilities. I was given a mask. I was clearly looking for help. I passed several staff members that seemed disinterested and didnt even acknowledge me. But I've grown accustom to that type of treatment from the VA. Once I found the pharmacy. Staff was very polite and helpful.</t>
  </si>
  <si>
    <t>The check-in personnel and imaging technician were very professional and courteous. My appointment was a great experience.</t>
  </si>
  <si>
    <t>The check in process was fast and easy. The audiology doctor that conducted test and evaluation was very thorough and explained everything as the hearing test was conducted. He listened and explained the results and my concerns extremely well. Thank you!</t>
  </si>
  <si>
    <t>You have removed the kiosks to claim travel pay, it was so easy this way. One excuse I heard was germs. Well no one is cleaning the chairs that everyone sits in, lots of germs!!!! No one is cleaning the counters where we talk to the Reps. lots of germs!!!! Excuses to remove the machines.
Veterans have been filing false mileage claims. How can that be when it is suppose to correspond to there appt.</t>
  </si>
  <si>
    <t>Xray department personnel should be required to step out into the hallway when calling patients name.  Because everyone can't sit in the  small waiting room and the Kiosk is no longer working.
Thanks for your consideration in this matter.</t>
  </si>
  <si>
    <t>Always a very positive experience. Quick wait time, very courteous people from initial check in to Rx pickup. I have done this many times and it's always the same great Veteran care.</t>
  </si>
  <si>
    <t>Everything went very well.   Used my phone for check in for both appointments that day.  Received reminders from my phone for appointments.</t>
  </si>
  <si>
    <t>This was my first visit. I was greeted by the volunteer and she told me where to go for my appointment. My check in was smooth and courteous at the Audiology Dept. Dr. [NAME] was my provider and she was wonderful-she listened to me, walked me through what to expect, and helped me select options for my first hearing aids. My appointment was on time, staff was courteous, caring, and efficient.</t>
  </si>
  <si>
    <t>My only issue was this. I had an appointment to see my doctor. People without appointments were coming up to the check in window asking: if they could see the doctor or to talk to him or to leave a message or get their medications changed. This had the effect of slowing down the appointment check in and delaying seeing the doctor. How about setting up a kiosk so walk ins could go to?</t>
  </si>
  <si>
    <t>I place order for a medication, the system it will fill it, check back a few days later, the system says it is process of filling, check in a week or so later and there no info on processing or tracking but then lo &amp; behold it was delivered on the day I used my last pill.
Prior requests, similar experiences BUT had to request emergency supply till full subscription could be located and provided.</t>
  </si>
  <si>
    <t>Dr [NAME] is a terrific representative for promoting health care at Naples VA.  The check in staff is knowledgeable and very accommodating at check in.  Thos doing blood draw are experienced and very efficient and personable.</t>
  </si>
  <si>
    <t>Friendly greeting as we entered the building &amp; was politely guided to our check in area. We waited just a short time when they called me for my lab work. We were done &amp; on our way before the scheduled time. The entire staff has always been cheerful &amp; always friendly!! Great people work there!!</t>
  </si>
  <si>
    <t>I am so impressed by the positive changes I experience at my VA hospital. Everything from the warm, friendly feeling with telephone operators to system improvements such as check in for appointments. There are more but these are what come to mind.</t>
  </si>
  <si>
    <t>I really don't appreciate the people who were working the counter at my last vision appointment. They seemed irritated that they had to walk people through the useless mobile check in. Treat people like people, not numbers.</t>
  </si>
  <si>
    <t>It just seemed like the lady at the counter at check-in was having a bad day in her life and thought it was okay to put it on with the other veterans with her attitude</t>
  </si>
  <si>
    <t>The Radiology team always do great work. From the Front Check-In Desk to Technicians and Radiologists. The technician who took care of me, for my Cat-Scan procedure, was kind, courteous, knnowledgeable, positive attitude, and attentive. Did not have to wait very long at all to be seen. Kudos also to Front Desk personnel, they are "first contact" personnel and they do a spectacular job.</t>
  </si>
  <si>
    <t>While at the initial check-in window, there is the potential they ask for personal info. The veteran is obliged to answer so other people in the room can hear.
Might that system be modified in some way?</t>
  </si>
  <si>
    <t>My last visit to the ER I was the only one there, after initial check in and vitals being taken went back out and set in waiting RM for an hour still the only one there was finally taken to a room asked to have a seat someone will be right with you, half hour later still no one had come in I got up you could clearly hear everyone socializing but not about work walked out and left never seen.</t>
  </si>
  <si>
    <t>Check in was easy &amp; fast; respectful &amp; courteous:  I waited less than 10 minutes before seeing the nurse, [NAME], for a DpaT shot.  She was sympathetic towards my feelings about needles:  she was good &amp; the shot was painless.  Tess, the veteran advocate at the clinic help me with some Comunity Care billing issues and guidance on how to proceed in the  Comunity Care.</t>
  </si>
  <si>
    <t>I was treated very nice by [NAME] at check in.</t>
  </si>
  <si>
    <t>Waited an hour and a half to get seen for an ultrasound. The front clerk didnâ€™t enter my information correctly and I wasnâ€™t logged as there. I was told by the person doing the ultrasound that this has happened multiple times. The electronic kiosk to check in is so much easier and quicker. It eliminates the human error I experienced.</t>
  </si>
  <si>
    <t>I arrived to my appt 10 or 15 minutes early to check in.  That took less than a minute or two.  I walked to the lab and sat down.  Within 5 minutes I was called back and blood was painlessly drawn, I gave a urine sample and left.  I was driving out of the parking lot 3 minutes after my appt time.  That is fabulous service.  Thank you</t>
  </si>
  <si>
    <t>While getting my prescriptions I went and did my travel pay. The worker who helped me did a great job and above and beyond job. Recommend having ticket or kiosk to check in. Had to do honor service system.</t>
  </si>
  <si>
    <t>check-in was much better than expected. Doctor [NAME] in my opinion is an excellent doctor. He answered all of my questions satisfactorily and his examination was complete.</t>
  </si>
  <si>
    <t>2022-12-15</t>
  </si>
  <si>
    <t>The people at the check in counter are not always friendly and helpful.</t>
  </si>
  <si>
    <t>I don't care for the new check-in process using a cell phone to scan a QR code. Many older veterans like myself have problems navigating small screens and are not tech savvy .</t>
  </si>
  <si>
    <t>Appointment at 3 pm, never called after check in. I asked about why and got in at 4:15</t>
  </si>
  <si>
    <t>The nurse who took my vitals when I checked in for my appointment was very friendly and helpful during my check-in.</t>
  </si>
  <si>
    <t>Bring back the check in kiosk</t>
  </si>
  <si>
    <t>The service I received was above outstanding from the Security Personnel, Check-in, RN, and Doctor.</t>
  </si>
  <si>
    <t>I found it very confusing to use the new check in kiosks. The old ones worked fine. Why change what already worked? Could not figure out where to put my VA card to scan. On screen prompts kept taking in a circle. Very confusing. I ended up going upstairs and checked in with a person at the desk for primary care. She took care of me promptly.</t>
  </si>
  <si>
    <t>The front desk staff quickly recognized and helped me with check in.  Amy, the nurse was friendly and respectful of why I was there.  She administered the COVID and Flu shots. I had minimal pain with the injection and even a few days after.  Dr [NAME] is a dedicated individual ensuring that all of my concerns were addressed.  She provided helpful directions and solutions to my various concerns.</t>
  </si>
  <si>
    <t>Recommend bringing back the Kiosks machines or fix the WiFi dead zones inside the buildings.
Because I tried checking in online inside the main doors and WiFi wouldnâ€™t work.  The VA rep sitting at the desk tried helping me as well.  She just directed me to check in at the eye clinic itself.
So, why have us check in online and WiFiâ€™s not going to work every inside VA compound.</t>
  </si>
  <si>
    <t>The visit proceeded efficiently from check-in to speaking with the doctor about lab results to check-out. Very good facility. Thanks.</t>
  </si>
  <si>
    <t>I highly recommend that your check-in personal have a little more humility. Salutations can go a very long way especially when the Vet is already have a bad day. Every single time I approach the counter, not once does an attendant ever say hello or how are or how may I help you. Instead you get the same BS attitude that makes the Vet feel that they don't enjoy their jobs.</t>
  </si>
  <si>
    <t>I haven't really had too many negative issues with the VA, other than being a little afraid to request an increase in my percentage as my service-related injury gets worse with age.  One incident I had was with observing a check-in clerk being rude to older veterans.  But I was quickly called by the supervisor of that area after I lodged a complaint!  She got on it fast!</t>
  </si>
  <si>
    <t>The young lady (NAME) at the check-in desk was very energetic, professional and happy to serve me and others. I love seeing happy faces.....</t>
  </si>
  <si>
    <t>Appointments were easy to make, my only worry is that my audio appointment goes over 60 minutes and makes me late for the primary care appointment.
But I will express my worries when I check in for the audio appointment.</t>
  </si>
  <si>
    <t>There was no one working the front desk/check in.  Did they just wander off somewhere? The people at the Lab Ckeck-In were very courteous and helped all the patients.  However, they were pulled away, from their station, to do the front desk/check-in.  This last for the duration of my visit, about 45 minutes, from 0810-0855.</t>
  </si>
  <si>
    <t>Extremely happy with the check in personnel, nursing staff and PA, all of them very competent and helpful, A+</t>
  </si>
  <si>
    <t>2022-12-14</t>
  </si>
  <si>
    <t>Please lengthen the time allowed to respond to the questions asked at the kiosk when checking in. During my most recent visit there were more questions than I've been used to an the screen changed to quickly for me to keep up. Maybe just rely on the Vet signing in to advance the screens when he or she is ready.</t>
  </si>
  <si>
    <t>the check in practice is very confusing. it seems that the procedure changes with every visit. can't you arrive at a policy /procedure and stick with it?</t>
  </si>
  <si>
    <t>3 things I absolutely donâ€™t like
1. check in via smart phone, so stupid and cold
2. Travel claim kiosk was great, now itâ€™s gone and thatâ€™s bullshit
3. Wearing masks has proven NOT to work. Doctors dentists and other health care providers have all stopped that nonsense, itâ€™s time the VA does too</t>
  </si>
  <si>
    <t>On checking in :
I noticed the bar-code with a phone to check-in, I donâ€™t like!, I donâ€™t use a computer, I have an I-phone and only use it too call and text, Period! Iâ€™m old fashioned, Iâ€™m kissing 80 in the A_ _ and too old for some of this new technology, plus not interested in it !!
I know thereâ€™s a lot of Vets in my age bracket and they feel the same way, have a little respect. Thank Youâ€¦..</t>
  </si>
  <si>
    <t>Checked in, heard the person call the nurse and notified her. Nurse was supposed to call pharmacy to get medicine from pharmacy for shot. No one called me or pharmacy.  Check in left for day. So did the nurses. Had to knock on door. People that were finishing paperwork. Had to call pharmacy  get the medicine and administer shot. Which is done every 30 days. Sad Sad situation two hour wait!</t>
  </si>
  <si>
    <t>Dr [NAME] is fantastic.  She listens to me (even though everyone was behind, she still took time to treat me like a person and not shuffle me through).  Even during check-in, everyone was courteous and polite.  I am very happy with the care I get at the VA hospital.</t>
  </si>
  <si>
    <t>I was impressed with quality of the VA employees.  From employees helping me find my way to and from the check-in, the check-in and the doctor I saw were all patient and helpful to me and my spouse.</t>
  </si>
  <si>
    <t>This is ongoing since the check-in process was changed to text to check in. It does not work for me, always says that I need to check-in with a receptionist. So I donâ€™t even try to text. I always liked the kiosk check-in. Please consider reinstating the kiosk process.</t>
  </si>
  <si>
    <t>I am very please with my Dr. and all of staff at the Platte City Clinic.  During my visit I was waiting in the waiting room and I overheard another Vet much older than myself speaking to the staff at the check in window who was expressing his concerns that the clinic hours are not posted at the entrance for Vet's that drive up to the clinic to see if it is open.  From what I could hear, the.....</t>
  </si>
  <si>
    <t>I checked into the Clinic via a Kiosk and sat down 10 minutes before my scheduled appointment. I was the only patient in the waiting room. There were 2 staff members present and neither addressed me. after 20 minutes I noticed a sign saying after 15 minutes of your scheduled appointment time if have not been seen contact a staff member. 
Can't explain in 400 letters.</t>
  </si>
  <si>
    <t>Check in kiosk never works and when I mentioned it. The male receptionist got annoyed!</t>
  </si>
  <si>
    <t>The entire staff was exceptional; front desk at check in, Dr. [NAME] and her knowledge and follow-up on my health, the schedulers at the front desk. Nurse [NAME] gets my highest respect and praise this last week for flexing with me on vaccinations and my follow-ups. She has consistently been the one on to answer my MyHealtheVet msg and does so, and follows thru, professionally and promptly.</t>
  </si>
  <si>
    <t>If the line has 3 or more people waiting to check in, it seems to go a lot faster than if there were only 1 or 2 people waiting. it's all in what a patient sees. if I'm in line by myself and 2 people are talking on phones and everyone else is talking to each other and I have to stand with back pain for several minutes, that's a concern.</t>
  </si>
  <si>
    <t>The  people I interact with in mental health are always helpful and kind.
I am old school &amp; don't do technology well.  I believe in face to face contact.  I don't know how to check in by phone &amp; don't care to learn things that change constantly.  The stress is not worth the aggravation.  I made my appt 2 days in advance. I had a voice mail and 2 texts B4 the appt. OVER KILL.</t>
  </si>
  <si>
    <t>Overall good experienceâ€¦ check in was fast and courteous as well as checking out and scheduling follow up appointment.</t>
  </si>
  <si>
    <t>Repair the check-in monitors</t>
  </si>
  <si>
    <t>I would prefer to use the kiosk system to check in for appointments instead of going to a service window and checking with a receptionist clerk.</t>
  </si>
  <si>
    <t>Front desk check in lady (caucasian) with red hair was short and rude to the patients and myself.  Im sure they travel long distance to get to this clinic like I did.    The check in person need to have soft human skill for this position.  There should be  2 people at the front desk to check in to make them feel they are not the problem.</t>
  </si>
  <si>
    <t>I have put in for travel several times. I have yet to receive any travel pay. Would be great to get those check in stations. I fill out the forms and that seems to be the end of it.</t>
  </si>
  <si>
    <t>I arrived the recommended time of a half hour before the appointment.  I waited over 2 hours to be called without ANY explanations or reasons for the delay.  When my name was called, it took 5 minutes or LESS to get the C-Scan done!  I left there feeling like I was a criminal or worse.  But I must say that the checkin was quick.</t>
  </si>
  <si>
    <t>It had been 3 months since my last visit and I was surprised and disappointed to find that the computer run check in system was completely gone and replaced by a "Take a number" station like you find in the grocery store.  It was a slow day and the system change made no impact on how long I waited to be called.  I was called right away as usual.  Is this the new changes by the Biden Administration</t>
  </si>
  <si>
    <t>Manually checked in at the desk.  Name and appointment repeated by the person behind the window.  She told me to "have a seat in the large waiting area". I may have erred by not using the electronic check in.  Nurse and doctor were not notified by the desk. Problem would not have occurred if I had used electronic check in.</t>
  </si>
  <si>
    <t>There was a mix up at the check-in window and I was given the labels for my lab tests which are used to call up for the actually blood work. It took more than an hour after I first checked in to get my blood work only after I went to the window and asked if I could come back the next day. The technician was very nice and apologetic for the mistake.</t>
  </si>
  <si>
    <t>I have had nothing but good things from all the people i have dealt with this V.A. They have been very respectful and courteous. From my Primary care doctor down to the people who we check in with. This V.A. is the best.</t>
  </si>
  <si>
    <t>My interaction with the staff at Cumberland VA clinic is always professional, courteous and friendly from check in to check out. Their commitment to providing top quality health care to the veterans that count on them is readily apparent.</t>
  </si>
  <si>
    <t>The Golden VA Clinic has been the best experience I've ever had with another party. Sometimes things can get busy but the response and timelyness of this center is second to none in my mind. The doctors I've seen here are all knowledgeable, care and understanding, I never felt like just a number. Extra shout out to check-in staff and their continued patience trying to under people with masks.</t>
  </si>
  <si>
    <t>Lab tests requiring veterans to perform tests at home and deliver the product back to the VA clinic needs reform. While bringing a 24hr urine sample back to the Naples Lab I had to check-in and wait until a lab tech was finished with all her appointments and "squeeze" me in to give her my container. Why not have the techs label the container before you take it home to complete the test.</t>
  </si>
  <si>
    <t>I think the Kiosk need to be put back ,I am having problems checking in and applying for travel pay . A lot of Vets don't have smart phones to check in and what not.</t>
  </si>
  <si>
    <t>I asked my provider if i could do a virtual visit.  here is the response i received: NP English is no longer doing virtual visits.
Your next Liver NP appt is scheduled for 1/28/23 with 900 check-in time. 
I am disabled and do not drive so even taking the vet transportation, it still presents some difficulties for me to come in. I will go outside the va and find a new provider</t>
  </si>
  <si>
    <t>The Cheyenne pharmacy staff and all other departments have been great. Please promote. Feel relaxed and safe at the Cheyenne VA. The lady in records department,  the guy at the check in window by primary care and cardio and the receptionist staff at xray need a little morale help with their crankiness and professional attitudes, but overall good experience.</t>
  </si>
  <si>
    <t>The schedulers and the check in desk personal are fantastic both downstairs and up stairs in bldg 46 audiology/podiatry
thanks</t>
  </si>
  <si>
    <t>Check in desk was quick and polite.  Doctor visit was clear and informational.  Thank you</t>
  </si>
  <si>
    <t>I had a 9.45 am appointment, and @ 11:30 I had to inquire about what was going onâ€”everyone who check-in after me was called first.  The answer was: we call you and you did not answer. which is a lie I was sitting close to the door ( entrance to lab ) all the time</t>
  </si>
  <si>
    <t>12/14/2022 - 12/27/2022</t>
  </si>
  <si>
    <t>12/14/2022 - 12/20/2022</t>
  </si>
  <si>
    <t>12/21/2022 - 12/27/2022</t>
  </si>
  <si>
    <t>2023-01-16</t>
  </si>
  <si>
    <t>DO AWAY WHIT CHECK IN WHIT SMART PHONE IT DOES NOT WORK</t>
  </si>
  <si>
    <t>Very nice building. fast and easy check-in.</t>
  </si>
  <si>
    <t>The ladies who check in each person needs to be commended for all they go through. One veteran have them a hard time because he didn't follow rules. An appointment is required. His error</t>
  </si>
  <si>
    <t>I was well treated by a professional team from check in desk to doctor' treatment.</t>
  </si>
  <si>
    <t>Coatsville VA Lab is the best. From the check in clerks to the lab techs, everyone is very welcoming and professional. I go to the VA lab several time a month and never had an unpleasant experience. Special thanks to [NAME] at check in and Kelly the lab tech who draws my blood.</t>
  </si>
  <si>
    <t>Everyone from check-in to lab were very friendly and professional.  Thanks!</t>
  </si>
  <si>
    <t>2023-01-15</t>
  </si>
  <si>
    <t>When I arrived to check in, there were three people in line checking in at the same time but only one receptionist!  When things get backed up there should be an additional person to help check patients in.  Thank you.</t>
  </si>
  <si>
    <t>Check in was easy at front desk, getting all the vitals and then talking to doctor was comfortable and easily understood an setting up next appoint.</t>
  </si>
  <si>
    <t>This was my first visit to the VA Medical. I was totally impressed with how polite everyone was.  Including the receptionist at the front desk who greeted me, the check in staff to the Doctor I meet for the first time.   I also noticed the VETâ€™s treated each other with kindness and respect.  I also noticed how clean the medical center was kept. This was a great experience Thank you</t>
  </si>
  <si>
    <t>The check-in ladies, RN, and the NP who I interacted with, were excellent and super nice and respectful.  Thank you all very much!</t>
  </si>
  <si>
    <t>This complaint is about travel.  Ever since you canceled the Kiosks, applying for travel benefits has been a disaster, totally confusing on computer which doesn't always work.   After my procedure at Ortho, we went to travel, no one there to help! 
There was someone trying to tell angry old vet they do not do travel anymore, only on computer. All of them feel let down by your system!</t>
  </si>
  <si>
    <t>I attended the appointment, waited in front of the door were my appointment had been in the past. After 20 minutes noticed no one called me. I went to the Delta desk and asked, I was informed that check in was mandatory prior to seeing the doctor.
I had been at this place to see the same doctor and never checked in before, there is no sign at the door that indicates that I should check in.</t>
  </si>
  <si>
    <t>2023-01-14</t>
  </si>
  <si>
    <t>Add a sign at entry more clearly describing current and preferred check in process(es).
I am never quite certain whether I am to check in online, at a kiosk, at main check in desk, or at appointment location. Has never been a problem, VA staff is always very helpful, and I am very happy with the clinic, but it is still unclear to me the preferred process.</t>
  </si>
  <si>
    <t>Bring back the kiosk to enter claim for reimbursement of travel expenses. They were easier and quicker to use than filling out a paper form VA 10-3542.</t>
  </si>
  <si>
    <t>Bring back the ID card reading kiosk for check-in. The smart phone system is cumbersome and slows the process. 
For eye care , I see a number of...  different specialist for different operations and treatments The appointments from one to another get spread out such that it takes extra long to achieve the goal. An overall coordinator would help.</t>
  </si>
  <si>
    <t>Staff is very friendly...even knew my name when I walked in to check in.</t>
  </si>
  <si>
    <t>When I went to check in for my primary Dr.Jan 10, 2023  I was informed that my appointment was canceled in Nov.2022, but they somehow neglected to contact and notify me!  I had two other appointments that day and everything was good there.</t>
  </si>
  <si>
    <t>The personnel were great.  But, when I entered the grounds, it was not clear where Patient Parking was located.  I believe that I ended up in an employee parking lot.  This probably meant that I was not approaching the main building from the normal Patient Parking location.  I believe that I entered through what might be a freight dock with no clear path to the Audiology check-in office.</t>
  </si>
  <si>
    <t>The staff in audiology and primary care D were extremely expert, helpful, resourceful and patient. Those staff earned A+! The check-in, patient flow and communication with people seated behind desks and multiple windows are very difficult for an elderly veteran with hearing and mobility problems, and restrooms are too small and too far apart.</t>
  </si>
  <si>
    <t>Appointment was made months in advance and I was told to check in 30 minutes before my appointment which I did but I was not seen until an hour after my scheduled appointment. Wait time was excessive.</t>
  </si>
  <si>
    <t>took away the check in,</t>
  </si>
  <si>
    <t>As always, check in was quick, I was seen on time, my doctor was attentive and followed up with all my concerns!</t>
  </si>
  <si>
    <t>The staff at the check in desk do not have a very welcoming attitude</t>
  </si>
  <si>
    <t>Long wait after check in.  Than a long wait to see the doctor.  I am not sure how long the doctor spent with me but it felt like 15 minutes.  He did not go over every thing I had problems with.  He seem to be in a rush and said he had another patient waiting.  After waiting over 6 months I think I could have more time.</t>
  </si>
  <si>
    <t>Bring back the checking kiosks,
Hire doctors that are worthy of treating veterans</t>
  </si>
  <si>
    <t>Very efficient, greeter and staff were respectful of the patient and directed me how to check in to my appt. The place is very well maintained and clean.</t>
  </si>
  <si>
    <t>The kiosk machine to check in were not working. The list of what to do from my provider is not very clear and instructions as to what to do when are not very clear.</t>
  </si>
  <si>
    <t>Dr [NAME] and his team in interventional pain management are always outstanding.  Consistent, professional, and concerned about my needs.  From checkin to checkout I know I will be taken care of in the best way possible.</t>
  </si>
  <si>
    <t>The kiosk should be brought back.</t>
  </si>
  <si>
    <t>Everyone from the greeter to the medical personnel are professional and courteous.
Would like to see the check in counter windows not blocked by computers.</t>
  </si>
  <si>
    <t>Very helpful and friendly staff ! From check in to check out I felt welcome and comfortable. Any questions were answered completely. A very pleasant experience.</t>
  </si>
  <si>
    <t>The front receptionist desk staff could be more professional in the Ocracoke clinic.  They are always gossiping when I check in and I always have to wait until they're finished talking to get checked in (or out). They're loud enough to hear while I have to wait also.</t>
  </si>
  <si>
    <t>Everyone, from check in, to the lab, and urology,  very respectable and understanding. Complete professionals with care for their fellow human beings.
Greenville, you care, thank you.</t>
  </si>
  <si>
    <t>I had 9 appointments in 2022, I filled out the paperwork for travel with each appointment. I still havenâ€™t received a payment. I did it all again on 01/12/23,  please turn the kiosk back on!  Never had a problem using them!!!  662-404-4283</t>
  </si>
  <si>
    <t>Update bathrooms for patients to know where they are. A map to find where the locations are! Better way to do labs. Repair the kiosks system! Especially for travel reimbursement! Cafeteria needs to be expedited for patients that travel to the hospital!</t>
  </si>
  <si>
    <t>With exception of the person at the original check in desk, I was pleasantly pleased and impressed with the hospitality shown to me by everyone there.</t>
  </si>
  <si>
    <t>I tried to drop off my hearing aid as it doesn't work but told I had to wait a few hours after my cardiology appointment for 'open hours' so I still have a hearing aid that doesn't work. I did get a set of instructions for applying for my travel costs, the old kiosks used to work fine, there is not enough signal strength for my I phone to deal with your site so if that issue handled is still open.</t>
  </si>
  <si>
    <t>There is now a QR code check in that I couldnâ€™t do due to having to update information. AND the lab check in kiosk thing has been removed. This all creates a longer line for the check in clerk.</t>
  </si>
  <si>
    <t>After check-in, I waited 35 min. before i was called into the exam room. a little busy but 25 min. past appointment time was a little much.</t>
  </si>
  <si>
    <t>Check in Check out excellent.
Dr. [NAME] is the best! Outstanding communictor in person &amp; on line through the portal.
Stopped off on my way home at Oakwood VA to have labs done.  Great job there as well.</t>
  </si>
  <si>
    <t>Check in and tech support are exceptional! Friendly and considerate, they show true concern for us veterans. The tech that performed my Ultrasound showed great concern to ensure i was comfortable and at ease during the procedure.</t>
  </si>
  <si>
    <t>It was great.  I waited 4-5 mins and went in did MRI.  It took 30 mins from check in to finish.  That was fast.</t>
  </si>
  <si>
    <t>At the MRI waiting area, after main radiology check in, there was no attendant to check in patients for at least 30 minutes.  Iâ€™ve had MRIâ€™s scheduled before and didnâ€™t see an attendant for hours. No update, not one employee to take our names, or paperwork.  Just an empty desk with blank forms.</t>
  </si>
  <si>
    <t>Administrators at the desk will leave you standing there a while before they say can I help you. Please add kiosk in the lobby to eliminate dealing those attitudes.</t>
  </si>
  <si>
    <t>Easy check-in, short wait time and professional service.</t>
  </si>
  <si>
    <t>I spent 1 hour and 29 minutes after I checked in at the pharmacy.  I was going to pick-up my prescription to make it easier and to get it faster.  It wasnâ€™t easier!  
I got through the initial check-in desk and was told that they were filling my prescription now and would put my number on the board when it was ready.
My prescription was a cream!  They didnâ€™t even have to count anything out!!</t>
  </si>
  <si>
    <t>check in staff are especially pleasant and helpful.
Likewise the lab people</t>
  </si>
  <si>
    <t>I went to pick up my prescription from Parma and called before I went to be sure it was ready, and they said it was, just go to the pickup window. When I got there I was told it wasn't ready and would have to take a number at the kiosk, which was jammed. When my number was finally called, 25 minutes later, they found my prescription was ready, as originally was told, and sitting on the shelf ???.</t>
  </si>
  <si>
    <t>The medical staff at Lufkin, Texas were exceptional.  The non medical (clerks) at check in could use a fast course in how to treat people with courtesy.  The Houston VA hospital non medical staff act as though they are doing you a favor by assisting you with sign in and other matters.  I avoid VA health facilities because the non medical staff have turned me against the use.</t>
  </si>
  <si>
    <t>I have been using the Lebanon VA and the Mechanicsburg clinic for years. They are fantastic. From Check in to out processing and everything in 
between. Outstanding and Thank you</t>
  </si>
  <si>
    <t>At check in to get a number should have a sign to take the number first,  I was not sure where to go at first,  Had to ask at the window.</t>
  </si>
  <si>
    <t>The pharmacy was very busy on this day and I had another appointment in a different location, so I walked back up to the check-in window and requested it be mailed. He then checked to see if it was possibly ready  and he he saw that it wasn't started he immediately processed for shipping. Awesome service.</t>
  </si>
  <si>
    <t>The dr was very supportive to my needs.  Check in and setting up my next appointment was done smoothly.</t>
  </si>
  <si>
    <t>Recently when I arrived at VA NOCO for a hearing aid check, there was a very nice man who greeted me. But, when I got to the check-in desk, the woman to whom I spoke was very unfriendly &amp; acting as if she was doing me favor. That is the first time ever that I experienced such a thing. Prior to that, everyone with whom I dealt, at any VA facility, was professional, friendly and eager to help.</t>
  </si>
  <si>
    <t>Personnel were very helpful. My prescriptions were from a non-VA physician, for eyedrops in preparation for an upcoming procedure. I went to kiosk to register and after about 10 minutes my number was called and the clerk said he can ready and told me to take a seat, I asked him if I could go and get my 3rd booster shot and just come back. And as soon as my business within the building was done the</t>
  </si>
  <si>
    <t>Those are the rudest people I have ever met in my life. They have you standing at the window to check in while they are sitting on the other side of the glass looking stupid. They just be sitting there doing nothing, wasting other people time. I don't understand why they are even there. They really serve no purpose. Just wasting government money for no reason. I hate the check in window.</t>
  </si>
  <si>
    <t>2023-01-13</t>
  </si>
  <si>
    <t>I had an appointment in optometry and my experience from checkin to check out was very pleasant and personal. My provider NITSCHKE was also very attentive, informative and reassuring; taking time to make sure I was involved in my care experience and not just a passenger in the seat. The Optician, who helped me with my spectacle selection proved to be helpful and positive as well.</t>
  </si>
  <si>
    <t>I checked in at approximately 12:30 p.m..  My check in information was taken and then I I was told that the hearing department would not open until 1p.m.  A gentleman that checked in just in front of me went back up after 1 and was told that he was not checked in.  I asked him about it, so I went back in line and was also told that I was not checked.  I re-checked in and was told that I might not</t>
  </si>
  <si>
    <t>We visited podiatry.  They have a new iPhone check in that does not tell the humans that we are there.  After waiting 15 minutes a person came out to see if we were there.  They said the new system does not notify the staff that a patient has checked in.  There needs to be an improved method for checking in.</t>
  </si>
  <si>
    <t>While the entire team from check in, lab work and escorts were tremendous, Dr [NAME] was exceptionally superb. 
I was very impressed.</t>
  </si>
  <si>
    <t>Staff did an excellent job from check-in to check-out.  Promptly greeted at check-in very short wait until nurse called me back.. Nurse, assistant and [NAME], a nurse in training, did an excellent job of going over background info and interviewing for current concerns.  Recommended blood work upon completion of visit and scheduled immunizations for next visit in July.  Sched follow up appointment</t>
  </si>
  <si>
    <t>The initial check-in process needs attention. Have someone walk in as a veteran would and see the confusion. Which window? Upstairs? Downstairs? Peer into/over the dark computer areas and you might spot someone. Approach them? Wait behind a vet and 
 assume that's the check-in window? 
I recommend lights over computer desks at a minimum. Signs for check-ins? After check-in things are AWESOME!</t>
  </si>
  <si>
    <t>Walk right in, sign in at kiosk and taken back in all of 5 minutes and out within 10 mintues, great service.</t>
  </si>
  <si>
    <t>Travel pay should be automatic. Once I check in, travel pay should be initiated at that point. Once I finish my appointment, I usually forget to stop by for travel pay.</t>
  </si>
  <si>
    <t>Check in is bad with I phone.Get the travel boxes back.</t>
  </si>
  <si>
    <t>During this visit, I was told during check-in that my appointment has been cancelled because my doctor was not in. They were in the process of notifying me on the day of my appointment. Thankfully, the lady who checked me in, I assume she was Hispanic, apologized and started looking for another doctor to cover done for me. I was able to complete my appointment. I recommend her for pay raise.</t>
  </si>
  <si>
    <t>The parking, reception desk, check in young lady , my provider including the person cleaning the restroom could have been better.</t>
  </si>
  <si>
    <t>Staff at check in are courteous and respectful. Dr. [NAME] is an exceptional Physician concerned about his patients. His Nurse is very competent and professional.</t>
  </si>
  <si>
    <t>A very nice lady greeted me when I arrived and helped me check in.  The nurse that assisted me, [NAME], was helpful and professional.  Dr. [NAME] took the time to listen to my questions.</t>
  </si>
  <si>
    <t>First time visitors (including me) could not use the self check in monitor to check in. Only when some one volunteered to help were we able top check in. Until we get use to new system, the monitor needs a full time helper.</t>
  </si>
  <si>
    <t>WE HAVE THE BEST LADIES AT FRONT DESK CHECK IN LAB TECH NURSES AND DOCTORS YOUR PART OF A FAMILY REASON I STAY WITH THIS CLINIC FAMILY</t>
  </si>
  <si>
    <t>It was not actually clearly detailed that the eye clinic had been moved upstairs. The downstairs &amp; upstairs hanging signs had not been updated for the movement of the clinic; there are small temporary signs on a wall upstairs and at the downstairs check in counter thatâ€™s not currently in use. I have received email updates on Dallas VA updates for construction etal but, never Fort Worth.</t>
  </si>
  <si>
    <t>Check in to the clinic was easy, check in to the lab was easy, good info sheet for further info about how to use the 'Health eVet. I have a message to me but could not figure out how to access it. Someone will call me and help to educate me! Lab Tech drew blood w very little pain...quick and I was on my way.Then appt next week, tho 'on the phone' with new provider that we need to 'see each Thanks.</t>
  </si>
  <si>
    <t>When I arrived to check in @ 1500, the check-in person on window 1, she was chitchatting with another person, she did acknowledge me or the veterans behind me. So we all went in without checking in. I suggest they the PSA, should cut the chitchat and pay attention to their work.</t>
  </si>
  <si>
    <t>Really miss kiosk machines.
They were easy to use and I did not have to do so much walking to get everything  done.</t>
  </si>
  <si>
    <t>My check-in nurse was very polite and professional. My provider was polite and very responsive to my needs.</t>
  </si>
  <si>
    <t>The people at the check in windows aren't very courteous, they have a " I could care less of your condition just sit down and wait for your name to be called."</t>
  </si>
  <si>
    <t>The audio docs are top notch. The check in secretary needs a vacation.</t>
  </si>
  <si>
    <t>The check in process changed that caught most of us off guard. The staff member was accommodating.</t>
  </si>
  <si>
    <t>Check in was easy. Unfortunately, covid vaccines and flu shot were not provided though it was requested. procedures to obtain covid vaccines were not provided during the scheduling of the appointment only after I had arrived and was being seen.</t>
  </si>
  <si>
    <t>Check in was seamless, technician was very professional</t>
  </si>
  <si>
    <t>Ease of check in and overall a good experience of my healthcare appointment.</t>
  </si>
  <si>
    <t>Why can they not leave the check-in alone? I no longer get used to checking in on the computer, they closed it down, and now in typical government fashion wait in line.</t>
  </si>
  <si>
    <t>Time to bring the Self Check-In back.</t>
  </si>
  <si>
    <t>If a vet calls, speaks to the pharmacy to verify 1: the Rx has been written (renewal, not brand new), and 2: the medication is in stock and available for pickup that day then WHY must I still check-in at kiosk, wait 20+minutes to speak with pharmacy tech for 20 SECONDS and then wait close to an hour more to collect the medication? 
I lost over 2 hours, w/detour and parking, because my Dr "goofed"</t>
  </si>
  <si>
    <t>The counter staff at check-in and all of the lab personnel treat me with courtesy and respect at all times.</t>
  </si>
  <si>
    <t>From the moment I arrived at the Pike facility it was an excellent experience. Every staff member I saw spoke and was friendly. Check in was quick and easy. The triage nurse was kind and helpful. The NP I saw was compassionate and clear. This was the best experience I have had at any VA location bar none.</t>
  </si>
  <si>
    <t>[NAME] in audiology is great.  The girl at the audiology check in desk mumbles in her mask and could use some sensitivity training.</t>
  </si>
  <si>
    <t>Easy check in.  Always get in to appointment on time. Friendly and thorough.</t>
  </si>
  <si>
    <t>Quick check in, took me early for my appointment.  All employees very courteous.  Woman tech who drew my blood was great, wish I could remember her name.</t>
  </si>
  <si>
    <t>Check in , take too long.they should give a number , persons have to wait on line until call. Some time over 10 minutes . For ea one. I hace a photo of this concern.</t>
  </si>
  <si>
    <t>I arrived at 1050 for a 1100 blood draw.  Two receptionists at the counter, one with one, the other typing, one sitting in the waiting room.  Seven minutes and typing receptionist asks if she can help and I check into my appointment and take a seat in waiting area.  No one in or out for 25 minutes and I and one other called back to lab for draws. Not another soul seen waiting or anything anywhere.</t>
  </si>
  <si>
    <t>So i had a 0700 lab appointment and a 0800 provider appointment.   Showed up at 0630 as VA recommended for labs, completed labs.  After check in to my provider appointment way early, I'm sitting there in the standby room and I get a call that my provider will not be in today, your appointment is cancelled, go the fuck away.  G thankx, Took off a day of work and 1 hour round trip drive.</t>
  </si>
  <si>
    <t>They are a little slow at check in and check out at 1 c north but otherwise great</t>
  </si>
  <si>
    <t>Check in staff was courteous and friendly. They were helpful and informative as well. The nurse which gave me my second shingles vaccination was polite and informative. He also helped me to schedule a follow on appt with my pcm with concerns for my shoulder.</t>
  </si>
  <si>
    <t>This was an awesome experience! I was greeted with extreme kindness when I walked in. This courtesy and kindness continued at check-in. During my lab work there was nothing but professionalism, compassion, and kindness. Great people rendering excellent care and service throughout my entire visit.</t>
  </si>
  <si>
    <t>Awesome experience appointment day from check-in to check-out</t>
  </si>
  <si>
    <t>It would be nice if there was more workers to get the prescriptions out so there might not be so long of a check in and waiting time.</t>
  </si>
  <si>
    <t>I followed instructions and stood in line to check in, several receptionist were busy talking and paid little attention to those of us in line. After several mins, a lady checked me in and provided a list of my prescription to show the doctor.  I arrived 20 mins before my appointment and after waiting 45 mins I inquired about why I have not been seen. It turns out I was never checked in.</t>
  </si>
  <si>
    <t>The check-in kiosks were down when I came in. I liked the speed of the kiosks. Please put new ones in.</t>
  </si>
  <si>
    <t>I used the text option to check in and received a text back with link to the heAlth survey.  However my check in did not register with the check in desk after several people that arrived after me were called in I went to the desk to verify my text check in I was told they did not know I was there so I wasted 30minutes waiting.  Please fix the app or remove the sign</t>
  </si>
  <si>
    <t>I usually call to arrange the pickup of medicine 3 days ahead &amp; the day before. Check in is easy &amp; lets the pharmacy know I'm there. The VA system is reliable.</t>
  </si>
  <si>
    <t>Beautiful building. This was first visit in this building. Had blood drawn and gave a urine specimen. I could not comment on question â€œtrust location for medical careâ€ as I did not meet with a physician. The check in person and lab technician were pleasant and knowledgeable.</t>
  </si>
  <si>
    <t>I get it the lady at the window gets the same thing all day. And has to yell folks to the check in process.. she does not have to be unfriendly. It's a teachable moment though. Sometimes people are having the worst days of their lives. Maybe something should be in place for VA employees as well. A way for them to center and ground themselves.</t>
  </si>
  <si>
    <t>I had same day â€œsurgeryâ€ at the VA Center.  The checkin and staff were exceptional with the exception of the Doctor!!! Between this Doctor and my Primary Care Physician the VA system is in need of help.  These two Doctors, and I use the term loosely, do not want to care for Patients.  The ER, Mental Health, and most of the speciality care personnel and Physicians are fantastic.</t>
  </si>
  <si>
    <t>I was confused about check in procedure. Upon arrival I texted as instructed. I received a reply telling me that if did not receive additional instructions within 10 minutes of appointment to proceed to clinic. I did. Upon checking in at clinic I was told to just come on in at future appointments. Why give instructions and then be told to ignore them?</t>
  </si>
  <si>
    <t>I check in 10 minutes early for my 830 appointment  and after 30 minutes went  by and 3 other vets went in for lab work I got up and asked the lab technician if I could be next and she said that I was not checked in so she went to the front desk the lady had thought she sent my name to the lab but she didn't follow up .but the lab technician did a plagiarize.</t>
  </si>
  <si>
    <t>my wife was told flat out lies when calling to inquire about my prescriptions. getting rid of the kiosks for check in was a huge mistake and makes navigation within the pharmacy a nightmare. the national call center makes receiving help non existent.</t>
  </si>
  <si>
    <t>All the staff are very professional and helpful. The moment you enter the building and check in they will greet you and direct you laboratory including the room number.</t>
  </si>
  <si>
    <t>Iâ€™m a disabled vet. Itâ€™s difficult for me to walk long distance and to stand for an extended period of time. On 01/12 during my eye appointment I tried to check in at the eye clinic window. The lady at the window was busy talking to another employee who was sitting by her. They ignored me until I told them I was going to sit down until they had time for me. You shouldnâ€™t make us stand for so long.</t>
  </si>
  <si>
    <t>Please go back to the lab kiosk  it was much simpler than standing in lines waiting  on windows</t>
  </si>
  <si>
    <t>The service was prompt and professional.  The virtual check-in was particularly convenient.</t>
  </si>
  <si>
    <t>The idea of wait in line to check in the wait in the same line to get your meds was horribly inefficient...1 more person working a window would certainly help..</t>
  </si>
  <si>
    <t>I was scheduled for an MRI at 9am but never received my medication prior to procedure. Spoke with check-in clerk who recommended we go to pharmacy to check if medication was requested. Unfortunately, we had to wait til pharmacy opened at 8:30am but script recommended. They sent us to medical doctor office recommending MRI but her office didnâ€™t open til 9am. We went back and forth in wheelchair!</t>
  </si>
  <si>
    <t>CHECK IN NURSE WAS EXCEPTIONAL. COURTEOUS, POSITIVE, PROFESSIONAL</t>
  </si>
  <si>
    <t>I was scheduled for a 7:30AM appointment on Tuesday 10 January and even got a card from VA confirming this appointment (card was dated 12/27/22).  When I got to the Kiosk I could not check in.  So I went to the appointment desk where I was told that I was called and left a message that the appointment had been cancelled.  I did not find it in my messages.  Hope they do better next time.</t>
  </si>
  <si>
    <t>Easy check-ins...Short wait times, comfortable waiting areas, pleasant staff. Always have a positive experience.</t>
  </si>
  <si>
    <t>The staff was very helpful in checking me in, your new check in system is the worst. My doctor [NAME] as always makes one feel important, she is very caring, professional, and explains lab results and address concerns one might have.</t>
  </si>
  <si>
    <t>The lady at the front desk when I walked into for a dental appointment was not welcoming and ignored everyone in line. When I told her I was there to check in she said she will call me up when she was ready. She never gave me eye contact and kept typing away at her computer.</t>
  </si>
  <si>
    <t>The staff, Nurses and Doctors are all great. I was check in within 2 minutes and taken back within 10 minutes after I arrived.</t>
  </si>
  <si>
    <t>Check-in was quick and only waited for the Audiologist for a shor time.</t>
  </si>
  <si>
    <t>I wish VA would go back to letting us put our travel info into the kiosk at check in.I still haven't been able to properly get into the portal.</t>
  </si>
  <si>
    <t>2023-01-12</t>
  </si>
  <si>
    <t>I dislike the new check in system.  Not all of us carry smart phones around with us, and it is a real nuisance when checking in to have to go to the desk.  They look at me like I'm some kind of weirdo. What was wrong with using the kiosk?  I never had a problem with those.</t>
  </si>
  <si>
    <t>Arrived for my appointment only to find out that it had been canceled. When I showed the clear to check in the appointment that I had received, the went ahead and made an appointment for a letter time in the day. The went above and beyond for me and I really appreciate all that they did ffor me.</t>
  </si>
  <si>
    <t>Very beautiful and functional facility.  Staff at entrance and check-in could use a few more smiles and maybe a greeting.</t>
  </si>
  <si>
    <t>Compliment:
Check-in and out were easy to do.  The physician and her nurse were very professional and friendly.  The physician was patient with me and I was able to ask a question concerning an issue that wasn't written on the consult referring me to that clinic AND she did a procedure right then, I didn't have to come back at a later time.</t>
  </si>
  <si>
    <t>Kiosks for travel pay needs to be returned as the paper route is slow and time consumming.  This is a big deal to have to go find the travel pay area and then fill out a form after waiting in line to get the form and then trying to find a place to fill it out.  Having to wait to fill out this form is not very customer friendly or timely. No Kiosk for check-ins is okay as you have an online way.</t>
  </si>
  <si>
    <t>Check-in personnel notified the wrong person that I was at the clinic, this resulted in me waiting 20 minutes until I asked and then they notified the correct person.</t>
  </si>
  <si>
    <t>2023-01-11</t>
  </si>
  <si>
    <t>I do not like the change to text check-in</t>
  </si>
  <si>
    <t>Urology check in staff very courteous.  Attending physician   Dr. [NAME]  very communicative and thorough.</t>
  </si>
  <si>
    <t>Facility is new, clean and easy to get to. Receptionist was very helpful in checking me in since I did not bring my cell phone to check in myself. NP [NAME] was very professional and after listening what my issue was, made resonable recommendations to identify and correct issue.</t>
  </si>
  <si>
    <t>Yes, my appt for eye exam. was a thorough exam and outstanding Doctor. All instruction were to turn in my exam at the eye glass section to order my new glasses. But this section is back up for at least 3 hours wait. I decide to stick it out since I am from out of town. i check in at 1140 am and the lady said she was going to lunch for 30 minutes. After waiting for 2.5 hours was seen.</t>
  </si>
  <si>
    <t>My experience at the VA has been fantastic always.  In summation, binning with appointment scheduling, through the check in process, during lab collection, my prescreen with the nurse and finally my primary care appointment every step in the process was exemplary.  Thank you to my entire care team.</t>
  </si>
  <si>
    <t>That day of appointment, line to check in was fully long. There were 3 check in windows. Kiosk one not working properly. Would think more help. Thanks</t>
  </si>
  <si>
    <t>Please discontinue making patients check in at the main entrance. It is a waste of time and resources since check in is required in each clinic.  Furthermore, there is now only one check in station (besides the main desk), which causes further backup.  If a patient needs directions, there is an staffed information desk.</t>
  </si>
  <si>
    <t>1.  You got rid of the kiosk check in, that's fine, but more info and directions on the phone check in would be welcome.
2.   Come on people, let's follow the science...the mask requirement is old, and we all know it's meaningless.
3.  If you can check in with your phone, why can't we check out?   Getting back into line for 20 minutes just to say you're done isn't realistic.</t>
  </si>
  <si>
    <t>The wait time was to long from check in to doing the procedure</t>
  </si>
  <si>
    <t>Do not like the new check in procedure using a phone.</t>
  </si>
  <si>
    <t>The receptionist at the GI checkin could use benefit from additional training to help patients and their drivers feel like they are valued veterans instead of an inconvenience to her.  That woman was very disrespectful and should not be the first person to great the patient.</t>
  </si>
  <si>
    <t>I had a great experience, and the technician and check-in staff were excellent. The PET scan Tech was very considerate of my comfort throughout the process and made me feel reassured. The results were available in less than 48 hours and the check-in staff helped me complete the form for getting a DVD copy of the images sent to my home address. I could not have asked for more. Thanks Lebanon VA.</t>
  </si>
  <si>
    <t>It was my first time at a VA facility.  I am now retired and have medicare and was told I should check in with the VA about possibly getting care when I needed it and have a health check up. 
I was surprised how smoothly all went during my visit.  The Doctor was very helpful.  I have heard war stories but my first visit was excellent. THe entire staff were friendly and guided me on the process</t>
  </si>
  <si>
    <t>Generally, I see lots of improvements in services from previous years, thanks so much!
The woman doing mask checks often speaks too fast to understand what she's asking, like she's bored and doesn't realize people need to understand her. 
I also think a greeting on check-in is lacking in some clinics. I know it can become tedious, but as a patient it can set the tone for an uncomfortable visit.</t>
  </si>
  <si>
    <t>While I was in the waiting area, a team came to do a facility inspection. They wore proper personal protection clothing. But the whole team stayed standing right by the entrance door and check in for 5 minut. First of all,it is too small of a space. Second of all, they were violating the patients checking in HIPPA and courtesy. A patient had to weave through the team to get to the check in window.</t>
  </si>
  <si>
    <t>Was processed efficiently and had some changes to be made,  all completed.  Very timely.  Glad the Kiosk is gone, this method is better.</t>
  </si>
  <si>
    <t>The lady at check in worked hard to find me an appointment. It took several days of follow up. Then she took time to call me to confirm. Very professional and pleasant person.
Dr [NAME] team always treats me as an old friend. They remember me as an individual. I'm always at what they can do, even with the case load they carry.
Well done and thank you.</t>
  </si>
  <si>
    <t>I'm always treated good with respect when I go to my clinic. The ladies at check-in are always so helpful and friendly too. They all do a great job.</t>
  </si>
  <si>
    <t>The Mike Section front desk personnel were very courteous both with the check in and departure processes. 
The Audiologist, Dr [NAME] was fantastic. She was able to explain all the tests I had done in a manner I could easily understand. She also answered all my questions and provided me with detailed information about my hearing. BZ!</t>
  </si>
  <si>
    <t>The Audiology clinic provided excellent, courteous service from check-in to to check-out.</t>
  </si>
  <si>
    <t>As always, a friendly face to welcome you to the Clinic.  A quick check-in with efficient staff
personnel.  I have been blessed with the best team of Nurse and Doctor who are both pleasant and thorough in their interaction with me.  I always feel comfortable with this team
whereas in the past, I was usually quite nervous anticipating a trip to the doctor's office (pre VA Clinic days).</t>
  </si>
  <si>
    <t>The African American lady at the check in desk was rude and hateful and showed no respect. Someone from the main v.a office should tell these v.a workers to treat veterans better.</t>
  </si>
  <si>
    <t>Would rather check in with ID card than wait in line at counter.</t>
  </si>
  <si>
    <t>The check-in personnel at the front desk at the Golden Clinic are very professional and friendly.  Please give [NAME] a pat on the back for doing a great job. Dan always goes out of his way to help all veterans.</t>
  </si>
  <si>
    <t>please have the travel pay kiosk reinstalled...some of us have a hard time reading and hand filling out the form to be faxed in. Thank you</t>
  </si>
  <si>
    <t>Getting checked in has become slow because we must do this in person.  There used to be a Kiosk in the lobby, but it is no longer there.  Could you please put new check-in Kiosk if at all possible.  Was much more efficient and less close human contact.  
Thanks very much, for your consideration</t>
  </si>
  <si>
    <t>Why were the auto-check in kiosk removed, and they are putting cubicles in patients waiting area.
Also, VCS canteen service and workers were terrible....very negative attitude unfriendly</t>
  </si>
  <si>
    <t>From check in at the front desk;  nurse, Doctor and person who scheduled next appointment; all were friendly, courteous and respectful. There was no extended waiting time. I felt they had a genuine concern for my needs. All were professional !!!</t>
  </si>
  <si>
    <t>My visit to the Dallas VA Medical Center was very pleasant. The people were very helpful as always. The information desk directed me to the correct location. The check in was very easy and there was no wait to be seen. 
I was in and out in 30 minutes.</t>
  </si>
  <si>
    <t>Would be ideal if check in/out were not using cellphone while in working area.</t>
  </si>
  <si>
    <t>This was the least amount of time I've had to wait between check-in and my procedure and all the staff were very pleasant and very professional.  Thank you for hiring them.</t>
  </si>
  <si>
    <t>Why did you remove the kiosks?  They were much more "user friendly" than trying to scan for checking in, not a good move on your part.</t>
  </si>
  <si>
    <t>The Ft. Pierce clinic has improved in the last 6 months.  Appointment times are kept more precisely, respect for patients has increased, courtesy of staff has increased.  The retirement of Ms. [NAME] I think has been very positive for the clinic.  Staff seems to try harder.  Clerical staff is courteous and helpful during check in, they were not in previous years.</t>
  </si>
  <si>
    <t>As usual I received the best of care from my visit. Everything was explained to me as I went through my appointment, I was told the results of their testing and scheduled for my next exam. Super pleased with everyone from check in to scheduling for next visit.</t>
  </si>
  <si>
    <t>The staff at the Va Middleburg are always professional but polite and respectful from the front desk at check in to the lab tech. They handle you with awesome care</t>
  </si>
  <si>
    <t>Lab staff and front desk check-in were excellent.</t>
  </si>
  <si>
    <t>This is the fastest emergency room visit I have ever had. The staff continuously handled a full er efficiently and with courtesy. Outstanding service from check in to the nurses to the PA. Thank you.</t>
  </si>
  <si>
    <t>I am always treated well at the Sarasota CBOC. This time I arrived more than 30 mins early for my 0930 appointment but I was allowed to check in using the phone app, and was called shortly after that. Good service.</t>
  </si>
  <si>
    <t>The folks helping out (working) in the Pharmacy area (and indeed throughout the facility), are outstanding!
They are professional, friendly, knowledgeable. I think the wait time is always reasonable, the staff at the check-in window never rushes me, makes sure I get what I need, and know their business! 
The techs at the pick-up window at are quick, professional, and get my scripts correct! Thanks</t>
  </si>
  <si>
    <t>The "front desk check in" personnel and the "dental team" that evaluated my case were all outstanding in every respect. Thank you.</t>
  </si>
  <si>
    <t>Please put the check-in and travel pay kiosks back in the Haden VA in Phoenix, AZ. They were: (1) very convenient, (2) already installed, (3) not that hard to operate. Whoever saw fit to remove them is an idiot.</t>
  </si>
  <si>
    <t>Check in representatives friendly with personable attitude while processing appointments. This makes veterans feel welcome and comfortable with treatment expectancy.
Much improved from annoyed and  frustrated attitude having to process the veteran.</t>
  </si>
  <si>
    <t>Each time I check in for an appointment, I am greeted in a friendly and professional manner. I believe that is in contract to my check-in experiences in the former/old facilities. It's a layman's point of view, but I think the building design, allowing more natural light is giving staffs a better working atmosphere.</t>
  </si>
  <si>
    <t>The staff I worked with at the VAMC was all excellent, from the young ladies at the travel reimbursement desk, the CPC 1 check in desk as well as my nurse, doctor  and pyschologist (Dr. [NAME]).</t>
  </si>
  <si>
    <t>Check in is always provided with care and support.</t>
  </si>
  <si>
    <t>I think that the pharmacy should have people to check in at the pick up window then, if need be, go to the other side. 
Secondly, I think that a number should be assigned when we submit our travel vouchers. The process takes so long, I am not sure that I am getting paid for all of my appointments. I just have to trust the process, ignore the possibility of human error.</t>
  </si>
  <si>
    <t>2023-01-10</t>
  </si>
  <si>
    <t>The entire Dermatology staff was caring and understanding! From check in to the nurses and especially Dr [NAME]!
Outstanding care!</t>
  </si>
  <si>
    <t>I went to check into my appointment at the silver clinic to pick up a cpap.  They had no record of me having an appointment. However, they were able to get me into the training session and assign me a cpap. 
Although this is a concern for not having my appointment documented, Iâ€™m very appreciative to the KC VA for getting me into the cpap training and having a cpap for me.</t>
  </si>
  <si>
    <t>Once I got in the clinic for my appointment I had to wait in line for about 10 - 12 minutes just to get up to the check in area counter before I could then go wait for my appointment.  It was about 15 late as well being in to my appointment. But the technician was very detailed, knowledgeable and helpfulâ€¦no complaints with her. She apologized and said there was a delay caused by previous patient.</t>
  </si>
  <si>
    <t>I have been in another state for 3 years. At least 2 staff members remembered me. It is nice to be remembered. Everyone I delt with, including lab personnel, volunteers , travel pay personnel, appointment check in staff, nursing staff, and my new provider, were exceptionally friendly, professional and knowledgeable. Is this the same VA I left behind 3 years ago?</t>
  </si>
  <si>
    <t>I always have great care and service while visiting for my hearing needs from scheduling my appointments to check in, testing, and setting up new hearing aids. Thank you too everyone evolved in my care.</t>
  </si>
  <si>
    <t>There were not any functioning kiosk to be able to submit for my travel. Second time that I canâ€™t submit my travel.</t>
  </si>
  <si>
    <t>Front desk people in each clinic should check people in. Not have them check in using phone because the older generation donâ€™t know how to. Last few times I visit I saw front desk in same day surgery get irritated at veterans because they had to help them check in. UNACCEPTABLE!!</t>
  </si>
  <si>
    <t>Front desk check in was very professional, knowledgeable and helpful.
Dr. [NAME] answered all my questions and provided me with great medical advice and direction.</t>
  </si>
  <si>
    <t>When patients check in make sure they are entered in system so wait time is not so long</t>
  </si>
  <si>
    <t>Check in needs to be a little faster.</t>
  </si>
  <si>
    <t>I think that the check in and out process could stand some help</t>
  </si>
  <si>
    <t>Good experience, as always. Check in and examination went well.</t>
  </si>
  <si>
    <t>When are they going to get WORKING kiosk, so we can request travel pay? I haven't collected it in over 1.5 years (not unless I drive ALL the way back to the main hospital(and) I don't get paid for that. Or should I say my transportation does not.</t>
  </si>
  <si>
    <t>The old sign in kiosks were far easier than trying to navigate through websites while inside a building and limited to zero cell coverage.</t>
  </si>
  <si>
    <t>This was my first physical medical visit at the hospital. When I arrived, I went to the veteran services building by mistake. I check in with the VA rep at the service desk. I informed him I was there for a medical appointment and he told me to fill out a slip to check in and return it to him. After doing so I was called back where another VA rep informed me I was in the wrong building.</t>
  </si>
  <si>
    <t>This could have been a video visit I still have a test the doctor wanted to have done but not until March 2023 itâ€™s a long way to drive just to check in but I did receive a tetanus shot, but that was not the reason for my visit. I realised  when I left the doctor never even asked about why she ordered a nerve test for me in March and that shouldâ€™ve been the reason for my visit. Thx</t>
  </si>
  <si>
    <t>The team on duty Monday morning at 0900 took terrific care if me from check in to departure. Thank you all.
Of specific note, thank you to Ms. [NAME] for her thorough "eye tech/health/refraction/script" work and to Dr. [NAME] for her thorough explanation of the results. I learned a lot.</t>
  </si>
  <si>
    <t>My appt went well. From scheduling my appointment until I receive the service I needed. The scheduler who called me and the staff who checked me in the ground floor were polite and friendly. The PT who provided me my walker provided my great customer care. He explained all the information in details. However, the check in person inside the OT/PT area had an attitude. He was rude and unprofessional</t>
  </si>
  <si>
    <t>Please put check in screen at entrance when you get off bus. It was hard to find someone to look up appointment. Red clinic staff were aggravated to look up appointment and help desk did not have access to look up appointment location.</t>
  </si>
  <si>
    <t>I have agoraphobia (severe discomfort in loud crowded areas). When I was waiting the staff were extremely loud even yelling to a point on the phone (my assumption is the veteran was hard of hearing). There is a secondary waiting area at this clinic that I wish would have been offered upon check in. I was near walking out when I was called back, by that point my heart rate and blood pressure high</t>
  </si>
  <si>
    <t>My experience was very good. I traveled over 60 miles to get to my appointment and ran into traffic which delayed me a few minutes. The next thing that happened that has never happened, my doctor took the time to personally call me to check on me and as he was calling, I was checking in the front desk. That meant the world to me and the check-in nurse was extremely nice and warm too.</t>
  </si>
  <si>
    <t>From the check in to the checkout everyone was very professional and courteous.</t>
  </si>
  <si>
    <t>More signage at check in areas to understand which check in we need to go to.  Pointing me in the direction is good, but need to add signage.</t>
  </si>
  <si>
    <t>After excellent experience in the eye clinic I went to the Monday morning Blood Lab wherer there was a 20 + line waiting to check in. 
Because of the line , I went to the dermetology  next door to see if anyone cold look at my wound from my Cancer operation to see if there was any infection since the stiches were removed.
Recepionist said "We don't do walk ins" . I asked the other receptionist who</t>
  </si>
  <si>
    <t>The check-in clerks - specifically sitting at window, 3 &amp; 4, are rude and make patients stand there and wait for them to finish their chats with others that have nothing to do with work, as well as wait until they are finished looking at their cell phones. Then to be extremely rude to the veterans and act as though they donâ€™t want to be there.  Itâ€™s a shame.</t>
  </si>
  <si>
    <t>Check-in was fine as I was there 15mins. early. Went in about 20 minutes from arrival time. Checked Blood pressure 3 times and appoint was complete.</t>
  </si>
  <si>
    <t>Everything went very smoothly.  Parking was easy as the lot wasn't overfull, had I needed help, volunteers were there with carts.  Check in went very smoothly.  I updated my Medicare information, had a seat and was seen on time.  This was my first visit with the dermatology team at Viera and everyone was great.  I look forward to seeing them next year for my annual check up.</t>
  </si>
  <si>
    <t>While in the waiting room for my labs to be drawn, I witnessed older veterans walk in and go to the window to inquire about the orders the doctors put in and how to check-in. The worker behind the glass window would continue to respond with the most attitude I have ever seen in a healthcare environment. It was as if the veterans were a burden to her. she must have forgotten these sacrifices.</t>
  </si>
  <si>
    <t>EVERYONE, the greeter, check in ladies(I had 2), Dr [NAME] and her assistant could not have done anything any better.  All are friendly and cared about helping me.  They are GREAT.</t>
  </si>
  <si>
    <t>The staff that took care of my health care concerns were outstanding. From check in at the door to check out in the clinic. Everyone I encountered was courteous, respectful and knew their job. Bravo Zulu to the whole organization form making my visit comfortable and complete.</t>
  </si>
  <si>
    <t>When I arrived, before the lab appointment time, the lady that checked me in made me wait while appointments before mine, were called for their labs. I asked the gentleman who was working with the check in lady, why I was waiting 30 minutes past my appointment time? He said the lady should have checked me in properly. He didnâ€™t hesitate, and took me to the lab room himself.</t>
  </si>
  <si>
    <t>I went to check in to get my medicines and there was 14 people ahead of me. It took a very long time to check in. Once I was checked in the guy (had African accent) was not very friendly and d seemed very bothered by my multiple needs. Then I was called as MR when Iâ€™m a female. Getting meds took forever. Two people were trying to do everything. Not EFFICIENT system at all.</t>
  </si>
  <si>
    <t>People working the front check-in were fast and really helpful. The Tomball Clinic is under construction and this was my first ever visit there. I had no idea where to go. They guided me to the Lab area. The Lab Tech who drew my blood was great. I never even felt the needle. Well done by all.</t>
  </si>
  <si>
    <t>The Rockford VA provides outstanding medical care to me every time I go there. This visit included NP, nurses, pharmacist &amp; X-ray technician. Each person was kind, positive &amp; skilled. However, the front desk check-in gentlemen is always awful. He is unfriendly, doesnâ€™t know how to smile; not a welcoming person for people that donâ€™t feel well. Heâ€™s a robot &amp; heâ€™s always wearing costume hats.</t>
  </si>
  <si>
    <t>When there is a long line of veterans waiting in line for their prescriptions to be filled, there should be more than only one window open.  It seemed that when a second window opened, the first one would close.  In my opinion, it takes way too long get a prescription filled in person.  A veteran has to stand in the long line to check in, and then again to pick up the prescription when itâ€™s filled</t>
  </si>
  <si>
    <t>The receptionist at the Blood Draw clinic needs to be more patient with people trying to provide their information to check in. I was attempting to spell my name to verify myself, and she cut me off, but then needed to confirm it a moment later. I understand most people that utilize the services there are elderly and hard of hearing, and wearing masks was far more difficult.</t>
  </si>
  <si>
    <t>Recommend that when using personnel in different departments be logged in to the correct departments. While my sonogram was completed, I sat for about an hour after check in with a full bladder; member checked me in but info didnâ€™t go to technician. Not sure if the tech was flustered by this or not but the sonogram must be repeated.</t>
  </si>
  <si>
    <t>The removal of kiosk for check  in for appointment and to request for travel pay this system worked fine. Know we have to wait in line to check in for appointment.and go on our computer when get home and spend a hour or so and hope it went thru.</t>
  </si>
  <si>
    <t>WiFi signal would be great:  To check in for apt, ability to stay connected to someone via text or even call if really needed, or to keep ourselves occupied while waiting. If distractions are a concern, use the alert systems like restaurants do for when tables are ready.</t>
  </si>
  <si>
    <t>The check in staff is awesome</t>
  </si>
  <si>
    <t>Staff at Palatka VA Clinic are the best. From the security guard, check in staff, and all medical staff</t>
  </si>
  <si>
    <t>Check in was fast and easy. Waiting time was short. Was greeted and received exceptional concern and care from nutritionalist. Was given lots of helpful information.</t>
  </si>
  <si>
    <t>When I showed up for my appointment the receptionist was no where to be found.  I kept going back and forth between the two windows.  Finally, I had to stretch around the window to find the receptionist sitting in the middle between the two windows.  How about sitting in front of the window so patients can see you when they check in.  Very unprofessional!</t>
  </si>
  <si>
    <t>Kiosk check in is now closed down. We are required to check in at a window. The automated call for patients and their number is also not used. Medical staff now holler out names. Itâ€™s a shame that new innovative improvements are not implemented.</t>
  </si>
  <si>
    <t>2023-01-09</t>
  </si>
  <si>
    <t>The woman at the check in for physical therapy could be more friendly. She was grumpy and not professional. Unlike the men who are usually there are smiling and pleasant.</t>
  </si>
  <si>
    <t>Go back to the previous check in system, the new one is a PITA.</t>
  </si>
  <si>
    <t>Walking into the clinic I had to wait a while to get checked in. I was standing in the view of the personnel at the check in counter. There was no greeting No communication. After waiting about five minutes that same personnel called me up to check me in. I arrived to my appointment on time and didnâ€™t get my name called until almost 40 min later only because an employee stopped and ask what I need</t>
  </si>
  <si>
    <t>Appointment at Audiology Clinic.  I was seen right away after check-in.  Exam very thorough and addressed all my concerns.   Provider summary and discussion of treatment/mitigation options was very good.  I left with confidence that all my hearing care needs were covered.  This positive result has been the same with all the StC VA Clinics I have visited.</t>
  </si>
  <si>
    <t>2023-01-08</t>
  </si>
  <si>
    <t>Upon arrival for my 7 AM Lab Appointment, I registered at the kiosk at approximately 6:55 AM.  The kiosk did have a paper on it that it asked folks to not sign in to 7 AM.  The laboratory specialist told me that this had something to do with service metrics.  I believe that the patient should be able to sign in upon arrival.</t>
  </si>
  <si>
    <t>it was quick sign in and absolutely pleasurable visit to the va.they treat you with the most respect from check in to check out.</t>
  </si>
  <si>
    <t>You did have the kosh check in. Why did you stop using it??
 After I learned how to use it the kosh seems ok to me.
The travel pay request is easier to request with kosh.</t>
  </si>
  <si>
    <t>For the 5th consecutive appointment, I have been asked to check in 30 minutes early and then do not have any contact with VA personnel for at least 30 minutes after my scheduled appointment time unless I initiate it.  When I ask, in the nicest way possible, when can I expect the appointment to begin, the response is not satisfactory.  Not everyone can spend 4 hours per appointment at the VA.</t>
  </si>
  <si>
    <t>The appointment was filled with question. I ended up in the wrong clinic due to a lack of direction. The text appointment statement was no help. The kiosk did not have any directions to the appointment. Ended up sitting in the wrong clinic for better than an hour due to the fact that there is no receptionist in the particular clinic.</t>
  </si>
  <si>
    <t>Not only can you not get a hold of people in several departments like PT after weeks of trying when you finally do and they call you back and you're unavailable you can't get a hold of them again. Absolutely unacceptable! 
Then throw in your travel reimbursement program which is nothing but a fight since the kiosks been taken out and I have community care appointments and I can't get paid</t>
  </si>
  <si>
    <t>2023-01-07</t>
  </si>
  <si>
    <t>[NAME] (first visit) and the other technicians (Jan . 4th) did an exemplary job. Their communication skills are very good. 
Iâ€™d rather not check in on the ground floor with acerbic, bored little minions who scrawl directions on little signs, rather than greeting you politely and professionally.</t>
  </si>
  <si>
    <t>Everyone was very helpful and respectful from the ladies at the door to check in to the nurses and doctors.  they listened to my problem!</t>
  </si>
  <si>
    <t>I waited 40 minutes to get called into the exam room because the letter sent prior told me to check in for a 10:30 appointment at 10:00.  It seems those letters could be written to provide less wait time.  Actually, it was an excellent appointment with a superior doctor so I suppose the wait was worth it. Thanks.</t>
  </si>
  <si>
    <t>The VA is making doing the simple things like travel pay and checking in by taking away the kiosk and having to us our cell phones. Not everybody is comfortable using a cell phone for what your asking. What I see going on here is if it ain't broke fix it, it is making it harder instead of easier. Remember the best thing you can do is just to keep it simple, please. Thank you.</t>
  </si>
  <si>
    <t>From the front office staff who I checkin with, to the nurse, to the Doctor it has always been the most professional experience I've had visiting any medical office. Anywhere.</t>
  </si>
  <si>
    <t>Before my appointment, I used the pre-check in procedure in the text message I received from the VA. When I arrived for my appointment 15 minutes early, I went and sat down in the waiting room, as I thought I had checked in. I waited 15 minutes before walking up to the desk and asking if I needed to check in with them prior to my appointment. I was told yes, yet there were no signs telling me to.</t>
  </si>
  <si>
    <t>The Viera Clinic, Viera, is the clinic I use.  Everyone, from the volunteers when entering, the personnel at the Mercury desk where I check in, my nurse &amp; Dr [NAME] are the best!  This  last  visit, Dr [NAME] was not there &amp; I saw a different Doctor.  I was little nervous but the person at his check in was very kind &amp; helpful.  Always have had a good experience at this Clinic.</t>
  </si>
  <si>
    <t>Typical early morning appointment at the clinic.  Arrived 10 minutes early to check in for appointment but no one was there to check in with.  Several were waiting in front of a dark desk waiting. If you schedule early appointments have someone at check in before the start of scheduled appointments, it would save some valuable time for all.</t>
  </si>
  <si>
    <t>Upon trying to check in, the receptionist was extremely rude and condescending.  SHe claimed that my appt. was 2 hours later than it was scheduled for and quickly told me to move aside so she can help the next person and asked the next person to come up while I was still standing in front of the window with my docs. Extremely unprofessional. I would recommend re-training or letting go.</t>
  </si>
  <si>
    <t>Everyone was very helpful from the time you walked through the door until you left.  The clerks at check in was fast and gave good information and directions. My  Doctor was thorough and listened to every concern I had. The attending nurse was caring and professional. Great facility and staff.</t>
  </si>
  <si>
    <t>The check-in personnel are such a pleasure to work with.  They are professional, respectful and very pleasant.  Thank you to them.</t>
  </si>
  <si>
    <t>Please check to see if there is anyone waiting for service.  I was the only one in the waiting room, yet had to go to the VA desk person to let her know I was there.  It is especially aggravating to hear "oh, I didn't know anyone was here" since we have to take a number, which in itself is so dehumanizing.  There should be a check-in by name.</t>
  </si>
  <si>
    <t>automated check in with va id card for people who dont often do it or with memory issues can be confusing</t>
  </si>
  <si>
    <t>For new patients, such as myself, the check-in procedure should be clearer. Thank you.</t>
  </si>
  <si>
    <t>Allow veterans to once again use kiosk to file travel. The online thing is confusing and honestly not sure if ever got paid for ones files there</t>
  </si>
  <si>
    <t>NOTE: This survey addresses my recent visit to the new NOCO VA Clinic  Pharmacy on (1/5/23). This is a incredible facility, well thought out and organized to be efficient and responsive to our needs. The staff is very professional and caring. Spent reasonable time getting my meds and left very impressed with this whole operation... from check-in to departure. BRAVO and thank you. GWE</t>
  </si>
  <si>
    <t>Get the kiosks working again.  I can't believe that we are back to submitting paper travel vouchers!</t>
  </si>
  <si>
    <t>I went to the dental department to have a broken tooth looked at. I drove 1 hour to get here after I was told two days prior by the same desk assistant that I could get a dentist to look at my tooth. After I filled out the check in paper I was told I could not get a dentist to look at my broken tooth unless I was 60% disabled.  This should be changed I would like to use the VA for all my medical.</t>
  </si>
  <si>
    <t>All employees who I encountered at the hospital were courteous and friendly. I was greeted at the door and the receptionists at the check-in desk are very friendly and helpful. The imaging technician was also very friendly and helpful.</t>
  </si>
  <si>
    <t>Taking the kiosks away was a major mistake as they saved time from the staff to the Veteran. Filling out an expense form each and every time just does not make any sense in this day and age. We had a saying when I was employed "work smarter not harder"</t>
  </si>
  <si>
    <t>Check in was quick and a very short wait time to see the nurse. Nurse (NAME) was very thorough and polite, very nice personality. Short wait to see Dr [NAME]. She also was very thorough and polite. Answered questions and asked if I had any questions or concerns throughout the visit. Not having to walk all over the building was great. All in all, a very satisfactory visit.</t>
  </si>
  <si>
    <t>I get text all week reminding me about appt. I Get there 46 min. Early to early to check in. Then at 10:15 they call my name and tell me they can't find the vaccine unfriging believable</t>
  </si>
  <si>
    <t>I waited 1.5 hrs for my medication after waiting that long, I went to the check in window and asked about my medication. He informed me they haven't even started processing my medication. He said they will get started soon. It took another 30 minutes before getting my medication from the window. Most of the other Veterans complained in the waiting area about it taking 1 to 2 hrs on medication.</t>
  </si>
  <si>
    <t>Staff at Saturn check in should be rotated throughout the clinics they become complacent
when serving too long at one Workplace/Station</t>
  </si>
  <si>
    <t>Parking attendants, pharmacy check in, and pharmacy dispensary were all helpful and respectful.  Thank you all.</t>
  </si>
  <si>
    <t>The people at the various check in desk are very helpful</t>
  </si>
  <si>
    <t>2023-01-06</t>
  </si>
  <si>
    <t>Iâ€™m not very happy with the receptionist. As the veteran walks up to the window as I did, the receptionist doesnâ€™t even acknowledge your presence and after we made it known that we needed help to check in you get the look. The look is as if you are an inconvenience to them. Then they say Iâ€™ll be with you in a minute. Very unprofessional.</t>
  </si>
  <si>
    <t>The reminder mailing that I received had me check in to the wrong location. Had I not been suspicious of that and investigated on my own I would have had my needed visit with the provider. She took the mailer from me so she could investigate what had happened. My appointment was completed. Thank you as always</t>
  </si>
  <si>
    <t>The people at the check in were not as friendly as I have experienced in the past.</t>
  </si>
  <si>
    <t>I for my self I cheaked easily. BUT elderly and disabled Veteran's have to wait in line . The QR code dosen't work .. The kiosk dosen't  work either. It us an injustice for are Senior and disabled Veteran's to bet waiting in line for prolonged period of time...</t>
  </si>
  <si>
    <t>All the health care providers were exceptional, both in their jobs and their personalities. The one exception was the receptionist at the check in desk. She ignored me for as long as she could then helped me reluctantly. Same on the way out when I was supposed to give her a preference for my next appointment. She was so non helpful that I left and decided I would just call the appointment number</t>
  </si>
  <si>
    <t>In reference to the above question asking about respect. The young man at the check in desk was totally disrespectful. he never looked at me. His body language showed that I was nothing more than an annoyance.</t>
  </si>
  <si>
    <t>Dr. [NAME] is outstanding! An asset to the VA !! This is the second time my appointment has been with him and I hope to continue. He is professional and at the same time personable.
The people that do the check in and make future appointments are excellent.
The follow up from the dept is also excellent!!</t>
  </si>
  <si>
    <t>I do not like the new check in using phones and scanning QR codes. I donâ€™t think itâ€™s right requiring smart phones to check in. The old kiosks worked perfect. All you needed was your Va card.</t>
  </si>
  <si>
    <t>The check in process was quick and easy. The nursing staff was very friendly and open to conversation without predisposed prejudice.  Dr [NAME] was very welcoming and frank in his discussion about my health and accommodating in addressing concerns.  In the two years I have been treated by the Guam CBOC this is the first time I have been able to see a primary care provider face to face.</t>
  </si>
  <si>
    <t>Very timely service and check-in for my audiology appointment. Very welcoming staff and knowledgeable audiologists</t>
  </si>
  <si>
    <t>After getting past the check in desk and 45 min wait to be seen  , all was perfect. The doctor needs more assistants.</t>
  </si>
  <si>
    <t>First of all the call time to try and make an appointment or just to talk to someone is ridiculous. I tried for 3 weeks and finally made it threw to schedule an appointment. Only to find out on the day of the appointment I was not scheduled and the new guy at the check in desk was unprofessional and rude.</t>
  </si>
  <si>
    <t>Annie was amazing and took such good care of me! She made sure that I saw the right doctor, got all of the follow on care and next steps scheduled and she and the girl at the check in desk made sure I got my x-rays in a timely manner. I have never felt like I mattered as much at the VA as they made me feel yesterday.  Thank you!</t>
  </si>
  <si>
    <t>The self check in didn't check me in and waited over a hour to be seen.</t>
  </si>
  <si>
    <t>Check in time 0705 (15 prior). Nobody available but a very nice lady took cate of my check in from a back computer. Thank you for going out of your way for this effort. Sorry I did not catch your name.</t>
  </si>
  <si>
    <t>Appointment time 8:15 am. Arrival time 7:30 am.  First person to check in.  Number 300 assigned.  First number called 301. Second number called as no request for lab for me had been issued.  Number of reminder of appoiment; 2 letters, 5 emails, and several robo calls.  Someone did call someone and my number was called a short time later.</t>
  </si>
  <si>
    <t>What happened to the check in Kiosk stands?</t>
  </si>
  <si>
    <t>I have gotten my prescription there a number of times, and always had to check in at the pharmacy and wait for my name to be called. Since I called this one in, apparently I was just supposed to go straight to the pickup counter. But no one told me this, so I checked in as normal, and waited for almost 2 hours before I went back up and found out it was ready the whole time.</t>
  </si>
  <si>
    <t>Check in portal was out of service, as was the check in kiosks</t>
  </si>
  <si>
    <t>THE WOMAN WHO WAS AT THE CHECKIN DESK WAS VERY, VERY PLESANT AND A GREAT SURPRISE TO ME.  SHE WAS GREAT!!!!!</t>
  </si>
  <si>
    <t>Why were the Kiosks removed?</t>
  </si>
  <si>
    <t>The eye clinic now in the new Stonegate location gave their usual superior treatment. The staff from checkin to checkout were great. Dr [NAME] was superb. [NAME]</t>
  </si>
  <si>
    <t>On my most recent appointment, I apparently did not go to the correct pod to check in. The asshole behind the glass loudly pointed out that I wasn't at the right pod and ask me if I see the sign on the glass, which I hadn't until that point. I guess he was to busy painting his finger nails to point me in the right direction. Everything else regarding my appointment was very professional. God bless</t>
  </si>
  <si>
    <t>While in Lyons pharamcy I observed at least 10 people check in with the pharmacist in nearly 15 minutes time. We stacked up and piled into and around the waiting room while the screen filled up with prescriptions ready. I alone waited 15 minutes after my prescription was ready for the person bullshittin outside the pharmacy entirely. Nobody was at the window to help us. very disrespectful.</t>
  </si>
  <si>
    <t>My concern is every time I go in â€¦there is always changes with checking in.  We get use to one way and in no time they change the procedure again.  Also to claim travel pay ; the procedure always change .  Most people liked the kiosk with checking in and travel pay.  I highly recommend getting the kiosks back.   Thank you.</t>
  </si>
  <si>
    <t>[NAME] and [NAME] were great, friendly, and very professional, as were the two women at the Radiology checkin desk.</t>
  </si>
  <si>
    <t>Not a big fan of the kiosks.  They appear to fail often and have to be reset.</t>
  </si>
  <si>
    <t>This is not a concern. I had a wonderful appointment. From the front gate, check-in, prep nurse, and Dr, I had a very pleasant experience. Thanks. I've been using the VA since 1996. I really appreciate having the Orlando in my group.</t>
  </si>
  <si>
    <t>The only thing that took time was check in. Some of the new machines didn't work. The lines of veterans was long. Some of us had trouble putting the card in correctly</t>
  </si>
  <si>
    <t>When I entered Hinesville clinic, I went to a kiosk, and put my ID in the slot, It acknowledged my appointment and I sat and waited to be called. A nurse came, called my name, we went into her office, she advised me that I didn't have an appointment, she said I was a walk-in, I showed her my receipt from the kiosk, I told her I received two emails, and a phone call the day prior to my appointment</t>
  </si>
  <si>
    <t>The system is redundant and wasteful of patients time. At the digital check-in it should ask which meds you want filled and then the two pharmacy techs that where asking this question, could be filling the scripts instead. Shortening the wait time and a better overall experience.</t>
  </si>
  <si>
    <t>From check in to X-ray to the doctors exam. Everything was superb, courteous and professional.</t>
  </si>
  <si>
    <t>The services received at South Charlotte VA are great! From start to finish with the check in, the attention to getting checked in, being treated by the skilled professional staff members doctors and nurses and all are great! Thank you for providing excellent services from start to finish!</t>
  </si>
  <si>
    <t>2023-01-05</t>
  </si>
  <si>
    <t>The fact I have to check in for my appointment with my phone, when there are 2 employees sitting at a desk 6 feet away, is horseshit. Also, the older lady who works at the Casper Clinic isnâ€™t a nice lady at all. If she doesnâ€™t like dealing with Veterans, then she should find another job. I get tired of dealing with her â€œIâ€™m annoyed by youâ€ attitude she projects.</t>
  </si>
  <si>
    <t>I just do not like checking in on my mobile  phone because your system has some problems connecting me on my last visit .  I  was waiting 20 minutes over my visit time and had to check in at the desk. Nobody knew I was there , but my phone stated I checked in and your system didn't.</t>
  </si>
  <si>
    <t>The ladies working at the check in desk are very courteous. Easier than using the kiosk.</t>
  </si>
  <si>
    <t>Check-in went well and waiting area is clean. I was seen on time.
Interaction I receive from staff and volunteers is cordial and feels genuine.</t>
  </si>
  <si>
    <t>2023-01-04</t>
  </si>
  <si>
    <t>The check in process of scanning a q code doesn't work and the ability to apply for travel reimbursement is back to archaic.  Why the kiosks were removed is certainly not a positive move.</t>
  </si>
  <si>
    <t>At the reception area, a personnel takes time before check in patients.</t>
  </si>
  <si>
    <t>The only thing that seems to be confusing the people I interact with (Vets) at the VA is the seemingly endless changes to the check in procedures. We have gone from check in at the receptionist desk, to kiosk, to smart phone check in and now seemingly back to check in at the receptionist desk. Folks I have talked to donâ€™t seem to care which system we use, just settle on one and leave it alone.</t>
  </si>
  <si>
    <t>On  December 30th  I was again ignored by the young girl at the check-in counter. She neither asked me to step up or asked whether she could help me. I went to the other counter where the young man  took  me right away. From my life experience I believe this person has an attitude problem, is poorly trained, is ignorant of her duties or hates her job. Once is OK, twice means there is a pr0blem.</t>
  </si>
  <si>
    <t>The VA, and all the employees, have provided me with excellent health care services. From the cafeteria employees, to the physicians, office and pharmacy staff, they have all provide me with superior care. I am a priority to all of them and my health care experience has, and continues to be exceptional. Itâ€™s even easy/convenient for this old guy to check in for appointments. Steve Pierce</t>
  </si>
  <si>
    <t>I had sutures removed from an earlier accident out of town. The staff from emergency room check in and the nurses plus the Doctor and Technician who removed the sutures were fantastic. I was in and out in less than 40 minutes.
The pharmacy order was ready for pick up right after discharge.
All my experiences at the James A. Haley for over thirty years have been great.</t>
  </si>
  <si>
    <t>Why did you take away the kiosks to easily check in and submit travel claims following the appointment?  Now I have to go home or to another computer and struggle through a lengthy process to access some travel website that DOESN'T WORK!!  When you make things more difficult, people will not use it.  Was that part of your plan? To save money? How about a fast, easy link through MyHealtheVet?</t>
  </si>
  <si>
    <t>The new travel payment system is unreliable- I liked the kiosks much better - using those I could check in for my appointment and request reimbursement at once and just be done with it. The new website has frequent outages, and while I've navigated it enough to work it, it's not at all intuitive</t>
  </si>
  <si>
    <t>When I entered the emergency room there wasn't anyone at the check in desk for over 15 minutes, there was a line of veterans needing assistance and I had to go find someone to get help</t>
  </si>
  <si>
    <t>Every staff person was respectful and helpful. It was a great visit from the check-in process to the check-out.</t>
  </si>
  <si>
    <t>At Plantation street we can do the travel pay at the kiosk â€¦..very easy for an old vetâ€¦..in Brockton itâ€™s awfulâ€¦â€¦absolutely awfulâ€¦â€¦great job plantation street</t>
  </si>
  <si>
    <t>THE CHECK IN AGENT AND THE TECH WERE VERY POLITE AND THOROUGH</t>
  </si>
  <si>
    <t>This was my first experience at a VA hospital. For my check in until my discharge, I received the most professional and respectable care. The doctors, the nurses, and the clerks were outstanding.</t>
  </si>
  <si>
    <t>The provider be sent an alert when I check into virtual visits my mental health provider always seems to miss my appointment.</t>
  </si>
  <si>
    <t>The receptionist at the desk was very helpful.  He walked me through the new check in procedures and did not mind when I said I did not understand and then walked me through again.
Thanks for not making me feel foolish. Technology is not my thing. Thanks again.
BTW, I love the Bozeman VA. Best VA medical care I have ever had.</t>
  </si>
  <si>
    <t>2023-01-03</t>
  </si>
  <si>
    <t>When we check in to our appointment that should trigger our travel mileage request.  It takes one step out of the equation.  Over half of my 73 VA Brothers do not understand or no how to use the current system.  Even the kiosk was so much easier than this current method. Rethink  this soonest!</t>
  </si>
  <si>
    <t>I have always checked in to my appointment at the kiosk.  When I tried to at my last visit I was unable to because of your new procedure requiring a smart phone to scan or text. If this stays in place I will be bothering the receptionist  to check in. While I was waiting to be seen everyone I saw come in did the same thing.</t>
  </si>
  <si>
    <t>From check in to check out everyone was professional, knowledgeable and a pleasure to deal with.</t>
  </si>
  <si>
    <t>I find it troubling that I can no longer submit my travel claim with the kiosk. I donâ€™t have the required app to submit my travel claim and donâ€™t have the means.</t>
  </si>
  <si>
    <t>My visit was great, Dr. [NAME] took the time to explain fully my condition and the best way to treat.The nurse was very nice and the lab technician was also. My checkout was as fast as my check in. Excellent service in a very clean clinic.</t>
  </si>
  <si>
    <t>The kiosks to sign in for appointments, request for travel reimbursement, update information, etc. have been inoperable for months. Veterans entitled to travel reimbursement ste therefore required to manually fill and mail paperwork.</t>
  </si>
  <si>
    <t>One of the best experiences Iâ€™ve ever had with VA. X-ray, MRI and the check-in teams were all amazing!</t>
  </si>
  <si>
    <t>From the screener at the entrance, to the folks at check in and my provider, I was thoroughly impressed with how kind everybody was.  To be honest, I was kinda worried about that based on what the idiots in the media say.  Very pleased with all VA services I have received to date.</t>
  </si>
  <si>
    <t>I had no problem with check-in or any of the prescribed tests. Everything was  handled very professionally.</t>
  </si>
  <si>
    <t>I can not imagine a finer group of personnel at a VA medical center.  Any and all concerns whether at the initial greeting, service desk or medical providers has always been addressed with the greatest amount of consideration, respect and concern.
Would like to see the return of the kiosks as I believe it would make the front desk personnel's job not only easier, but more efficient.</t>
  </si>
  <si>
    <t>Everything was perfect waited 2 minutes to check in waited 3 minutes to see a nurse waited 5 minutes to see another nurse waited 2 minutes for e-ray waited 20 minutes to see a doctor walked to pharmacy picked my prescription. It doesnâ€™t get any betterâ€¦</t>
  </si>
  <si>
    <t>Mammography Clinic was clean, check in was easy.  Professional Staff.  The wait time from check in until I was called was not long.  The Technician was friendly, knowledgeable, and respectful.  It tool longer to drive to the VA than the exam.</t>
  </si>
  <si>
    <t>The VA (from my primary care, dermotalogist, pharmacy, and even flabotomy) have provided me with better care than I use to receive outside the VA-everytime. The only thing frustrating about the VA is usually the rude clerks at check in and trying to get someone on the phone. I am very pleased with the VA and appreciate the care I receive.</t>
  </si>
  <si>
    <t>Please fix the check-in kiosk machines. It's pretty aggravating when they don't work.</t>
  </si>
  <si>
    <t>They were supposed to schedule an appointment for labs for today and my jan 9 appointment, but never did today's. Front desk had to put it in and the Dr had to do the order which slightly delayed my time. Why are there no self service kiosks at this facility either? This is my first experience here and not off to a great start. Also are you looking at putting in free wifi like other VA facilities</t>
  </si>
  <si>
    <t>I am hearing impaired, with profound hearing loss.  I have a serious problem understanding anything near the audiology or lab check-in areas because of the very high level of noise due to the very poor acoustic characteristics in the lobby area.</t>
  </si>
  <si>
    <t>My only true concern is Travel Pay. Fill out paperwork, never receive it. This started occurring after the Kiosks were removed. Lady at travel, no words to describe her attitude, just awful. Very short when speaking to patients. I personally know numerous Veterans who never received their travel pay. After you wait to see if it shows up, if youâ€™re beyond the 30 days, youâ€™re out of luck.</t>
  </si>
  <si>
    <t>2023-01-01</t>
  </si>
  <si>
    <t>My experience was very good, from check in to talking with my provider, Dr. [NAME], I love the Red clinic at Hunter Holmes mcguire hospital Richmond Virginia.</t>
  </si>
  <si>
    <t>Staff art the check in desk , (1A) were absolutely AWESOME.  One of the clerks( I think her name was [NAME]) was especially helpful.</t>
  </si>
  <si>
    <t>The gentleman that helped me at the Pharmacy checkin was very helpful and answered my questions helped me take care of my refills, and a concern I had with one of my prescriptions. I greatly appreciated that. He didnâ€™t make feel embarrassed or belittled at all. Kudos to him.</t>
  </si>
  <si>
    <t>Excellent care is what I receive from VA Salisbury. PA [NAME] was enthusiastic, helpful, caring and thorough. I am very pleased with my care. The only suggestion is to remove the stanchion barriers at Ortho check-in. For older patients this setup creates issues for communicating with staff. There are other barriers in use to help staff feel more protected.</t>
  </si>
  <si>
    <t>2022-12-31</t>
  </si>
  <si>
    <t>From check-in, to the nurse taking my pre-visit 'vitals', to the lab person drawing blood, all were pleasant and respectful.
My physician, Dr. [NAME], always makes my visits relaxed, pleasant, and informative.
Thank you....</t>
  </si>
  <si>
    <t>The check in process was extremely hard. I could not navigate the phone check in after 15 minutes of trying. The kiosks were so easy and I could file for my mileage at the same time. Now I have to stand in line to check in and out and fill out a paper form for mileage reimbursement. This whole process is a step back to the dark ages My dental hygienist Belinda is always superb!!! Check in/out ðŸ‘ŽðŸ»</t>
  </si>
  <si>
    <t>There are  glitches in your appointment check in system.  I checked in, the front desk acknowledged me and said I was checked in, but the lab never got notified, and I waited for nearly 30 minutes and there were no other lab patients waiting.</t>
  </si>
  <si>
    <t>The appointment was helpful, I was in and out. I do NOT like the New checkin process. One cannot see all the windows from any vantage point. No system in place to direct patients to one window or another. Even the old school pull a number is better.</t>
  </si>
  <si>
    <t>Since the automated computer units are no longer available it is Very easy to forget all about submitting for our Travel time and reimbursement.  Suggest there should be something that auto generates after we check in at the clinic or hospital for our Travel reimbursement.  Since there is NO Machine we can use to complete the process ourselves.</t>
  </si>
  <si>
    <t>Much easier to do the exam requirements since many previous requirements have been eliminated such as phone contact after arrival at the Center are not required since many vets are not phone savvy. Now you can just go to check in and all is under Team supervisors to get you prepped for the exam team.</t>
  </si>
  <si>
    <t>My pcp is very through and polite. Her assistant is also. As a team they work to see that I get the diagnosis and care I need as soon as possible.I am very grateful to them. 
The clinic is  very clean and efficient with a welcoming atmosphere and capable, polite  assistants at the check in counter.</t>
  </si>
  <si>
    <t>2022-12-30</t>
  </si>
  <si>
    <t>There is no kiosk to check in.?!  The staff just lets you stand there like an idiot and never asks you to come forward.  Theyâ€™re more interested in just gabbing with each other then hosting or respecting patients that are there for an appointment!  New location but same terrible VA services!!</t>
  </si>
  <si>
    <t>Ever since the removal of the check in kiosks, the wait time to check in has increased dramatically. What used to take a minute or two, now requires vets to wait in line to check in to appointments. This is often a 5-15 minute wait - just to check in. Please restore the kiosks for faster check ins.</t>
  </si>
  <si>
    <t>The people who work the check in window could use some training on communication and learning how to be a little more welcoming. Not a big issue. Everyone else in this clinic that I have dealt with is way above the check-in staff in reference to these items mentioned.</t>
  </si>
  <si>
    <t>Thank you for providing Health care services to Vets. It is beneficial to arrive at least 20 min prior to appt time (during peak hours from 10 am - 1 am) or try and schedule outside those times. Special Thank You to Psychology Training Director [NAME]. He took some time to talk to me about the check-in process and peak-hour - which helped me make better decisions moving forward.</t>
  </si>
  <si>
    <t>I waited a little over an hour to get my prescription and the process was confusing. you have to use the consoles to check in multiple times. once to check in and then once your prescription is ready. however, i waited for a long time and my name never came up on the screen. i had to take another number just to talk to someone after waiting all of that time. might be confusing for older vets too.</t>
  </si>
  <si>
    <t>All staff from the security, check in desk, and nursing staff were very cordial and professional.</t>
  </si>
  <si>
    <t>I was not told about the prep for the CT scan.  I had to drink three bottles 25 minutes apart.  No one ever said to arrive 75 minutes before the procedure.  I also had trouble finding the lab.  My appt was in the evening and no one was at any of the checkin desks. The hospital signage was poor.</t>
  </si>
  <si>
    <t>Although the kiosks were a pain for check in they were great for travel request. Continued mask mandates are no longer nessary. I am hopeful that they will start to look more into fixing medical issues instead of just prescribing pills. Would like to see more out patient services to help with long lasting issues</t>
  </si>
  <si>
    <t>I really want to thank the staff in ER from check-in to physician assistant/nurse practitionerâ€”you all were great, kind and I didnâ€™t feel like a number at allâ€”Thank you all</t>
  </si>
  <si>
    <t>Definite problem understanding getting clear instructions to get X-rays at the hospital. Keep it simple and separate from getting preauthorization approval!
Tell vet go to the emergency check in ONLY, declare this is an emergency visit &amp;  Va doctors sent vet for diagnosis &amp; testing. DO NOT DISCUSS ANY PRE ORDERS TO THE HOSPITAL! Nothing will be sent authorizing treatment/ diagnosis or testing</t>
  </si>
  <si>
    <t>From the time I walked in the building to the time I walked out I was treated like I was the most important vet they were going to treat that day. I have been there many times and always the same. Every person from the lady at check in to the lab tech and Dr. Very friendly helpful and respectful. If we can get Nashville and Murfreesboro and all others to match Tullahoma it is great.</t>
  </si>
  <si>
    <t>When I did a check in for a telehealth appointment I kept being rejected through the portal... However the doctor became aware of the situation and set it up to see him in person... I was concerned that I would have to reschedule which would throw me back at least two weeks... I want to accomplish what I need to do so then I can go home to my family... Key West VA clinic is assisting me with this</t>
  </si>
  <si>
    <t>All of the good people I encountered, deserve my gratitude &amp; huge plethora of appreciation. Polite,professional,helpful ad astra, from the dutiful folks greeting at the check-in desks or answering questions,&amp; the good Doctors --all--were exemplary.
Plaudits &amp; accolades galore deserved !
Dr. [NAME],was outstanding &amp;his empathetic approach--model of compassion &amp; professional due diligence.</t>
  </si>
  <si>
    <t>All at entrance and check in areas friendly and efficient.</t>
  </si>
  <si>
    <t>Received EXCELLENT care by one and all. From check-in, nursing staff, and the NP who saw me.  Very very impressed with the care!!!</t>
  </si>
  <si>
    <t>The front office to check in there is a poster of the VA Patient Advocates that taunted and humiliated me several years ago. Seeing their smiling faces on a poster claiming to be an advocate for me set me on a bad course for the rest of that day. 
[NAME], [NAME], [NAME]. These 3 people "Patient Advocates" had a lot of fun at my expense when they worked at VA Dallas hospital.</t>
  </si>
  <si>
    <t>The check-in was pleasant and curterious with good directions. Nurse that met me and took my vitals was pleasant and the doctor was thorough.</t>
  </si>
  <si>
    <t>2022-12-29</t>
  </si>
  <si>
    <t>Dr [NAME] is an outstanding and very professional Doctor
Your administrative and check in staff are outstanding as well. 
Colonel [NAME]
USAF, ret.</t>
  </si>
  <si>
    <t>The usual location for my appointments was unattended.  A sign on the check-in desk directed patients to another location; the directions were unclear. I asked an attendant at another desk for help finding it. When I got there, I was told that the department I was seeking was not there, but elsewhere in the center.  Providing an email or text message to notify patients of such changes would help.</t>
  </si>
  <si>
    <t>Maybe the woman behind the check-in counter could try and not treat veterans like imbeciles and could even work in some eye contact as we check in. She made me feel like a side of beef and not even worth looking up from her computer screen for. The phlebotomist is great.</t>
  </si>
  <si>
    <t>I arrived  15 min prior to appt time , check in and was seen by Dr [NAME] as scheduled. His reception was very pleasant. He made sure that  I was comfortable and started to follow up on my previous visit. Showed me more additional exercises.  He is very professional and knowledgeable in his line of work. Explained details gave me the confidence.  Please extend my appreciation and gratitude.</t>
  </si>
  <si>
    <t>I received a text message stating to check in online. I did so, but also checked in at the deck upon  arrival. The person at the desk stated that I was checked in. I arrived 15 minutes early. After waiting 30 minutes, the nurse came to the desk and called my name. She asked if I had checked in (she came out to call because she did not see where I was checked in). How can that be?</t>
  </si>
  <si>
    <t>When I checked in at the desk for my appointment, my chart wasn't pulled nor highlighted on the check-in list for the nursing staff to pre-op me for the procedure (in-house procedure), leaving me to wait 90mins or more prior to being seen. However, it was only after my wife's querying the front desk staff did the nursing staff realize I was not a "no-show", but I had been overlooked and forgotten.</t>
  </si>
  <si>
    <t>2022-12-28</t>
  </si>
  <si>
    <t>check in bad keyus removed to make lines and human intervention . travel pay requires a long drown out procuder, moet vets no longer able to apply</t>
  </si>
  <si>
    <t>I check in with my I phone, as direct and also by text on phone. The system was not working</t>
  </si>
  <si>
    <t>I was very please with my experience at the VA hospital. Check in was good and the physician assistance was good also.</t>
  </si>
  <si>
    <t>12/28/2022 - 12/27/2022</t>
  </si>
  <si>
    <t>Mobile Check-in</t>
  </si>
  <si>
    <t>General Check-in</t>
  </si>
  <si>
    <t>Kiosk</t>
  </si>
  <si>
    <t>Travel Pay</t>
  </si>
  <si>
    <t>Wait Times</t>
  </si>
  <si>
    <t>Bad</t>
  </si>
  <si>
    <t>Good</t>
  </si>
  <si>
    <t>eCheck-in</t>
  </si>
  <si>
    <t>Mobile Check-in Good</t>
  </si>
  <si>
    <t>Mobile Check-in Bad</t>
  </si>
  <si>
    <t>General Check-in Good</t>
  </si>
  <si>
    <t>General Check-in Bad</t>
  </si>
  <si>
    <t>Kiosk Good</t>
  </si>
  <si>
    <t>Kiosk Bad</t>
  </si>
  <si>
    <t>Staff Attitude Good</t>
  </si>
  <si>
    <t>Staff Attitude Bad</t>
  </si>
  <si>
    <t>Travel Pay Good</t>
  </si>
  <si>
    <t>Travel Pay Bad</t>
  </si>
  <si>
    <t>Wait times Good</t>
  </si>
  <si>
    <t>Wait times Bad</t>
  </si>
  <si>
    <t>12/28/2022 - 1/16/2023</t>
  </si>
  <si>
    <t>1/17/2023 - 2/2/2023</t>
  </si>
  <si>
    <t>2/3/2023 - 2/23/2023</t>
  </si>
  <si>
    <t>2/24/2023 - 3/15/2023</t>
  </si>
  <si>
    <t>03/16/2023 - 04/11/2023</t>
  </si>
  <si>
    <t>04/11/2023 - 04/20/2023</t>
  </si>
  <si>
    <t>04/20/2023 - 05/16/2023</t>
  </si>
  <si>
    <t>05/16/2023 - 06/04/2023</t>
  </si>
  <si>
    <t>06/05/2023 - 06/27/2023</t>
  </si>
  <si>
    <t>06/28/2023 - 07/14/2023</t>
  </si>
  <si>
    <t>07/16/2023 - 08/06/2023</t>
  </si>
  <si>
    <t>08/07/2023 - 08/31/2023</t>
  </si>
  <si>
    <t>09/05/2023 - 09/26/2023</t>
  </si>
  <si>
    <t>09/29/2023 - 10/15/2023</t>
  </si>
  <si>
    <t>11/07/2023 - 11/27/2023</t>
  </si>
  <si>
    <t>11/28/2023 - 12/12/2023</t>
  </si>
  <si>
    <t>12/20/2023 - 1/2/2024</t>
  </si>
  <si>
    <t>1/2/2024 - 1/16/2024</t>
  </si>
  <si>
    <t>01/17/2024 - 02/01/2024</t>
  </si>
  <si>
    <t>2/02/2024 - 2/25/2024</t>
  </si>
  <si>
    <t>2/28/2024 - 3/12/2024</t>
  </si>
  <si>
    <t>3/12/2024 - 3/26/2024</t>
  </si>
  <si>
    <t>3/26/2024 - 4/9/2024</t>
  </si>
  <si>
    <t>4/10/2024 - 4/23/2024</t>
  </si>
  <si>
    <t>4/24/2024 - 5/7/2024</t>
  </si>
  <si>
    <t>5/8/2024-5/21/2024</t>
  </si>
  <si>
    <t>5/21/2024-6/4/2024</t>
  </si>
  <si>
    <t>6/6/2024 - 6/19/2024</t>
  </si>
  <si>
    <t>620/2024 - 7/2/2024</t>
  </si>
  <si>
    <t>7/3/2024-7/31/2024</t>
  </si>
  <si>
    <t>8/1/2024-8/14/2024</t>
  </si>
  <si>
    <t>8/15/2024-8/30/2024</t>
  </si>
  <si>
    <t>9/1/2024-9/15/2024</t>
  </si>
  <si>
    <t>9/16/2024-9/30/2024</t>
  </si>
  <si>
    <t>10/1/2024-10/15/2024</t>
  </si>
  <si>
    <t>10/16/2024-10/31/2024</t>
  </si>
  <si>
    <t>11/1/2024-11/15/2024</t>
  </si>
  <si>
    <t>12/1/2024-12/15/2024</t>
  </si>
  <si>
    <t>11/16/2024-11/30/2024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</si>
</sst>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yy;@"/>
    <numFmt numFmtId="165" formatCode="0.000"/>
  </numFmts>
  <fonts count="6" x14ac:knownFonts="1">
    <font>
      <sz val="11"/>
      <color theme="1"/>
      <name val="Calibri"/>
      <family val="2"/>
      <scheme val="minor"/>
    </font>
    <font>
      <b/>
      <sz val="11"/>
      <color theme="1"/>
      <name val="Calibri"/>
      <family val="2"/>
      <scheme val="minor"/>
    </font>
    <font>
      <sz val="11"/>
      <color rgb="FF000000"/>
      <name val="Calibri"/>
      <family val="2"/>
      <scheme val="minor"/>
    </font>
    <font>
      <b/>
      <sz val="11"/>
      <color rgb="FF000000"/>
      <name val="Calibri"/>
      <family val="2"/>
    </font>
    <font>
      <sz val="11"/>
      <color rgb="FF000000"/>
      <name val="Calibri"/>
      <family val="2"/>
    </font>
    <font>
      <sz val="11"/>
      <color theme="1"/>
      <name val="Calibri"/>
      <family val="2"/>
      <charset val="1"/>
    </font>
  </fonts>
  <fills count="6">
    <fill>
      <patternFill patternType="none"/>
    </fill>
    <fill>
      <patternFill patternType="gray125"/>
    </fill>
    <fill>
      <patternFill patternType="solid">
        <fgColor rgb="FFFFFF00"/>
        <bgColor indexed="64"/>
      </patternFill>
    </fill>
    <fill>
      <patternFill patternType="solid">
        <fgColor rgb="FFA9D08E"/>
        <bgColor indexed="64"/>
      </patternFill>
    </fill>
    <fill>
      <patternFill patternType="solid">
        <fgColor rgb="FFFFF2CC"/>
        <bgColor indexed="64"/>
      </patternFill>
    </fill>
    <fill>
      <patternFill patternType="solid">
        <fgColor rgb="FFFCE4D6"/>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top/>
      <bottom/>
      <diagonal/>
    </border>
  </borders>
  <cellStyleXfs count="1">
    <xf numFmtId="0" fontId="0" fillId="0" borderId="0"/>
  </cellStyleXfs>
  <cellXfs count="36">
    <xf numFmtId="0" fontId="0" fillId="0" borderId="0" xfId="0"/>
    <xf numFmtId="0" fontId="0" fillId="0" borderId="0" xfId="0" applyAlignment="1">
      <alignment wrapText="1"/>
    </xf>
    <xf numFmtId="0" fontId="1" fillId="0" borderId="1" xfId="0" applyFont="1" applyBorder="1" applyAlignment="1">
      <alignment horizontal="center" vertical="top"/>
    </xf>
    <xf numFmtId="0" fontId="1" fillId="0" borderId="2" xfId="0" applyFont="1" applyFill="1" applyBorder="1" applyAlignment="1">
      <alignment horizontal="center" vertical="top"/>
    </xf>
    <xf numFmtId="0" fontId="1" fillId="0" borderId="0" xfId="0" applyFont="1" applyFill="1" applyBorder="1" applyAlignment="1">
      <alignment horizontal="center" vertical="top"/>
    </xf>
    <xf numFmtId="0" fontId="0" fillId="2" borderId="0" xfId="0" applyFill="1"/>
    <xf numFmtId="0" fontId="0" fillId="2" borderId="0" xfId="0" applyFill="1" applyAlignment="1">
      <alignment wrapText="1"/>
    </xf>
    <xf numFmtId="0" fontId="1" fillId="0" borderId="0" xfId="0" applyFont="1" applyBorder="1" applyAlignment="1">
      <alignment horizontal="center" vertical="top"/>
    </xf>
    <xf numFmtId="0" fontId="0" fillId="3" borderId="0" xfId="0" applyFont="1" applyFill="1"/>
    <xf numFmtId="0" fontId="0" fillId="3" borderId="0" xfId="0" applyFill="1"/>
    <xf numFmtId="0" fontId="1" fillId="0" borderId="0" xfId="0" applyFont="1" applyFill="1" applyBorder="1" applyAlignment="1">
      <alignment horizontal="center" vertical="top" wrapText="1"/>
    </xf>
    <xf numFmtId="0" fontId="2" fillId="0" borderId="0" xfId="0" applyFont="1" applyFill="1"/>
    <xf numFmtId="164" fontId="1" fillId="2" borderId="0" xfId="0" applyNumberFormat="1" applyFont="1" applyFill="1" applyBorder="1" applyAlignment="1">
      <alignment horizontal="center" vertical="top" wrapText="1"/>
    </xf>
    <xf numFmtId="164" fontId="0" fillId="2" borderId="0" xfId="0" applyNumberFormat="1" applyFill="1" applyAlignment="1">
      <alignment wrapText="1"/>
    </xf>
    <xf numFmtId="0" fontId="0" fillId="0" borderId="0" xfId="0" applyAlignment="1">
      <alignment horizontal="center" vertical="center"/>
    </xf>
    <xf numFmtId="0" fontId="0" fillId="0" borderId="0" xfId="0" applyFill="1"/>
    <xf numFmtId="0" fontId="1" fillId="0" borderId="1" xfId="0" applyFont="1" applyBorder="1" applyAlignment="1">
      <alignment horizontal="center" vertical="top" wrapText="1"/>
    </xf>
    <xf numFmtId="0" fontId="1" fillId="0" borderId="0" xfId="0" applyFont="1" applyFill="1" applyAlignment="1">
      <alignment wrapText="1"/>
    </xf>
    <xf numFmtId="0" fontId="3" fillId="0" borderId="0" xfId="0" applyFont="1" applyFill="1" applyAlignment="1">
      <alignment wrapText="1"/>
    </xf>
    <xf numFmtId="14" fontId="0" fillId="0" borderId="0" xfId="0" applyNumberFormat="1" applyAlignment="1">
      <alignment wrapText="1"/>
    </xf>
    <xf numFmtId="0" fontId="0" fillId="0" borderId="0" xfId="0" quotePrefix="1"/>
    <xf numFmtId="0" fontId="4" fillId="0" borderId="0" xfId="0" applyFont="1" applyFill="1" applyAlignment="1">
      <alignment wrapText="1"/>
    </xf>
    <xf numFmtId="0" fontId="0" fillId="0" borderId="0" xfId="0" applyFont="1" applyFill="1" applyAlignment="1">
      <alignment wrapText="1"/>
    </xf>
    <xf numFmtId="2" fontId="0" fillId="0" borderId="0" xfId="0" applyNumberFormat="1" applyFill="1"/>
    <xf numFmtId="2" fontId="0" fillId="0" borderId="0" xfId="0" applyNumberFormat="1" applyAlignment="1">
      <alignment wrapText="1"/>
    </xf>
    <xf numFmtId="2" fontId="0" fillId="0" borderId="0" xfId="0" applyNumberFormat="1"/>
    <xf numFmtId="0" fontId="3" fillId="0" borderId="0" xfId="0" applyFont="1" applyAlignment="1">
      <alignment wrapText="1"/>
    </xf>
    <xf numFmtId="0" fontId="0" fillId="4" borderId="0" xfId="0" applyFill="1" applyAlignment="1">
      <alignment wrapText="1"/>
    </xf>
    <xf numFmtId="0" fontId="0" fillId="5" borderId="0" xfId="0" applyFill="1" applyAlignment="1">
      <alignment wrapText="1"/>
    </xf>
    <xf numFmtId="0" fontId="0" fillId="4" borderId="0" xfId="0" applyFill="1"/>
    <xf numFmtId="0" fontId="0" fillId="0" borderId="0" xfId="0" applyFill="1" applyAlignment="1">
      <alignment wrapText="1"/>
    </xf>
    <xf numFmtId="0" fontId="4" fillId="0" borderId="0" xfId="0" applyFont="1" applyFill="1" applyBorder="1" applyAlignment="1">
      <alignment wrapText="1"/>
    </xf>
    <xf numFmtId="0" fontId="5" fillId="0" borderId="0" xfId="0" applyFont="1"/>
    <xf numFmtId="0" fontId="0" fillId="0" borderId="0" xfId="0" applyAlignment="1">
      <alignment horizontal="right"/>
    </xf>
    <xf numFmtId="2" fontId="0" fillId="0" borderId="0" xfId="0" applyNumberFormat="1" applyAlignment="1">
      <alignment horizontal="right" wrapText="1" indent="1"/>
    </xf>
    <xf numFmtId="165" fontId="0" fillId="0" borderId="0" xfId="0" applyNumberFormat="1" applyAlignment="1">
      <alignment wrapText="1"/>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490744552"/>
        <c:axId val="490744880"/>
      </c:lineChart>
      <c:catAx>
        <c:axId val="49074455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744880"/>
        <c:crosses val="autoZero"/>
        <c:auto val="1"/>
        <c:lblAlgn val="ctr"/>
        <c:lblOffset val="100"/>
        <c:noMultiLvlLbl val="0"/>
      </c:catAx>
      <c:valAx>
        <c:axId val="49074488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7445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Mobile Check-in Feedback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'Outpatient (Old)'!$I$2479:$I$2494</c:f>
              <c:numCache>
                <c:formatCode>m/d/yyyy</c:formatCode>
                <c:ptCount val="16"/>
                <c:pt idx="0">
                  <c:v>44894</c:v>
                </c:pt>
                <c:pt idx="1">
                  <c:v>44893</c:v>
                </c:pt>
                <c:pt idx="2">
                  <c:v>44892</c:v>
                </c:pt>
                <c:pt idx="3">
                  <c:v>44891</c:v>
                </c:pt>
                <c:pt idx="4">
                  <c:v>44890</c:v>
                </c:pt>
                <c:pt idx="5">
                  <c:v>44889</c:v>
                </c:pt>
                <c:pt idx="6">
                  <c:v>44888</c:v>
                </c:pt>
                <c:pt idx="7">
                  <c:v>44887</c:v>
                </c:pt>
                <c:pt idx="8">
                  <c:v>44886</c:v>
                </c:pt>
                <c:pt idx="9">
                  <c:v>44885</c:v>
                </c:pt>
                <c:pt idx="10">
                  <c:v>44884</c:v>
                </c:pt>
                <c:pt idx="11">
                  <c:v>44883</c:v>
                </c:pt>
                <c:pt idx="12">
                  <c:v>44882</c:v>
                </c:pt>
                <c:pt idx="13">
                  <c:v>44881</c:v>
                </c:pt>
                <c:pt idx="14">
                  <c:v>44880</c:v>
                </c:pt>
                <c:pt idx="15">
                  <c:v>44879</c:v>
                </c:pt>
              </c:numCache>
            </c:numRef>
          </c:cat>
          <c:val>
            <c:numRef>
              <c:f>'Outpatient (Old)'!$J$2479:$J$2494</c:f>
            </c:numRef>
          </c:val>
          <c:smooth val="0"/>
          <c:extLst>
            <c:ext xmlns:c16="http://schemas.microsoft.com/office/drawing/2014/chart" uri="{C3380CC4-5D6E-409C-BE32-E72D297353CC}">
              <c16:uniqueId val="{00000000-22B0-464D-B8FA-6E85BC75D5BE}"/>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f>'Outpatient (Old)'!$I$2479:$I$2494</c:f>
              <c:numCache>
                <c:formatCode>m/d/yyyy</c:formatCode>
                <c:ptCount val="16"/>
                <c:pt idx="0">
                  <c:v>44894</c:v>
                </c:pt>
                <c:pt idx="1">
                  <c:v>44893</c:v>
                </c:pt>
                <c:pt idx="2">
                  <c:v>44892</c:v>
                </c:pt>
                <c:pt idx="3">
                  <c:v>44891</c:v>
                </c:pt>
                <c:pt idx="4">
                  <c:v>44890</c:v>
                </c:pt>
                <c:pt idx="5">
                  <c:v>44889</c:v>
                </c:pt>
                <c:pt idx="6">
                  <c:v>44888</c:v>
                </c:pt>
                <c:pt idx="7">
                  <c:v>44887</c:v>
                </c:pt>
                <c:pt idx="8">
                  <c:v>44886</c:v>
                </c:pt>
                <c:pt idx="9">
                  <c:v>44885</c:v>
                </c:pt>
                <c:pt idx="10">
                  <c:v>44884</c:v>
                </c:pt>
                <c:pt idx="11">
                  <c:v>44883</c:v>
                </c:pt>
                <c:pt idx="12">
                  <c:v>44882</c:v>
                </c:pt>
                <c:pt idx="13">
                  <c:v>44881</c:v>
                </c:pt>
                <c:pt idx="14">
                  <c:v>44880</c:v>
                </c:pt>
                <c:pt idx="15">
                  <c:v>44879</c:v>
                </c:pt>
              </c:numCache>
            </c:numRef>
          </c:cat>
          <c:val>
            <c:numRef>
              <c:f>'Outpatient (Old)'!$K$2479:$K$2494</c:f>
            </c:numRef>
          </c:val>
          <c:smooth val="0"/>
          <c:extLst>
            <c:ext xmlns:c16="http://schemas.microsoft.com/office/drawing/2014/chart" uri="{C3380CC4-5D6E-409C-BE32-E72D297353CC}">
              <c16:uniqueId val="{00000001-22B0-464D-B8FA-6E85BC75D5BE}"/>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cat>
            <c:numRef>
              <c:f>'Outpatient (Old)'!$I$2479:$I$2494</c:f>
              <c:numCache>
                <c:formatCode>m/d/yyyy</c:formatCode>
                <c:ptCount val="16"/>
                <c:pt idx="0">
                  <c:v>44894</c:v>
                </c:pt>
                <c:pt idx="1">
                  <c:v>44893</c:v>
                </c:pt>
                <c:pt idx="2">
                  <c:v>44892</c:v>
                </c:pt>
                <c:pt idx="3">
                  <c:v>44891</c:v>
                </c:pt>
                <c:pt idx="4">
                  <c:v>44890</c:v>
                </c:pt>
                <c:pt idx="5">
                  <c:v>44889</c:v>
                </c:pt>
                <c:pt idx="6">
                  <c:v>44888</c:v>
                </c:pt>
                <c:pt idx="7">
                  <c:v>44887</c:v>
                </c:pt>
                <c:pt idx="8">
                  <c:v>44886</c:v>
                </c:pt>
                <c:pt idx="9">
                  <c:v>44885</c:v>
                </c:pt>
                <c:pt idx="10">
                  <c:v>44884</c:v>
                </c:pt>
                <c:pt idx="11">
                  <c:v>44883</c:v>
                </c:pt>
                <c:pt idx="12">
                  <c:v>44882</c:v>
                </c:pt>
                <c:pt idx="13">
                  <c:v>44881</c:v>
                </c:pt>
                <c:pt idx="14">
                  <c:v>44880</c:v>
                </c:pt>
                <c:pt idx="15">
                  <c:v>44879</c:v>
                </c:pt>
              </c:numCache>
            </c:numRef>
          </c:cat>
          <c:val>
            <c:numRef>
              <c:f>'Outpatient (Old)'!$L$2479:$L$2494</c:f>
            </c:numRef>
          </c:val>
          <c:smooth val="0"/>
          <c:extLst>
            <c:ext xmlns:c16="http://schemas.microsoft.com/office/drawing/2014/chart" uri="{C3380CC4-5D6E-409C-BE32-E72D297353CC}">
              <c16:uniqueId val="{00000002-22B0-464D-B8FA-6E85BC75D5BE}"/>
            </c:ext>
          </c:extLst>
        </c:ser>
        <c:ser>
          <c:idx val="3"/>
          <c:order val="3"/>
          <c:tx>
            <c:v>Mobile Check-in Good</c:v>
          </c:tx>
          <c:spPr>
            <a:ln w="28575" cap="rnd">
              <a:solidFill>
                <a:schemeClr val="accent4"/>
              </a:solidFill>
              <a:round/>
            </a:ln>
            <a:effectLst/>
          </c:spPr>
          <c:marker>
            <c:symbol val="circle"/>
            <c:size val="5"/>
            <c:spPr>
              <a:solidFill>
                <a:schemeClr val="accent4"/>
              </a:solidFill>
              <a:ln w="9525">
                <a:solidFill>
                  <a:schemeClr val="accent4"/>
                </a:solidFill>
              </a:ln>
              <a:effectLst/>
            </c:spPr>
          </c:marker>
          <c:trendline>
            <c:spPr>
              <a:ln w="19050" cap="rnd">
                <a:solidFill>
                  <a:schemeClr val="accent4"/>
                </a:solidFill>
                <a:prstDash val="sysDot"/>
              </a:ln>
              <a:effectLst/>
            </c:spPr>
            <c:trendlineType val="linear"/>
            <c:dispRSqr val="0"/>
            <c:dispEq val="0"/>
          </c:trendline>
          <c:cat>
            <c:numRef>
              <c:f>'Outpatient (Old)'!$I$2479:$I$2494</c:f>
              <c:numCache>
                <c:formatCode>m/d/yyyy</c:formatCode>
                <c:ptCount val="16"/>
                <c:pt idx="0">
                  <c:v>44894</c:v>
                </c:pt>
                <c:pt idx="1">
                  <c:v>44893</c:v>
                </c:pt>
                <c:pt idx="2">
                  <c:v>44892</c:v>
                </c:pt>
                <c:pt idx="3">
                  <c:v>44891</c:v>
                </c:pt>
                <c:pt idx="4">
                  <c:v>44890</c:v>
                </c:pt>
                <c:pt idx="5">
                  <c:v>44889</c:v>
                </c:pt>
                <c:pt idx="6">
                  <c:v>44888</c:v>
                </c:pt>
                <c:pt idx="7">
                  <c:v>44887</c:v>
                </c:pt>
                <c:pt idx="8">
                  <c:v>44886</c:v>
                </c:pt>
                <c:pt idx="9">
                  <c:v>44885</c:v>
                </c:pt>
                <c:pt idx="10">
                  <c:v>44884</c:v>
                </c:pt>
                <c:pt idx="11">
                  <c:v>44883</c:v>
                </c:pt>
                <c:pt idx="12">
                  <c:v>44882</c:v>
                </c:pt>
                <c:pt idx="13">
                  <c:v>44881</c:v>
                </c:pt>
                <c:pt idx="14">
                  <c:v>44880</c:v>
                </c:pt>
                <c:pt idx="15">
                  <c:v>44879</c:v>
                </c:pt>
              </c:numCache>
            </c:numRef>
          </c:cat>
          <c:val>
            <c:numRef>
              <c:f>'Outpatient (Old)'!$M$2479:$M$2494</c:f>
              <c:numCache>
                <c:formatCode>General</c:formatCode>
                <c:ptCount val="16"/>
                <c:pt idx="0">
                  <c:v>0</c:v>
                </c:pt>
                <c:pt idx="1">
                  <c:v>0</c:v>
                </c:pt>
                <c:pt idx="2">
                  <c:v>2</c:v>
                </c:pt>
                <c:pt idx="3">
                  <c:v>0</c:v>
                </c:pt>
                <c:pt idx="4">
                  <c:v>2</c:v>
                </c:pt>
                <c:pt idx="5">
                  <c:v>0</c:v>
                </c:pt>
                <c:pt idx="6">
                  <c:v>3</c:v>
                </c:pt>
                <c:pt idx="7">
                  <c:v>1</c:v>
                </c:pt>
                <c:pt idx="8">
                  <c:v>0</c:v>
                </c:pt>
                <c:pt idx="9">
                  <c:v>0</c:v>
                </c:pt>
                <c:pt idx="10">
                  <c:v>0</c:v>
                </c:pt>
                <c:pt idx="11">
                  <c:v>0</c:v>
                </c:pt>
                <c:pt idx="12">
                  <c:v>0</c:v>
                </c:pt>
                <c:pt idx="13">
                  <c:v>1</c:v>
                </c:pt>
                <c:pt idx="14">
                  <c:v>0</c:v>
                </c:pt>
                <c:pt idx="15">
                  <c:v>1</c:v>
                </c:pt>
              </c:numCache>
            </c:numRef>
          </c:val>
          <c:smooth val="0"/>
          <c:extLst>
            <c:ext xmlns:c16="http://schemas.microsoft.com/office/drawing/2014/chart" uri="{C3380CC4-5D6E-409C-BE32-E72D297353CC}">
              <c16:uniqueId val="{00000003-22B0-464D-B8FA-6E85BC75D5BE}"/>
            </c:ext>
          </c:extLst>
        </c:ser>
        <c:ser>
          <c:idx val="4"/>
          <c:order val="4"/>
          <c:tx>
            <c:v>Mobile Check-in Bad</c:v>
          </c:tx>
          <c:spPr>
            <a:ln w="28575" cap="rnd">
              <a:solidFill>
                <a:schemeClr val="accent5"/>
              </a:solidFill>
              <a:round/>
            </a:ln>
            <a:effectLst/>
          </c:spPr>
          <c:marker>
            <c:symbol val="circle"/>
            <c:size val="5"/>
            <c:spPr>
              <a:solidFill>
                <a:schemeClr val="accent5"/>
              </a:solidFill>
              <a:ln w="9525">
                <a:solidFill>
                  <a:schemeClr val="accent5"/>
                </a:solidFill>
              </a:ln>
              <a:effectLst/>
            </c:spPr>
          </c:marker>
          <c:trendline>
            <c:spPr>
              <a:ln w="19050" cap="rnd">
                <a:solidFill>
                  <a:schemeClr val="accent5"/>
                </a:solidFill>
                <a:prstDash val="sysDot"/>
              </a:ln>
              <a:effectLst/>
            </c:spPr>
            <c:trendlineType val="linear"/>
            <c:dispRSqr val="0"/>
            <c:dispEq val="0"/>
          </c:trendline>
          <c:cat>
            <c:numRef>
              <c:f>'Outpatient (Old)'!$I$2479:$I$2494</c:f>
              <c:numCache>
                <c:formatCode>m/d/yyyy</c:formatCode>
                <c:ptCount val="16"/>
                <c:pt idx="0">
                  <c:v>44894</c:v>
                </c:pt>
                <c:pt idx="1">
                  <c:v>44893</c:v>
                </c:pt>
                <c:pt idx="2">
                  <c:v>44892</c:v>
                </c:pt>
                <c:pt idx="3">
                  <c:v>44891</c:v>
                </c:pt>
                <c:pt idx="4">
                  <c:v>44890</c:v>
                </c:pt>
                <c:pt idx="5">
                  <c:v>44889</c:v>
                </c:pt>
                <c:pt idx="6">
                  <c:v>44888</c:v>
                </c:pt>
                <c:pt idx="7">
                  <c:v>44887</c:v>
                </c:pt>
                <c:pt idx="8">
                  <c:v>44886</c:v>
                </c:pt>
                <c:pt idx="9">
                  <c:v>44885</c:v>
                </c:pt>
                <c:pt idx="10">
                  <c:v>44884</c:v>
                </c:pt>
                <c:pt idx="11">
                  <c:v>44883</c:v>
                </c:pt>
                <c:pt idx="12">
                  <c:v>44882</c:v>
                </c:pt>
                <c:pt idx="13">
                  <c:v>44881</c:v>
                </c:pt>
                <c:pt idx="14">
                  <c:v>44880</c:v>
                </c:pt>
                <c:pt idx="15">
                  <c:v>44879</c:v>
                </c:pt>
              </c:numCache>
            </c:numRef>
          </c:cat>
          <c:val>
            <c:numRef>
              <c:f>'Outpatient (Old)'!$N$2479:$N$2494</c:f>
              <c:numCache>
                <c:formatCode>General</c:formatCode>
                <c:ptCount val="16"/>
                <c:pt idx="0">
                  <c:v>1</c:v>
                </c:pt>
                <c:pt idx="1">
                  <c:v>4</c:v>
                </c:pt>
                <c:pt idx="2">
                  <c:v>0</c:v>
                </c:pt>
                <c:pt idx="3">
                  <c:v>3</c:v>
                </c:pt>
                <c:pt idx="4">
                  <c:v>2</c:v>
                </c:pt>
                <c:pt idx="5">
                  <c:v>1</c:v>
                </c:pt>
                <c:pt idx="6">
                  <c:v>2</c:v>
                </c:pt>
                <c:pt idx="7">
                  <c:v>4</c:v>
                </c:pt>
                <c:pt idx="8">
                  <c:v>1</c:v>
                </c:pt>
                <c:pt idx="9">
                  <c:v>1</c:v>
                </c:pt>
                <c:pt idx="10">
                  <c:v>3</c:v>
                </c:pt>
                <c:pt idx="11">
                  <c:v>3</c:v>
                </c:pt>
                <c:pt idx="12">
                  <c:v>0</c:v>
                </c:pt>
                <c:pt idx="13">
                  <c:v>9</c:v>
                </c:pt>
                <c:pt idx="14">
                  <c:v>7</c:v>
                </c:pt>
                <c:pt idx="15">
                  <c:v>1</c:v>
                </c:pt>
              </c:numCache>
            </c:numRef>
          </c:val>
          <c:smooth val="0"/>
          <c:extLst>
            <c:ext xmlns:c16="http://schemas.microsoft.com/office/drawing/2014/chart" uri="{C3380CC4-5D6E-409C-BE32-E72D297353CC}">
              <c16:uniqueId val="{00000004-22B0-464D-B8FA-6E85BC75D5BE}"/>
            </c:ext>
          </c:extLst>
        </c:ser>
        <c:dLbls>
          <c:showLegendKey val="0"/>
          <c:showVal val="0"/>
          <c:showCatName val="0"/>
          <c:showSerName val="0"/>
          <c:showPercent val="0"/>
          <c:showBubbleSize val="0"/>
        </c:dLbls>
        <c:marker val="1"/>
        <c:smooth val="0"/>
        <c:axId val="650748656"/>
        <c:axId val="650748328"/>
      </c:lineChart>
      <c:dateAx>
        <c:axId val="65074865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0748328"/>
        <c:crosses val="autoZero"/>
        <c:auto val="1"/>
        <c:lblOffset val="100"/>
        <c:baseTimeUnit val="days"/>
      </c:dateAx>
      <c:valAx>
        <c:axId val="6507483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Number of Comments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07486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General Check-in Feedback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General Check-in Good</c:v>
          </c:tx>
          <c:spPr>
            <a:ln w="28575"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cat>
            <c:numRef>
              <c:f>'Outpatient (Old)'!$I$2479:$I$2494</c:f>
              <c:numCache>
                <c:formatCode>m/d/yyyy</c:formatCode>
                <c:ptCount val="16"/>
                <c:pt idx="0">
                  <c:v>44894</c:v>
                </c:pt>
                <c:pt idx="1">
                  <c:v>44893</c:v>
                </c:pt>
                <c:pt idx="2">
                  <c:v>44892</c:v>
                </c:pt>
                <c:pt idx="3">
                  <c:v>44891</c:v>
                </c:pt>
                <c:pt idx="4">
                  <c:v>44890</c:v>
                </c:pt>
                <c:pt idx="5">
                  <c:v>44889</c:v>
                </c:pt>
                <c:pt idx="6">
                  <c:v>44888</c:v>
                </c:pt>
                <c:pt idx="7">
                  <c:v>44887</c:v>
                </c:pt>
                <c:pt idx="8">
                  <c:v>44886</c:v>
                </c:pt>
                <c:pt idx="9">
                  <c:v>44885</c:v>
                </c:pt>
                <c:pt idx="10">
                  <c:v>44884</c:v>
                </c:pt>
                <c:pt idx="11">
                  <c:v>44883</c:v>
                </c:pt>
                <c:pt idx="12">
                  <c:v>44882</c:v>
                </c:pt>
                <c:pt idx="13">
                  <c:v>44881</c:v>
                </c:pt>
                <c:pt idx="14">
                  <c:v>44880</c:v>
                </c:pt>
                <c:pt idx="15">
                  <c:v>44879</c:v>
                </c:pt>
              </c:numCache>
            </c:numRef>
          </c:cat>
          <c:val>
            <c:numRef>
              <c:f>'Outpatient (Old)'!$O$2479:$O$2494</c:f>
              <c:numCache>
                <c:formatCode>General</c:formatCode>
                <c:ptCount val="16"/>
                <c:pt idx="0">
                  <c:v>0</c:v>
                </c:pt>
                <c:pt idx="1">
                  <c:v>0</c:v>
                </c:pt>
                <c:pt idx="2">
                  <c:v>1</c:v>
                </c:pt>
                <c:pt idx="3">
                  <c:v>4</c:v>
                </c:pt>
                <c:pt idx="4">
                  <c:v>1</c:v>
                </c:pt>
                <c:pt idx="5">
                  <c:v>0</c:v>
                </c:pt>
                <c:pt idx="6">
                  <c:v>5</c:v>
                </c:pt>
                <c:pt idx="7">
                  <c:v>4</c:v>
                </c:pt>
                <c:pt idx="8">
                  <c:v>1</c:v>
                </c:pt>
                <c:pt idx="9">
                  <c:v>2</c:v>
                </c:pt>
                <c:pt idx="10">
                  <c:v>0</c:v>
                </c:pt>
                <c:pt idx="11">
                  <c:v>0</c:v>
                </c:pt>
                <c:pt idx="12">
                  <c:v>0</c:v>
                </c:pt>
                <c:pt idx="13">
                  <c:v>2</c:v>
                </c:pt>
                <c:pt idx="14">
                  <c:v>5</c:v>
                </c:pt>
                <c:pt idx="15">
                  <c:v>4</c:v>
                </c:pt>
              </c:numCache>
            </c:numRef>
          </c:val>
          <c:smooth val="0"/>
          <c:extLst>
            <c:ext xmlns:c16="http://schemas.microsoft.com/office/drawing/2014/chart" uri="{C3380CC4-5D6E-409C-BE32-E72D297353CC}">
              <c16:uniqueId val="{00000000-6FAF-4A23-B99D-75C0A58948F7}"/>
            </c:ext>
          </c:extLst>
        </c:ser>
        <c:ser>
          <c:idx val="1"/>
          <c:order val="1"/>
          <c:tx>
            <c:v>General Check-in Bad</c:v>
          </c:tx>
          <c:spPr>
            <a:ln w="28575" cap="rnd">
              <a:solidFill>
                <a:schemeClr val="accent2"/>
              </a:solid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linear"/>
            <c:dispRSqr val="0"/>
            <c:dispEq val="0"/>
          </c:trendline>
          <c:cat>
            <c:numRef>
              <c:f>'Outpatient (Old)'!$I$2479:$I$2494</c:f>
              <c:numCache>
                <c:formatCode>m/d/yyyy</c:formatCode>
                <c:ptCount val="16"/>
                <c:pt idx="0">
                  <c:v>44894</c:v>
                </c:pt>
                <c:pt idx="1">
                  <c:v>44893</c:v>
                </c:pt>
                <c:pt idx="2">
                  <c:v>44892</c:v>
                </c:pt>
                <c:pt idx="3">
                  <c:v>44891</c:v>
                </c:pt>
                <c:pt idx="4">
                  <c:v>44890</c:v>
                </c:pt>
                <c:pt idx="5">
                  <c:v>44889</c:v>
                </c:pt>
                <c:pt idx="6">
                  <c:v>44888</c:v>
                </c:pt>
                <c:pt idx="7">
                  <c:v>44887</c:v>
                </c:pt>
                <c:pt idx="8">
                  <c:v>44886</c:v>
                </c:pt>
                <c:pt idx="9">
                  <c:v>44885</c:v>
                </c:pt>
                <c:pt idx="10">
                  <c:v>44884</c:v>
                </c:pt>
                <c:pt idx="11">
                  <c:v>44883</c:v>
                </c:pt>
                <c:pt idx="12">
                  <c:v>44882</c:v>
                </c:pt>
                <c:pt idx="13">
                  <c:v>44881</c:v>
                </c:pt>
                <c:pt idx="14">
                  <c:v>44880</c:v>
                </c:pt>
                <c:pt idx="15">
                  <c:v>44879</c:v>
                </c:pt>
              </c:numCache>
            </c:numRef>
          </c:cat>
          <c:val>
            <c:numRef>
              <c:f>'Outpatient (Old)'!$P$2479:$P$2494</c:f>
              <c:numCache>
                <c:formatCode>General</c:formatCode>
                <c:ptCount val="16"/>
                <c:pt idx="0">
                  <c:v>1</c:v>
                </c:pt>
                <c:pt idx="1">
                  <c:v>3</c:v>
                </c:pt>
                <c:pt idx="2">
                  <c:v>1</c:v>
                </c:pt>
                <c:pt idx="3">
                  <c:v>8</c:v>
                </c:pt>
                <c:pt idx="4">
                  <c:v>6</c:v>
                </c:pt>
                <c:pt idx="5">
                  <c:v>0</c:v>
                </c:pt>
                <c:pt idx="6">
                  <c:v>8</c:v>
                </c:pt>
                <c:pt idx="7">
                  <c:v>8</c:v>
                </c:pt>
                <c:pt idx="8">
                  <c:v>3</c:v>
                </c:pt>
                <c:pt idx="9">
                  <c:v>0</c:v>
                </c:pt>
                <c:pt idx="10">
                  <c:v>4</c:v>
                </c:pt>
                <c:pt idx="11">
                  <c:v>5</c:v>
                </c:pt>
                <c:pt idx="12">
                  <c:v>0</c:v>
                </c:pt>
                <c:pt idx="13">
                  <c:v>7</c:v>
                </c:pt>
                <c:pt idx="14">
                  <c:v>4</c:v>
                </c:pt>
                <c:pt idx="15">
                  <c:v>1</c:v>
                </c:pt>
              </c:numCache>
            </c:numRef>
          </c:val>
          <c:smooth val="0"/>
          <c:extLst>
            <c:ext xmlns:c16="http://schemas.microsoft.com/office/drawing/2014/chart" uri="{C3380CC4-5D6E-409C-BE32-E72D297353CC}">
              <c16:uniqueId val="{00000001-6FAF-4A23-B99D-75C0A58948F7}"/>
            </c:ext>
          </c:extLst>
        </c:ser>
        <c:dLbls>
          <c:showLegendKey val="0"/>
          <c:showVal val="0"/>
          <c:showCatName val="0"/>
          <c:showSerName val="0"/>
          <c:showPercent val="0"/>
          <c:showBubbleSize val="0"/>
        </c:dLbls>
        <c:marker val="1"/>
        <c:smooth val="0"/>
        <c:axId val="780147240"/>
        <c:axId val="780152816"/>
      </c:lineChart>
      <c:dateAx>
        <c:axId val="78014724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152816"/>
        <c:crosses val="autoZero"/>
        <c:auto val="1"/>
        <c:lblOffset val="100"/>
        <c:baseTimeUnit val="days"/>
      </c:dateAx>
      <c:valAx>
        <c:axId val="78015281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 of Comments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147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Kiosk Feedback</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Kiosk Good</c:v>
          </c:tx>
          <c:spPr>
            <a:ln w="28575"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cat>
            <c:numRef>
              <c:f>'Outpatient (Old)'!$I$2479:$I$2494</c:f>
              <c:numCache>
                <c:formatCode>m/d/yyyy</c:formatCode>
                <c:ptCount val="16"/>
                <c:pt idx="0">
                  <c:v>44894</c:v>
                </c:pt>
                <c:pt idx="1">
                  <c:v>44893</c:v>
                </c:pt>
                <c:pt idx="2">
                  <c:v>44892</c:v>
                </c:pt>
                <c:pt idx="3">
                  <c:v>44891</c:v>
                </c:pt>
                <c:pt idx="4">
                  <c:v>44890</c:v>
                </c:pt>
                <c:pt idx="5">
                  <c:v>44889</c:v>
                </c:pt>
                <c:pt idx="6">
                  <c:v>44888</c:v>
                </c:pt>
                <c:pt idx="7">
                  <c:v>44887</c:v>
                </c:pt>
                <c:pt idx="8">
                  <c:v>44886</c:v>
                </c:pt>
                <c:pt idx="9">
                  <c:v>44885</c:v>
                </c:pt>
                <c:pt idx="10">
                  <c:v>44884</c:v>
                </c:pt>
                <c:pt idx="11">
                  <c:v>44883</c:v>
                </c:pt>
                <c:pt idx="12">
                  <c:v>44882</c:v>
                </c:pt>
                <c:pt idx="13">
                  <c:v>44881</c:v>
                </c:pt>
                <c:pt idx="14">
                  <c:v>44880</c:v>
                </c:pt>
                <c:pt idx="15">
                  <c:v>44879</c:v>
                </c:pt>
              </c:numCache>
            </c:numRef>
          </c:cat>
          <c:val>
            <c:numRef>
              <c:f>'Outpatient (Old)'!$Q$2479:$Q$2494</c:f>
              <c:numCache>
                <c:formatCode>General</c:formatCode>
                <c:ptCount val="16"/>
                <c:pt idx="0">
                  <c:v>0</c:v>
                </c:pt>
                <c:pt idx="1">
                  <c:v>4</c:v>
                </c:pt>
                <c:pt idx="2">
                  <c:v>1</c:v>
                </c:pt>
                <c:pt idx="3">
                  <c:v>6</c:v>
                </c:pt>
                <c:pt idx="4">
                  <c:v>6</c:v>
                </c:pt>
                <c:pt idx="5">
                  <c:v>0</c:v>
                </c:pt>
                <c:pt idx="6">
                  <c:v>9</c:v>
                </c:pt>
                <c:pt idx="7">
                  <c:v>12</c:v>
                </c:pt>
                <c:pt idx="8">
                  <c:v>4</c:v>
                </c:pt>
                <c:pt idx="9">
                  <c:v>4</c:v>
                </c:pt>
                <c:pt idx="10">
                  <c:v>8</c:v>
                </c:pt>
                <c:pt idx="11">
                  <c:v>6</c:v>
                </c:pt>
                <c:pt idx="12">
                  <c:v>2</c:v>
                </c:pt>
                <c:pt idx="13">
                  <c:v>9</c:v>
                </c:pt>
                <c:pt idx="14">
                  <c:v>14</c:v>
                </c:pt>
                <c:pt idx="15">
                  <c:v>7</c:v>
                </c:pt>
              </c:numCache>
            </c:numRef>
          </c:val>
          <c:smooth val="0"/>
          <c:extLst>
            <c:ext xmlns:c16="http://schemas.microsoft.com/office/drawing/2014/chart" uri="{C3380CC4-5D6E-409C-BE32-E72D297353CC}">
              <c16:uniqueId val="{00000000-CDB9-476E-95B8-268AAA336E3F}"/>
            </c:ext>
          </c:extLst>
        </c:ser>
        <c:ser>
          <c:idx val="1"/>
          <c:order val="1"/>
          <c:tx>
            <c:v>Kiosk Bad</c:v>
          </c:tx>
          <c:spPr>
            <a:ln w="28575" cap="rnd">
              <a:solidFill>
                <a:schemeClr val="accent2"/>
              </a:solid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linear"/>
            <c:dispRSqr val="0"/>
            <c:dispEq val="0"/>
          </c:trendline>
          <c:cat>
            <c:numRef>
              <c:f>'Outpatient (Old)'!$I$2479:$I$2494</c:f>
              <c:numCache>
                <c:formatCode>m/d/yyyy</c:formatCode>
                <c:ptCount val="16"/>
                <c:pt idx="0">
                  <c:v>44894</c:v>
                </c:pt>
                <c:pt idx="1">
                  <c:v>44893</c:v>
                </c:pt>
                <c:pt idx="2">
                  <c:v>44892</c:v>
                </c:pt>
                <c:pt idx="3">
                  <c:v>44891</c:v>
                </c:pt>
                <c:pt idx="4">
                  <c:v>44890</c:v>
                </c:pt>
                <c:pt idx="5">
                  <c:v>44889</c:v>
                </c:pt>
                <c:pt idx="6">
                  <c:v>44888</c:v>
                </c:pt>
                <c:pt idx="7">
                  <c:v>44887</c:v>
                </c:pt>
                <c:pt idx="8">
                  <c:v>44886</c:v>
                </c:pt>
                <c:pt idx="9">
                  <c:v>44885</c:v>
                </c:pt>
                <c:pt idx="10">
                  <c:v>44884</c:v>
                </c:pt>
                <c:pt idx="11">
                  <c:v>44883</c:v>
                </c:pt>
                <c:pt idx="12">
                  <c:v>44882</c:v>
                </c:pt>
                <c:pt idx="13">
                  <c:v>44881</c:v>
                </c:pt>
                <c:pt idx="14">
                  <c:v>44880</c:v>
                </c:pt>
                <c:pt idx="15">
                  <c:v>44879</c:v>
                </c:pt>
              </c:numCache>
            </c:numRef>
          </c:cat>
          <c:val>
            <c:numRef>
              <c:f>'Outpatient (Old)'!$R$2479:$R$2494</c:f>
              <c:numCache>
                <c:formatCode>General</c:formatCode>
                <c:ptCount val="16"/>
                <c:pt idx="0">
                  <c:v>0</c:v>
                </c:pt>
                <c:pt idx="1">
                  <c:v>0</c:v>
                </c:pt>
                <c:pt idx="2">
                  <c:v>1</c:v>
                </c:pt>
                <c:pt idx="3">
                  <c:v>3</c:v>
                </c:pt>
                <c:pt idx="4">
                  <c:v>2</c:v>
                </c:pt>
                <c:pt idx="5">
                  <c:v>0</c:v>
                </c:pt>
                <c:pt idx="6">
                  <c:v>2</c:v>
                </c:pt>
                <c:pt idx="7">
                  <c:v>3</c:v>
                </c:pt>
                <c:pt idx="8">
                  <c:v>0</c:v>
                </c:pt>
                <c:pt idx="9">
                  <c:v>0</c:v>
                </c:pt>
                <c:pt idx="10">
                  <c:v>2</c:v>
                </c:pt>
                <c:pt idx="11">
                  <c:v>5</c:v>
                </c:pt>
                <c:pt idx="12">
                  <c:v>0</c:v>
                </c:pt>
                <c:pt idx="13">
                  <c:v>3</c:v>
                </c:pt>
                <c:pt idx="14">
                  <c:v>2</c:v>
                </c:pt>
                <c:pt idx="15">
                  <c:v>0</c:v>
                </c:pt>
              </c:numCache>
            </c:numRef>
          </c:val>
          <c:smooth val="0"/>
          <c:extLst>
            <c:ext xmlns:c16="http://schemas.microsoft.com/office/drawing/2014/chart" uri="{C3380CC4-5D6E-409C-BE32-E72D297353CC}">
              <c16:uniqueId val="{00000001-CDB9-476E-95B8-268AAA336E3F}"/>
            </c:ext>
          </c:extLst>
        </c:ser>
        <c:dLbls>
          <c:showLegendKey val="0"/>
          <c:showVal val="0"/>
          <c:showCatName val="0"/>
          <c:showSerName val="0"/>
          <c:showPercent val="0"/>
          <c:showBubbleSize val="0"/>
        </c:dLbls>
        <c:marker val="1"/>
        <c:smooth val="0"/>
        <c:axId val="835647864"/>
        <c:axId val="835647208"/>
      </c:lineChart>
      <c:dateAx>
        <c:axId val="83564786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5647208"/>
        <c:crosses val="autoZero"/>
        <c:auto val="1"/>
        <c:lblOffset val="100"/>
        <c:baseTimeUnit val="days"/>
      </c:dateAx>
      <c:valAx>
        <c:axId val="8356472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 of Comments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56478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Staff Attitude/Interaction</a:t>
            </a:r>
            <a:r>
              <a:rPr lang="en-US" baseline="0"/>
              <a:t> Feedback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Staff Attitude Good</c:v>
          </c:tx>
          <c:spPr>
            <a:ln w="28575"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cat>
            <c:numRef>
              <c:f>'Outpatient (Old)'!$I$2479:$I$2494</c:f>
              <c:numCache>
                <c:formatCode>m/d/yyyy</c:formatCode>
                <c:ptCount val="16"/>
                <c:pt idx="0">
                  <c:v>44894</c:v>
                </c:pt>
                <c:pt idx="1">
                  <c:v>44893</c:v>
                </c:pt>
                <c:pt idx="2">
                  <c:v>44892</c:v>
                </c:pt>
                <c:pt idx="3">
                  <c:v>44891</c:v>
                </c:pt>
                <c:pt idx="4">
                  <c:v>44890</c:v>
                </c:pt>
                <c:pt idx="5">
                  <c:v>44889</c:v>
                </c:pt>
                <c:pt idx="6">
                  <c:v>44888</c:v>
                </c:pt>
                <c:pt idx="7">
                  <c:v>44887</c:v>
                </c:pt>
                <c:pt idx="8">
                  <c:v>44886</c:v>
                </c:pt>
                <c:pt idx="9">
                  <c:v>44885</c:v>
                </c:pt>
                <c:pt idx="10">
                  <c:v>44884</c:v>
                </c:pt>
                <c:pt idx="11">
                  <c:v>44883</c:v>
                </c:pt>
                <c:pt idx="12">
                  <c:v>44882</c:v>
                </c:pt>
                <c:pt idx="13">
                  <c:v>44881</c:v>
                </c:pt>
                <c:pt idx="14">
                  <c:v>44880</c:v>
                </c:pt>
                <c:pt idx="15">
                  <c:v>44879</c:v>
                </c:pt>
              </c:numCache>
            </c:numRef>
          </c:cat>
          <c:val>
            <c:numRef>
              <c:f>'Outpatient (Old)'!$S$2479:$S$2494</c:f>
              <c:numCache>
                <c:formatCode>General</c:formatCode>
                <c:ptCount val="16"/>
                <c:pt idx="0">
                  <c:v>0</c:v>
                </c:pt>
                <c:pt idx="1">
                  <c:v>0</c:v>
                </c:pt>
                <c:pt idx="2">
                  <c:v>5</c:v>
                </c:pt>
                <c:pt idx="3">
                  <c:v>8</c:v>
                </c:pt>
                <c:pt idx="4">
                  <c:v>19</c:v>
                </c:pt>
                <c:pt idx="5">
                  <c:v>0</c:v>
                </c:pt>
                <c:pt idx="6">
                  <c:v>14</c:v>
                </c:pt>
                <c:pt idx="7">
                  <c:v>13</c:v>
                </c:pt>
                <c:pt idx="8">
                  <c:v>3</c:v>
                </c:pt>
                <c:pt idx="9">
                  <c:v>2</c:v>
                </c:pt>
                <c:pt idx="10">
                  <c:v>12</c:v>
                </c:pt>
                <c:pt idx="11">
                  <c:v>15</c:v>
                </c:pt>
                <c:pt idx="12">
                  <c:v>1</c:v>
                </c:pt>
                <c:pt idx="13">
                  <c:v>14</c:v>
                </c:pt>
                <c:pt idx="14">
                  <c:v>33</c:v>
                </c:pt>
                <c:pt idx="15">
                  <c:v>9</c:v>
                </c:pt>
              </c:numCache>
            </c:numRef>
          </c:val>
          <c:smooth val="0"/>
          <c:extLst>
            <c:ext xmlns:c16="http://schemas.microsoft.com/office/drawing/2014/chart" uri="{C3380CC4-5D6E-409C-BE32-E72D297353CC}">
              <c16:uniqueId val="{00000000-B312-4229-AE99-AB4893AF38AA}"/>
            </c:ext>
          </c:extLst>
        </c:ser>
        <c:ser>
          <c:idx val="1"/>
          <c:order val="1"/>
          <c:tx>
            <c:v>Staff Attitude Bad</c:v>
          </c:tx>
          <c:spPr>
            <a:ln w="28575" cap="rnd">
              <a:solidFill>
                <a:schemeClr val="accent2"/>
              </a:solid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linear"/>
            <c:dispRSqr val="0"/>
            <c:dispEq val="0"/>
          </c:trendline>
          <c:cat>
            <c:numRef>
              <c:f>'Outpatient (Old)'!$I$2479:$I$2494</c:f>
              <c:numCache>
                <c:formatCode>m/d/yyyy</c:formatCode>
                <c:ptCount val="16"/>
                <c:pt idx="0">
                  <c:v>44894</c:v>
                </c:pt>
                <c:pt idx="1">
                  <c:v>44893</c:v>
                </c:pt>
                <c:pt idx="2">
                  <c:v>44892</c:v>
                </c:pt>
                <c:pt idx="3">
                  <c:v>44891</c:v>
                </c:pt>
                <c:pt idx="4">
                  <c:v>44890</c:v>
                </c:pt>
                <c:pt idx="5">
                  <c:v>44889</c:v>
                </c:pt>
                <c:pt idx="6">
                  <c:v>44888</c:v>
                </c:pt>
                <c:pt idx="7">
                  <c:v>44887</c:v>
                </c:pt>
                <c:pt idx="8">
                  <c:v>44886</c:v>
                </c:pt>
                <c:pt idx="9">
                  <c:v>44885</c:v>
                </c:pt>
                <c:pt idx="10">
                  <c:v>44884</c:v>
                </c:pt>
                <c:pt idx="11">
                  <c:v>44883</c:v>
                </c:pt>
                <c:pt idx="12">
                  <c:v>44882</c:v>
                </c:pt>
                <c:pt idx="13">
                  <c:v>44881</c:v>
                </c:pt>
                <c:pt idx="14">
                  <c:v>44880</c:v>
                </c:pt>
                <c:pt idx="15">
                  <c:v>44879</c:v>
                </c:pt>
              </c:numCache>
            </c:numRef>
          </c:cat>
          <c:val>
            <c:numRef>
              <c:f>'Outpatient (Old)'!$T$2479:$T$2494</c:f>
              <c:numCache>
                <c:formatCode>General</c:formatCode>
                <c:ptCount val="16"/>
                <c:pt idx="0">
                  <c:v>0</c:v>
                </c:pt>
                <c:pt idx="1">
                  <c:v>0</c:v>
                </c:pt>
                <c:pt idx="2">
                  <c:v>0</c:v>
                </c:pt>
                <c:pt idx="3">
                  <c:v>2</c:v>
                </c:pt>
                <c:pt idx="4">
                  <c:v>5</c:v>
                </c:pt>
                <c:pt idx="5">
                  <c:v>0</c:v>
                </c:pt>
                <c:pt idx="6">
                  <c:v>4</c:v>
                </c:pt>
                <c:pt idx="7">
                  <c:v>6</c:v>
                </c:pt>
                <c:pt idx="8">
                  <c:v>0</c:v>
                </c:pt>
                <c:pt idx="9">
                  <c:v>1</c:v>
                </c:pt>
                <c:pt idx="10">
                  <c:v>2</c:v>
                </c:pt>
                <c:pt idx="11">
                  <c:v>4</c:v>
                </c:pt>
                <c:pt idx="12">
                  <c:v>1</c:v>
                </c:pt>
                <c:pt idx="13">
                  <c:v>6</c:v>
                </c:pt>
                <c:pt idx="14">
                  <c:v>10</c:v>
                </c:pt>
                <c:pt idx="15">
                  <c:v>1</c:v>
                </c:pt>
              </c:numCache>
            </c:numRef>
          </c:val>
          <c:smooth val="0"/>
          <c:extLst>
            <c:ext xmlns:c16="http://schemas.microsoft.com/office/drawing/2014/chart" uri="{C3380CC4-5D6E-409C-BE32-E72D297353CC}">
              <c16:uniqueId val="{00000001-B312-4229-AE99-AB4893AF38AA}"/>
            </c:ext>
          </c:extLst>
        </c:ser>
        <c:dLbls>
          <c:showLegendKey val="0"/>
          <c:showVal val="0"/>
          <c:showCatName val="0"/>
          <c:showSerName val="0"/>
          <c:showPercent val="0"/>
          <c:showBubbleSize val="0"/>
        </c:dLbls>
        <c:marker val="1"/>
        <c:smooth val="0"/>
        <c:axId val="650748656"/>
        <c:axId val="650750296"/>
      </c:lineChart>
      <c:dateAx>
        <c:axId val="65074865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0750296"/>
        <c:crosses val="autoZero"/>
        <c:auto val="1"/>
        <c:lblOffset val="100"/>
        <c:baseTimeUnit val="days"/>
      </c:dateAx>
      <c:valAx>
        <c:axId val="6507502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 of Comments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07486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Travel Pay Feedback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Travel Pay Good</c:v>
          </c:tx>
          <c:spPr>
            <a:ln w="28575"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cat>
            <c:numRef>
              <c:f>'Outpatient (Old)'!$I$2479:$I$2494</c:f>
              <c:numCache>
                <c:formatCode>m/d/yyyy</c:formatCode>
                <c:ptCount val="16"/>
                <c:pt idx="0">
                  <c:v>44894</c:v>
                </c:pt>
                <c:pt idx="1">
                  <c:v>44893</c:v>
                </c:pt>
                <c:pt idx="2">
                  <c:v>44892</c:v>
                </c:pt>
                <c:pt idx="3">
                  <c:v>44891</c:v>
                </c:pt>
                <c:pt idx="4">
                  <c:v>44890</c:v>
                </c:pt>
                <c:pt idx="5">
                  <c:v>44889</c:v>
                </c:pt>
                <c:pt idx="6">
                  <c:v>44888</c:v>
                </c:pt>
                <c:pt idx="7">
                  <c:v>44887</c:v>
                </c:pt>
                <c:pt idx="8">
                  <c:v>44886</c:v>
                </c:pt>
                <c:pt idx="9">
                  <c:v>44885</c:v>
                </c:pt>
                <c:pt idx="10">
                  <c:v>44884</c:v>
                </c:pt>
                <c:pt idx="11">
                  <c:v>44883</c:v>
                </c:pt>
                <c:pt idx="12">
                  <c:v>44882</c:v>
                </c:pt>
                <c:pt idx="13">
                  <c:v>44881</c:v>
                </c:pt>
                <c:pt idx="14">
                  <c:v>44880</c:v>
                </c:pt>
                <c:pt idx="15">
                  <c:v>44879</c:v>
                </c:pt>
              </c:numCache>
            </c:numRef>
          </c:cat>
          <c:val>
            <c:numRef>
              <c:f>'Outpatient (Old)'!$U$2479:$U$2494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extLst>
            <c:ext xmlns:c16="http://schemas.microsoft.com/office/drawing/2014/chart" uri="{C3380CC4-5D6E-409C-BE32-E72D297353CC}">
              <c16:uniqueId val="{00000000-0970-4B54-8509-743B8F0F218C}"/>
            </c:ext>
          </c:extLst>
        </c:ser>
        <c:ser>
          <c:idx val="1"/>
          <c:order val="1"/>
          <c:tx>
            <c:v>Travel Pay Bad</c:v>
          </c:tx>
          <c:spPr>
            <a:ln w="28575" cap="rnd">
              <a:solidFill>
                <a:schemeClr val="accent2"/>
              </a:solid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linear"/>
            <c:dispRSqr val="0"/>
            <c:dispEq val="0"/>
          </c:trendline>
          <c:cat>
            <c:numRef>
              <c:f>'Outpatient (Old)'!$I$2479:$I$2494</c:f>
              <c:numCache>
                <c:formatCode>m/d/yyyy</c:formatCode>
                <c:ptCount val="16"/>
                <c:pt idx="0">
                  <c:v>44894</c:v>
                </c:pt>
                <c:pt idx="1">
                  <c:v>44893</c:v>
                </c:pt>
                <c:pt idx="2">
                  <c:v>44892</c:v>
                </c:pt>
                <c:pt idx="3">
                  <c:v>44891</c:v>
                </c:pt>
                <c:pt idx="4">
                  <c:v>44890</c:v>
                </c:pt>
                <c:pt idx="5">
                  <c:v>44889</c:v>
                </c:pt>
                <c:pt idx="6">
                  <c:v>44888</c:v>
                </c:pt>
                <c:pt idx="7">
                  <c:v>44887</c:v>
                </c:pt>
                <c:pt idx="8">
                  <c:v>44886</c:v>
                </c:pt>
                <c:pt idx="9">
                  <c:v>44885</c:v>
                </c:pt>
                <c:pt idx="10">
                  <c:v>44884</c:v>
                </c:pt>
                <c:pt idx="11">
                  <c:v>44883</c:v>
                </c:pt>
                <c:pt idx="12">
                  <c:v>44882</c:v>
                </c:pt>
                <c:pt idx="13">
                  <c:v>44881</c:v>
                </c:pt>
                <c:pt idx="14">
                  <c:v>44880</c:v>
                </c:pt>
                <c:pt idx="15">
                  <c:v>44879</c:v>
                </c:pt>
              </c:numCache>
            </c:numRef>
          </c:cat>
          <c:val>
            <c:numRef>
              <c:f>'Outpatient (Old)'!$V$2479:$V$2494</c:f>
              <c:numCache>
                <c:formatCode>General</c:formatCode>
                <c:ptCount val="16"/>
                <c:pt idx="0">
                  <c:v>0</c:v>
                </c:pt>
                <c:pt idx="1">
                  <c:v>0</c:v>
                </c:pt>
                <c:pt idx="2">
                  <c:v>1</c:v>
                </c:pt>
                <c:pt idx="3">
                  <c:v>4</c:v>
                </c:pt>
                <c:pt idx="4">
                  <c:v>2</c:v>
                </c:pt>
                <c:pt idx="5">
                  <c:v>0</c:v>
                </c:pt>
                <c:pt idx="6">
                  <c:v>4</c:v>
                </c:pt>
                <c:pt idx="7">
                  <c:v>9</c:v>
                </c:pt>
                <c:pt idx="8">
                  <c:v>2</c:v>
                </c:pt>
                <c:pt idx="9">
                  <c:v>2</c:v>
                </c:pt>
                <c:pt idx="10">
                  <c:v>1</c:v>
                </c:pt>
                <c:pt idx="11">
                  <c:v>4</c:v>
                </c:pt>
                <c:pt idx="12">
                  <c:v>1</c:v>
                </c:pt>
                <c:pt idx="13">
                  <c:v>5</c:v>
                </c:pt>
                <c:pt idx="14">
                  <c:v>6</c:v>
                </c:pt>
                <c:pt idx="15">
                  <c:v>3</c:v>
                </c:pt>
              </c:numCache>
            </c:numRef>
          </c:val>
          <c:smooth val="0"/>
          <c:extLst>
            <c:ext xmlns:c16="http://schemas.microsoft.com/office/drawing/2014/chart" uri="{C3380CC4-5D6E-409C-BE32-E72D297353CC}">
              <c16:uniqueId val="{00000001-0970-4B54-8509-743B8F0F218C}"/>
            </c:ext>
          </c:extLst>
        </c:ser>
        <c:dLbls>
          <c:showLegendKey val="0"/>
          <c:showVal val="0"/>
          <c:showCatName val="0"/>
          <c:showSerName val="0"/>
          <c:showPercent val="0"/>
          <c:showBubbleSize val="0"/>
        </c:dLbls>
        <c:marker val="1"/>
        <c:smooth val="0"/>
        <c:axId val="1851569864"/>
        <c:axId val="753510664"/>
      </c:lineChart>
      <c:dateAx>
        <c:axId val="185156986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3510664"/>
        <c:crosses val="autoZero"/>
        <c:auto val="1"/>
        <c:lblOffset val="100"/>
        <c:baseTimeUnit val="days"/>
      </c:dateAx>
      <c:valAx>
        <c:axId val="7535106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 of Comments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15698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Wait Time (Between Arrival and Checkout) Feedback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Wait Time Good</c:v>
          </c:tx>
          <c:spPr>
            <a:ln w="28575"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cat>
            <c:numRef>
              <c:f>'Outpatient (Old)'!$I$2479:$I$2494</c:f>
              <c:numCache>
                <c:formatCode>m/d/yyyy</c:formatCode>
                <c:ptCount val="16"/>
                <c:pt idx="0">
                  <c:v>44894</c:v>
                </c:pt>
                <c:pt idx="1">
                  <c:v>44893</c:v>
                </c:pt>
                <c:pt idx="2">
                  <c:v>44892</c:v>
                </c:pt>
                <c:pt idx="3">
                  <c:v>44891</c:v>
                </c:pt>
                <c:pt idx="4">
                  <c:v>44890</c:v>
                </c:pt>
                <c:pt idx="5">
                  <c:v>44889</c:v>
                </c:pt>
                <c:pt idx="6">
                  <c:v>44888</c:v>
                </c:pt>
                <c:pt idx="7">
                  <c:v>44887</c:v>
                </c:pt>
                <c:pt idx="8">
                  <c:v>44886</c:v>
                </c:pt>
                <c:pt idx="9">
                  <c:v>44885</c:v>
                </c:pt>
                <c:pt idx="10">
                  <c:v>44884</c:v>
                </c:pt>
                <c:pt idx="11">
                  <c:v>44883</c:v>
                </c:pt>
                <c:pt idx="12">
                  <c:v>44882</c:v>
                </c:pt>
                <c:pt idx="13">
                  <c:v>44881</c:v>
                </c:pt>
                <c:pt idx="14">
                  <c:v>44880</c:v>
                </c:pt>
                <c:pt idx="15">
                  <c:v>44879</c:v>
                </c:pt>
              </c:numCache>
            </c:numRef>
          </c:cat>
          <c:val>
            <c:numRef>
              <c:f>'Outpatient (Old)'!$X$2479:$X$2494</c:f>
              <c:numCache>
                <c:formatCode>General</c:formatCode>
                <c:ptCount val="16"/>
                <c:pt idx="0">
                  <c:v>0</c:v>
                </c:pt>
                <c:pt idx="1">
                  <c:v>0</c:v>
                </c:pt>
                <c:pt idx="2">
                  <c:v>0</c:v>
                </c:pt>
                <c:pt idx="3">
                  <c:v>3</c:v>
                </c:pt>
                <c:pt idx="4">
                  <c:v>3</c:v>
                </c:pt>
                <c:pt idx="5">
                  <c:v>1</c:v>
                </c:pt>
                <c:pt idx="6">
                  <c:v>1</c:v>
                </c:pt>
                <c:pt idx="7">
                  <c:v>0</c:v>
                </c:pt>
                <c:pt idx="8">
                  <c:v>0</c:v>
                </c:pt>
                <c:pt idx="9">
                  <c:v>0</c:v>
                </c:pt>
                <c:pt idx="10">
                  <c:v>2</c:v>
                </c:pt>
                <c:pt idx="11">
                  <c:v>1</c:v>
                </c:pt>
                <c:pt idx="12">
                  <c:v>0</c:v>
                </c:pt>
                <c:pt idx="13">
                  <c:v>1</c:v>
                </c:pt>
                <c:pt idx="14">
                  <c:v>7</c:v>
                </c:pt>
                <c:pt idx="15">
                  <c:v>1</c:v>
                </c:pt>
              </c:numCache>
            </c:numRef>
          </c:val>
          <c:smooth val="0"/>
          <c:extLst>
            <c:ext xmlns:c16="http://schemas.microsoft.com/office/drawing/2014/chart" uri="{C3380CC4-5D6E-409C-BE32-E72D297353CC}">
              <c16:uniqueId val="{00000000-45B4-44BA-A578-409A21A03CDE}"/>
            </c:ext>
          </c:extLst>
        </c:ser>
        <c:ser>
          <c:idx val="1"/>
          <c:order val="1"/>
          <c:tx>
            <c:v>Wait Time Bad</c:v>
          </c:tx>
          <c:spPr>
            <a:ln w="28575" cap="rnd">
              <a:solidFill>
                <a:schemeClr val="accent2"/>
              </a:solid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linear"/>
            <c:dispRSqr val="0"/>
            <c:dispEq val="0"/>
          </c:trendline>
          <c:cat>
            <c:numRef>
              <c:f>'Outpatient (Old)'!$I$2479:$I$2494</c:f>
              <c:numCache>
                <c:formatCode>m/d/yyyy</c:formatCode>
                <c:ptCount val="16"/>
                <c:pt idx="0">
                  <c:v>44894</c:v>
                </c:pt>
                <c:pt idx="1">
                  <c:v>44893</c:v>
                </c:pt>
                <c:pt idx="2">
                  <c:v>44892</c:v>
                </c:pt>
                <c:pt idx="3">
                  <c:v>44891</c:v>
                </c:pt>
                <c:pt idx="4">
                  <c:v>44890</c:v>
                </c:pt>
                <c:pt idx="5">
                  <c:v>44889</c:v>
                </c:pt>
                <c:pt idx="6">
                  <c:v>44888</c:v>
                </c:pt>
                <c:pt idx="7">
                  <c:v>44887</c:v>
                </c:pt>
                <c:pt idx="8">
                  <c:v>44886</c:v>
                </c:pt>
                <c:pt idx="9">
                  <c:v>44885</c:v>
                </c:pt>
                <c:pt idx="10">
                  <c:v>44884</c:v>
                </c:pt>
                <c:pt idx="11">
                  <c:v>44883</c:v>
                </c:pt>
                <c:pt idx="12">
                  <c:v>44882</c:v>
                </c:pt>
                <c:pt idx="13">
                  <c:v>44881</c:v>
                </c:pt>
                <c:pt idx="14">
                  <c:v>44880</c:v>
                </c:pt>
                <c:pt idx="15">
                  <c:v>44879</c:v>
                </c:pt>
              </c:numCache>
            </c:numRef>
          </c:cat>
          <c:val>
            <c:numRef>
              <c:f>'Outpatient (Old)'!$Y$2479:$Y$2494</c:f>
              <c:numCache>
                <c:formatCode>General</c:formatCode>
                <c:ptCount val="16"/>
                <c:pt idx="0">
                  <c:v>0</c:v>
                </c:pt>
                <c:pt idx="1">
                  <c:v>0</c:v>
                </c:pt>
                <c:pt idx="2">
                  <c:v>0</c:v>
                </c:pt>
                <c:pt idx="3">
                  <c:v>2</c:v>
                </c:pt>
                <c:pt idx="4">
                  <c:v>2</c:v>
                </c:pt>
                <c:pt idx="5">
                  <c:v>1</c:v>
                </c:pt>
                <c:pt idx="6">
                  <c:v>4</c:v>
                </c:pt>
                <c:pt idx="7">
                  <c:v>5</c:v>
                </c:pt>
                <c:pt idx="8">
                  <c:v>4</c:v>
                </c:pt>
                <c:pt idx="9">
                  <c:v>0</c:v>
                </c:pt>
                <c:pt idx="10">
                  <c:v>2</c:v>
                </c:pt>
                <c:pt idx="11">
                  <c:v>4</c:v>
                </c:pt>
                <c:pt idx="12">
                  <c:v>13</c:v>
                </c:pt>
                <c:pt idx="13">
                  <c:v>7</c:v>
                </c:pt>
                <c:pt idx="14">
                  <c:v>6</c:v>
                </c:pt>
                <c:pt idx="15">
                  <c:v>7</c:v>
                </c:pt>
              </c:numCache>
            </c:numRef>
          </c:val>
          <c:smooth val="0"/>
          <c:extLst>
            <c:ext xmlns:c16="http://schemas.microsoft.com/office/drawing/2014/chart" uri="{C3380CC4-5D6E-409C-BE32-E72D297353CC}">
              <c16:uniqueId val="{00000001-45B4-44BA-A578-409A21A03CDE}"/>
            </c:ext>
          </c:extLst>
        </c:ser>
        <c:dLbls>
          <c:showLegendKey val="0"/>
          <c:showVal val="0"/>
          <c:showCatName val="0"/>
          <c:showSerName val="0"/>
          <c:showPercent val="0"/>
          <c:showBubbleSize val="0"/>
        </c:dLbls>
        <c:marker val="1"/>
        <c:smooth val="0"/>
        <c:axId val="698596456"/>
        <c:axId val="698597112"/>
      </c:lineChart>
      <c:dateAx>
        <c:axId val="69859645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8597112"/>
        <c:crosses val="autoZero"/>
        <c:auto val="1"/>
        <c:lblOffset val="100"/>
        <c:baseTimeUnit val="days"/>
      </c:dateAx>
      <c:valAx>
        <c:axId val="6985971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 of Comments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85964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Mobile Check-in</a:t>
            </a:r>
            <a:r>
              <a:rPr lang="en-US" baseline="0"/>
              <a:t> Feedback </a:t>
            </a:r>
            <a:br>
              <a:rPr lang="en-US" baseline="0"/>
            </a:br>
            <a:r>
              <a:rPr lang="en-US" baseline="0"/>
              <a:t>(Total Comments Over 2 Weeks)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'Outpatient (Old)'!$I$2979:$I$2994</c:f>
              <c:numCache>
                <c:formatCode>m/d/yyyy</c:formatCode>
                <c:ptCount val="16"/>
                <c:pt idx="0">
                  <c:v>44893</c:v>
                </c:pt>
                <c:pt idx="1">
                  <c:v>44894</c:v>
                </c:pt>
                <c:pt idx="2">
                  <c:v>44895</c:v>
                </c:pt>
                <c:pt idx="3">
                  <c:v>44896</c:v>
                </c:pt>
                <c:pt idx="4">
                  <c:v>44897</c:v>
                </c:pt>
                <c:pt idx="5">
                  <c:v>44898</c:v>
                </c:pt>
                <c:pt idx="6">
                  <c:v>44899</c:v>
                </c:pt>
                <c:pt idx="7">
                  <c:v>44900</c:v>
                </c:pt>
                <c:pt idx="8">
                  <c:v>44901</c:v>
                </c:pt>
                <c:pt idx="9">
                  <c:v>44902</c:v>
                </c:pt>
                <c:pt idx="10">
                  <c:v>44903</c:v>
                </c:pt>
                <c:pt idx="11">
                  <c:v>44904</c:v>
                </c:pt>
                <c:pt idx="12">
                  <c:v>44905</c:v>
                </c:pt>
                <c:pt idx="13">
                  <c:v>44906</c:v>
                </c:pt>
                <c:pt idx="14">
                  <c:v>44907</c:v>
                </c:pt>
                <c:pt idx="15">
                  <c:v>44908</c:v>
                </c:pt>
              </c:numCache>
            </c:numRef>
          </c:cat>
          <c:val>
            <c:numRef>
              <c:f>'Outpatient (Old)'!$J$2979:$J$2994</c:f>
            </c:numRef>
          </c:val>
          <c:smooth val="0"/>
          <c:extLst>
            <c:ext xmlns:c16="http://schemas.microsoft.com/office/drawing/2014/chart" uri="{C3380CC4-5D6E-409C-BE32-E72D297353CC}">
              <c16:uniqueId val="{00000000-A3B1-4E27-9954-D8D928349807}"/>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f>'Outpatient (Old)'!$I$2979:$I$2994</c:f>
              <c:numCache>
                <c:formatCode>m/d/yyyy</c:formatCode>
                <c:ptCount val="16"/>
                <c:pt idx="0">
                  <c:v>44893</c:v>
                </c:pt>
                <c:pt idx="1">
                  <c:v>44894</c:v>
                </c:pt>
                <c:pt idx="2">
                  <c:v>44895</c:v>
                </c:pt>
                <c:pt idx="3">
                  <c:v>44896</c:v>
                </c:pt>
                <c:pt idx="4">
                  <c:v>44897</c:v>
                </c:pt>
                <c:pt idx="5">
                  <c:v>44898</c:v>
                </c:pt>
                <c:pt idx="6">
                  <c:v>44899</c:v>
                </c:pt>
                <c:pt idx="7">
                  <c:v>44900</c:v>
                </c:pt>
                <c:pt idx="8">
                  <c:v>44901</c:v>
                </c:pt>
                <c:pt idx="9">
                  <c:v>44902</c:v>
                </c:pt>
                <c:pt idx="10">
                  <c:v>44903</c:v>
                </c:pt>
                <c:pt idx="11">
                  <c:v>44904</c:v>
                </c:pt>
                <c:pt idx="12">
                  <c:v>44905</c:v>
                </c:pt>
                <c:pt idx="13">
                  <c:v>44906</c:v>
                </c:pt>
                <c:pt idx="14">
                  <c:v>44907</c:v>
                </c:pt>
                <c:pt idx="15">
                  <c:v>44908</c:v>
                </c:pt>
              </c:numCache>
            </c:numRef>
          </c:cat>
          <c:val>
            <c:numRef>
              <c:f>'Outpatient (Old)'!$K$2979:$K$2994</c:f>
            </c:numRef>
          </c:val>
          <c:smooth val="0"/>
          <c:extLst>
            <c:ext xmlns:c16="http://schemas.microsoft.com/office/drawing/2014/chart" uri="{C3380CC4-5D6E-409C-BE32-E72D297353CC}">
              <c16:uniqueId val="{00000001-A3B1-4E27-9954-D8D928349807}"/>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cat>
            <c:numRef>
              <c:f>'Outpatient (Old)'!$I$2979:$I$2994</c:f>
              <c:numCache>
                <c:formatCode>m/d/yyyy</c:formatCode>
                <c:ptCount val="16"/>
                <c:pt idx="0">
                  <c:v>44893</c:v>
                </c:pt>
                <c:pt idx="1">
                  <c:v>44894</c:v>
                </c:pt>
                <c:pt idx="2">
                  <c:v>44895</c:v>
                </c:pt>
                <c:pt idx="3">
                  <c:v>44896</c:v>
                </c:pt>
                <c:pt idx="4">
                  <c:v>44897</c:v>
                </c:pt>
                <c:pt idx="5">
                  <c:v>44898</c:v>
                </c:pt>
                <c:pt idx="6">
                  <c:v>44899</c:v>
                </c:pt>
                <c:pt idx="7">
                  <c:v>44900</c:v>
                </c:pt>
                <c:pt idx="8">
                  <c:v>44901</c:v>
                </c:pt>
                <c:pt idx="9">
                  <c:v>44902</c:v>
                </c:pt>
                <c:pt idx="10">
                  <c:v>44903</c:v>
                </c:pt>
                <c:pt idx="11">
                  <c:v>44904</c:v>
                </c:pt>
                <c:pt idx="12">
                  <c:v>44905</c:v>
                </c:pt>
                <c:pt idx="13">
                  <c:v>44906</c:v>
                </c:pt>
                <c:pt idx="14">
                  <c:v>44907</c:v>
                </c:pt>
                <c:pt idx="15">
                  <c:v>44908</c:v>
                </c:pt>
              </c:numCache>
            </c:numRef>
          </c:cat>
          <c:val>
            <c:numRef>
              <c:f>'Outpatient (Old)'!$L$2979:$L$2994</c:f>
            </c:numRef>
          </c:val>
          <c:smooth val="0"/>
          <c:extLst>
            <c:ext xmlns:c16="http://schemas.microsoft.com/office/drawing/2014/chart" uri="{C3380CC4-5D6E-409C-BE32-E72D297353CC}">
              <c16:uniqueId val="{00000002-A3B1-4E27-9954-D8D928349807}"/>
            </c:ext>
          </c:extLst>
        </c:ser>
        <c:ser>
          <c:idx val="3"/>
          <c:order val="3"/>
          <c:tx>
            <c:v>Mobile Check-in Good</c:v>
          </c:tx>
          <c:spPr>
            <a:ln w="28575" cap="rnd">
              <a:solidFill>
                <a:schemeClr val="accent4"/>
              </a:solidFill>
              <a:round/>
            </a:ln>
            <a:effectLst/>
          </c:spPr>
          <c:marker>
            <c:symbol val="circle"/>
            <c:size val="5"/>
            <c:spPr>
              <a:solidFill>
                <a:schemeClr val="accent4"/>
              </a:solidFill>
              <a:ln w="9525">
                <a:solidFill>
                  <a:schemeClr val="accent4"/>
                </a:solidFill>
              </a:ln>
              <a:effectLst/>
            </c:spPr>
          </c:marker>
          <c:trendline>
            <c:spPr>
              <a:ln w="19050" cap="rnd">
                <a:solidFill>
                  <a:schemeClr val="accent4"/>
                </a:solidFill>
                <a:prstDash val="sysDot"/>
              </a:ln>
              <a:effectLst/>
            </c:spPr>
            <c:trendlineType val="linear"/>
            <c:dispRSqr val="0"/>
            <c:dispEq val="0"/>
          </c:trendline>
          <c:cat>
            <c:numRef>
              <c:f>'Outpatient (Old)'!$I$2979:$I$2994</c:f>
              <c:numCache>
                <c:formatCode>m/d/yyyy</c:formatCode>
                <c:ptCount val="16"/>
                <c:pt idx="0">
                  <c:v>44893</c:v>
                </c:pt>
                <c:pt idx="1">
                  <c:v>44894</c:v>
                </c:pt>
                <c:pt idx="2">
                  <c:v>44895</c:v>
                </c:pt>
                <c:pt idx="3">
                  <c:v>44896</c:v>
                </c:pt>
                <c:pt idx="4">
                  <c:v>44897</c:v>
                </c:pt>
                <c:pt idx="5">
                  <c:v>44898</c:v>
                </c:pt>
                <c:pt idx="6">
                  <c:v>44899</c:v>
                </c:pt>
                <c:pt idx="7">
                  <c:v>44900</c:v>
                </c:pt>
                <c:pt idx="8">
                  <c:v>44901</c:v>
                </c:pt>
                <c:pt idx="9">
                  <c:v>44902</c:v>
                </c:pt>
                <c:pt idx="10">
                  <c:v>44903</c:v>
                </c:pt>
                <c:pt idx="11">
                  <c:v>44904</c:v>
                </c:pt>
                <c:pt idx="12">
                  <c:v>44905</c:v>
                </c:pt>
                <c:pt idx="13">
                  <c:v>44906</c:v>
                </c:pt>
                <c:pt idx="14">
                  <c:v>44907</c:v>
                </c:pt>
                <c:pt idx="15">
                  <c:v>44908</c:v>
                </c:pt>
              </c:numCache>
            </c:numRef>
          </c:cat>
          <c:val>
            <c:numRef>
              <c:f>'Outpatient (Old)'!$M$2979:$M$2994</c:f>
              <c:numCache>
                <c:formatCode>General</c:formatCode>
                <c:ptCount val="16"/>
                <c:pt idx="0">
                  <c:v>0</c:v>
                </c:pt>
                <c:pt idx="1">
                  <c:v>2</c:v>
                </c:pt>
                <c:pt idx="2">
                  <c:v>0</c:v>
                </c:pt>
                <c:pt idx="3">
                  <c:v>0</c:v>
                </c:pt>
                <c:pt idx="4">
                  <c:v>0</c:v>
                </c:pt>
                <c:pt idx="5">
                  <c:v>1</c:v>
                </c:pt>
                <c:pt idx="6">
                  <c:v>0</c:v>
                </c:pt>
                <c:pt idx="7">
                  <c:v>0</c:v>
                </c:pt>
                <c:pt idx="8">
                  <c:v>1</c:v>
                </c:pt>
                <c:pt idx="9">
                  <c:v>0</c:v>
                </c:pt>
                <c:pt idx="10">
                  <c:v>0</c:v>
                </c:pt>
                <c:pt idx="11">
                  <c:v>0</c:v>
                </c:pt>
                <c:pt idx="12">
                  <c:v>1</c:v>
                </c:pt>
                <c:pt idx="13">
                  <c:v>0</c:v>
                </c:pt>
                <c:pt idx="14">
                  <c:v>1</c:v>
                </c:pt>
                <c:pt idx="15">
                  <c:v>0</c:v>
                </c:pt>
              </c:numCache>
            </c:numRef>
          </c:val>
          <c:smooth val="0"/>
          <c:extLst>
            <c:ext xmlns:c16="http://schemas.microsoft.com/office/drawing/2014/chart" uri="{C3380CC4-5D6E-409C-BE32-E72D297353CC}">
              <c16:uniqueId val="{00000003-A3B1-4E27-9954-D8D928349807}"/>
            </c:ext>
          </c:extLst>
        </c:ser>
        <c:ser>
          <c:idx val="4"/>
          <c:order val="4"/>
          <c:tx>
            <c:v>Mobile Check-in Bad</c:v>
          </c:tx>
          <c:spPr>
            <a:ln w="28575" cap="rnd">
              <a:solidFill>
                <a:schemeClr val="accent5"/>
              </a:solidFill>
              <a:round/>
            </a:ln>
            <a:effectLst/>
          </c:spPr>
          <c:marker>
            <c:symbol val="circle"/>
            <c:size val="5"/>
            <c:spPr>
              <a:solidFill>
                <a:schemeClr val="accent5"/>
              </a:solidFill>
              <a:ln w="9525">
                <a:solidFill>
                  <a:schemeClr val="accent5"/>
                </a:solidFill>
              </a:ln>
              <a:effectLst/>
            </c:spPr>
          </c:marker>
          <c:trendline>
            <c:spPr>
              <a:ln w="19050" cap="rnd">
                <a:solidFill>
                  <a:schemeClr val="accent5"/>
                </a:solidFill>
                <a:prstDash val="sysDot"/>
              </a:ln>
              <a:effectLst/>
            </c:spPr>
            <c:trendlineType val="linear"/>
            <c:dispRSqr val="0"/>
            <c:dispEq val="0"/>
          </c:trendline>
          <c:cat>
            <c:numRef>
              <c:f>'Outpatient (Old)'!$I$2979:$I$2994</c:f>
              <c:numCache>
                <c:formatCode>m/d/yyyy</c:formatCode>
                <c:ptCount val="16"/>
                <c:pt idx="0">
                  <c:v>44893</c:v>
                </c:pt>
                <c:pt idx="1">
                  <c:v>44894</c:v>
                </c:pt>
                <c:pt idx="2">
                  <c:v>44895</c:v>
                </c:pt>
                <c:pt idx="3">
                  <c:v>44896</c:v>
                </c:pt>
                <c:pt idx="4">
                  <c:v>44897</c:v>
                </c:pt>
                <c:pt idx="5">
                  <c:v>44898</c:v>
                </c:pt>
                <c:pt idx="6">
                  <c:v>44899</c:v>
                </c:pt>
                <c:pt idx="7">
                  <c:v>44900</c:v>
                </c:pt>
                <c:pt idx="8">
                  <c:v>44901</c:v>
                </c:pt>
                <c:pt idx="9">
                  <c:v>44902</c:v>
                </c:pt>
                <c:pt idx="10">
                  <c:v>44903</c:v>
                </c:pt>
                <c:pt idx="11">
                  <c:v>44904</c:v>
                </c:pt>
                <c:pt idx="12">
                  <c:v>44905</c:v>
                </c:pt>
                <c:pt idx="13">
                  <c:v>44906</c:v>
                </c:pt>
                <c:pt idx="14">
                  <c:v>44907</c:v>
                </c:pt>
                <c:pt idx="15">
                  <c:v>44908</c:v>
                </c:pt>
              </c:numCache>
            </c:numRef>
          </c:cat>
          <c:val>
            <c:numRef>
              <c:f>'Outpatient (Old)'!$N$2979:$N$2994</c:f>
              <c:numCache>
                <c:formatCode>General</c:formatCode>
                <c:ptCount val="16"/>
                <c:pt idx="0">
                  <c:v>1</c:v>
                </c:pt>
                <c:pt idx="1">
                  <c:v>4</c:v>
                </c:pt>
                <c:pt idx="2">
                  <c:v>5</c:v>
                </c:pt>
                <c:pt idx="3">
                  <c:v>1</c:v>
                </c:pt>
                <c:pt idx="4">
                  <c:v>2</c:v>
                </c:pt>
                <c:pt idx="5">
                  <c:v>5</c:v>
                </c:pt>
                <c:pt idx="6">
                  <c:v>2</c:v>
                </c:pt>
                <c:pt idx="7">
                  <c:v>2</c:v>
                </c:pt>
                <c:pt idx="8">
                  <c:v>3</c:v>
                </c:pt>
                <c:pt idx="9">
                  <c:v>2</c:v>
                </c:pt>
                <c:pt idx="10">
                  <c:v>0</c:v>
                </c:pt>
                <c:pt idx="11">
                  <c:v>3</c:v>
                </c:pt>
                <c:pt idx="12">
                  <c:v>8</c:v>
                </c:pt>
                <c:pt idx="13">
                  <c:v>3</c:v>
                </c:pt>
                <c:pt idx="14">
                  <c:v>2</c:v>
                </c:pt>
                <c:pt idx="15">
                  <c:v>2</c:v>
                </c:pt>
              </c:numCache>
            </c:numRef>
          </c:val>
          <c:smooth val="0"/>
          <c:extLst>
            <c:ext xmlns:c16="http://schemas.microsoft.com/office/drawing/2014/chart" uri="{C3380CC4-5D6E-409C-BE32-E72D297353CC}">
              <c16:uniqueId val="{00000004-A3B1-4E27-9954-D8D928349807}"/>
            </c:ext>
          </c:extLst>
        </c:ser>
        <c:dLbls>
          <c:showLegendKey val="0"/>
          <c:showVal val="0"/>
          <c:showCatName val="0"/>
          <c:showSerName val="0"/>
          <c:showPercent val="0"/>
          <c:showBubbleSize val="0"/>
        </c:dLbls>
        <c:marker val="1"/>
        <c:smooth val="0"/>
        <c:axId val="702934360"/>
        <c:axId val="702938296"/>
      </c:lineChart>
      <c:dateAx>
        <c:axId val="70293436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2938296"/>
        <c:crosses val="autoZero"/>
        <c:auto val="1"/>
        <c:lblOffset val="100"/>
        <c:baseTimeUnit val="days"/>
      </c:dateAx>
      <c:valAx>
        <c:axId val="7029382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Number of Comments</a:t>
                </a:r>
              </a:p>
              <a:p>
                <a:pPr>
                  <a:defRPr/>
                </a:pP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2934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Mobile Check-in</a:t>
            </a:r>
            <a:r>
              <a:rPr lang="en-US" baseline="0"/>
              <a:t> </a:t>
            </a:r>
            <a:r>
              <a:rPr lang="en-US"/>
              <a:t>Comments </a:t>
            </a:r>
            <a:br>
              <a:rPr lang="en-US"/>
            </a:br>
            <a:r>
              <a:rPr lang="en-US"/>
              <a:t>(Percentage</a:t>
            </a:r>
            <a:r>
              <a:rPr lang="en-US" baseline="0"/>
              <a:t> Across Reporting Periods)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'12-23-2022Trends'!$B$2</c:f>
              <c:strCache>
                <c:ptCount val="1"/>
                <c:pt idx="0">
                  <c:v>Mobile Check-in Good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'12-23-2022Trends'!$A$3:$A$4</c:f>
              <c:strCache>
                <c:ptCount val="2"/>
                <c:pt idx="0">
                  <c:v>11/14/2022 - 11/29/2022</c:v>
                </c:pt>
                <c:pt idx="1">
                  <c:v>11/28/2022 - 12/13/2022</c:v>
                </c:pt>
              </c:strCache>
            </c:strRef>
          </c:cat>
          <c:val>
            <c:numRef>
              <c:f>'12-23-2022Trends'!$B$3:$B$4</c:f>
              <c:numCache>
                <c:formatCode>0.00</c:formatCode>
                <c:ptCount val="2"/>
                <c:pt idx="0">
                  <c:v>2.1786492374727668</c:v>
                </c:pt>
                <c:pt idx="1">
                  <c:v>1.2605042016806722</c:v>
                </c:pt>
              </c:numCache>
            </c:numRef>
          </c:val>
          <c:smooth val="0"/>
          <c:extLst>
            <c:ext xmlns:c16="http://schemas.microsoft.com/office/drawing/2014/chart" uri="{C3380CC4-5D6E-409C-BE32-E72D297353CC}">
              <c16:uniqueId val="{00000000-8AAD-442E-8B7E-E198839BF0A0}"/>
            </c:ext>
          </c:extLst>
        </c:ser>
        <c:ser>
          <c:idx val="1"/>
          <c:order val="1"/>
          <c:tx>
            <c:strRef>
              <c:f>'12-23-2022Trends'!$C$2</c:f>
              <c:strCache>
                <c:ptCount val="1"/>
                <c:pt idx="0">
                  <c:v>Mobile Check-in Bad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'12-23-2022Trends'!$A$3:$A$4</c:f>
              <c:strCache>
                <c:ptCount val="2"/>
                <c:pt idx="0">
                  <c:v>11/14/2022 - 11/29/2022</c:v>
                </c:pt>
                <c:pt idx="1">
                  <c:v>11/28/2022 - 12/13/2022</c:v>
                </c:pt>
              </c:strCache>
            </c:strRef>
          </c:cat>
          <c:val>
            <c:numRef>
              <c:f>'12-23-2022Trends'!$C$3:$C$4</c:f>
              <c:numCache>
                <c:formatCode>0.00</c:formatCode>
                <c:ptCount val="2"/>
                <c:pt idx="0">
                  <c:v>9.1503267973856204</c:v>
                </c:pt>
                <c:pt idx="1">
                  <c:v>9.4537815126050422</c:v>
                </c:pt>
              </c:numCache>
            </c:numRef>
          </c:val>
          <c:smooth val="0"/>
          <c:extLst>
            <c:ext xmlns:c16="http://schemas.microsoft.com/office/drawing/2014/chart" uri="{C3380CC4-5D6E-409C-BE32-E72D297353CC}">
              <c16:uniqueId val="{00000001-8AAD-442E-8B7E-E198839BF0A0}"/>
            </c:ext>
          </c:extLst>
        </c:ser>
        <c:dLbls>
          <c:dLblPos val="t"/>
          <c:showLegendKey val="0"/>
          <c:showVal val="1"/>
          <c:showCatName val="0"/>
          <c:showSerName val="0"/>
          <c:showPercent val="0"/>
          <c:showBubbleSize val="0"/>
        </c:dLbls>
        <c:marker val="1"/>
        <c:smooth val="0"/>
        <c:axId val="690993824"/>
        <c:axId val="690994480"/>
      </c:lineChart>
      <c:catAx>
        <c:axId val="6909938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Reporting Period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0994480"/>
        <c:crosses val="autoZero"/>
        <c:auto val="1"/>
        <c:lblAlgn val="ctr"/>
        <c:lblOffset val="100"/>
        <c:noMultiLvlLbl val="0"/>
      </c:catAx>
      <c:valAx>
        <c:axId val="6909944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Percentage of All Comments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0993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General Check-in Comments</a:t>
            </a:r>
            <a:br>
              <a:rPr lang="en-US"/>
            </a:br>
            <a:r>
              <a:rPr lang="en-US"/>
              <a:t>(Percentage Across Reporting</a:t>
            </a:r>
            <a:r>
              <a:rPr lang="en-US" baseline="0"/>
              <a:t> Periods)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'12-23-2022Trends'!$D$2</c:f>
              <c:strCache>
                <c:ptCount val="1"/>
                <c:pt idx="0">
                  <c:v>General Check-in Good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'12-23-2022Trends'!$A$3:$A$4</c:f>
              <c:strCache>
                <c:ptCount val="2"/>
                <c:pt idx="0">
                  <c:v>11/14/2022 - 11/29/2022</c:v>
                </c:pt>
                <c:pt idx="1">
                  <c:v>11/28/2022 - 12/13/2022</c:v>
                </c:pt>
              </c:strCache>
            </c:strRef>
          </c:cat>
          <c:val>
            <c:numRef>
              <c:f>'12-23-2022Trends'!$D$3:$D$4</c:f>
              <c:numCache>
                <c:formatCode>0.00</c:formatCode>
                <c:ptCount val="2"/>
                <c:pt idx="0">
                  <c:v>6.318082788671024</c:v>
                </c:pt>
                <c:pt idx="1">
                  <c:v>6.3025210084033612</c:v>
                </c:pt>
              </c:numCache>
            </c:numRef>
          </c:val>
          <c:smooth val="0"/>
          <c:extLst>
            <c:ext xmlns:c16="http://schemas.microsoft.com/office/drawing/2014/chart" uri="{C3380CC4-5D6E-409C-BE32-E72D297353CC}">
              <c16:uniqueId val="{00000000-9641-4EE6-8D32-707507308B9C}"/>
            </c:ext>
          </c:extLst>
        </c:ser>
        <c:ser>
          <c:idx val="1"/>
          <c:order val="1"/>
          <c:tx>
            <c:strRef>
              <c:f>'12-23-2022Trends'!$E$2</c:f>
              <c:strCache>
                <c:ptCount val="1"/>
                <c:pt idx="0">
                  <c:v>General Check-in Bad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'12-23-2022Trends'!$A$3:$A$4</c:f>
              <c:strCache>
                <c:ptCount val="2"/>
                <c:pt idx="0">
                  <c:v>11/14/2022 - 11/29/2022</c:v>
                </c:pt>
                <c:pt idx="1">
                  <c:v>11/28/2022 - 12/13/2022</c:v>
                </c:pt>
              </c:strCache>
            </c:strRef>
          </c:cat>
          <c:val>
            <c:numRef>
              <c:f>'12-23-2022Trends'!$E$3:$E$4</c:f>
              <c:numCache>
                <c:formatCode>0.00</c:formatCode>
                <c:ptCount val="2"/>
                <c:pt idx="0">
                  <c:v>12.854030501089325</c:v>
                </c:pt>
                <c:pt idx="1">
                  <c:v>13.445378151260504</c:v>
                </c:pt>
              </c:numCache>
            </c:numRef>
          </c:val>
          <c:smooth val="0"/>
          <c:extLst>
            <c:ext xmlns:c16="http://schemas.microsoft.com/office/drawing/2014/chart" uri="{C3380CC4-5D6E-409C-BE32-E72D297353CC}">
              <c16:uniqueId val="{00000001-9641-4EE6-8D32-707507308B9C}"/>
            </c:ext>
          </c:extLst>
        </c:ser>
        <c:dLbls>
          <c:dLblPos val="t"/>
          <c:showLegendKey val="0"/>
          <c:showVal val="1"/>
          <c:showCatName val="0"/>
          <c:showSerName val="0"/>
          <c:showPercent val="0"/>
          <c:showBubbleSize val="0"/>
        </c:dLbls>
        <c:marker val="1"/>
        <c:smooth val="0"/>
        <c:axId val="808175008"/>
        <c:axId val="808172712"/>
      </c:lineChart>
      <c:catAx>
        <c:axId val="8081750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Reporting Period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8172712"/>
        <c:crosses val="autoZero"/>
        <c:auto val="1"/>
        <c:lblAlgn val="ctr"/>
        <c:lblOffset val="100"/>
        <c:noMultiLvlLbl val="0"/>
      </c:catAx>
      <c:valAx>
        <c:axId val="8081727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Percentag e of All Comments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81750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Kiosk Comments</a:t>
            </a:r>
            <a:br>
              <a:rPr lang="en-US"/>
            </a:br>
            <a:r>
              <a:rPr lang="en-US"/>
              <a:t>(Percentage Across</a:t>
            </a:r>
            <a:r>
              <a:rPr lang="en-US" baseline="0"/>
              <a:t> Reporting Periods)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'12-23-2022Trends'!$F$2</c:f>
              <c:strCache>
                <c:ptCount val="1"/>
                <c:pt idx="0">
                  <c:v>Kiosk Good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'12-23-2022Trends'!$A$3:$A$4</c:f>
              <c:strCache>
                <c:ptCount val="2"/>
                <c:pt idx="0">
                  <c:v>11/14/2022 - 11/29/2022</c:v>
                </c:pt>
                <c:pt idx="1">
                  <c:v>11/28/2022 - 12/13/2022</c:v>
                </c:pt>
              </c:strCache>
            </c:strRef>
          </c:cat>
          <c:val>
            <c:numRef>
              <c:f>'12-23-2022Trends'!$F$3:$F$4</c:f>
              <c:numCache>
                <c:formatCode>0.00</c:formatCode>
                <c:ptCount val="2"/>
                <c:pt idx="0">
                  <c:v>20.043572984749456</c:v>
                </c:pt>
                <c:pt idx="1">
                  <c:v>16.596638655462183</c:v>
                </c:pt>
              </c:numCache>
            </c:numRef>
          </c:val>
          <c:smooth val="0"/>
          <c:extLst>
            <c:ext xmlns:c16="http://schemas.microsoft.com/office/drawing/2014/chart" uri="{C3380CC4-5D6E-409C-BE32-E72D297353CC}">
              <c16:uniqueId val="{00000000-2CD6-4BB0-B133-FC5C16B21E1A}"/>
            </c:ext>
          </c:extLst>
        </c:ser>
        <c:ser>
          <c:idx val="1"/>
          <c:order val="1"/>
          <c:tx>
            <c:strRef>
              <c:f>'12-23-2022Trends'!$G$2</c:f>
              <c:strCache>
                <c:ptCount val="1"/>
                <c:pt idx="0">
                  <c:v>Kiosk Bad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'12-23-2022Trends'!$A$3:$A$4</c:f>
              <c:strCache>
                <c:ptCount val="2"/>
                <c:pt idx="0">
                  <c:v>11/14/2022 - 11/29/2022</c:v>
                </c:pt>
                <c:pt idx="1">
                  <c:v>11/28/2022 - 12/13/2022</c:v>
                </c:pt>
              </c:strCache>
            </c:strRef>
          </c:cat>
          <c:val>
            <c:numRef>
              <c:f>'12-23-2022Trends'!$G$3:$G$4</c:f>
              <c:numCache>
                <c:formatCode>0.00</c:formatCode>
                <c:ptCount val="2"/>
                <c:pt idx="0">
                  <c:v>5.0108932461873641</c:v>
                </c:pt>
                <c:pt idx="1">
                  <c:v>4.2016806722689077</c:v>
                </c:pt>
              </c:numCache>
            </c:numRef>
          </c:val>
          <c:smooth val="0"/>
          <c:extLst>
            <c:ext xmlns:c16="http://schemas.microsoft.com/office/drawing/2014/chart" uri="{C3380CC4-5D6E-409C-BE32-E72D297353CC}">
              <c16:uniqueId val="{00000001-2CD6-4BB0-B133-FC5C16B21E1A}"/>
            </c:ext>
          </c:extLst>
        </c:ser>
        <c:dLbls>
          <c:dLblPos val="t"/>
          <c:showLegendKey val="0"/>
          <c:showVal val="1"/>
          <c:showCatName val="0"/>
          <c:showSerName val="0"/>
          <c:showPercent val="0"/>
          <c:showBubbleSize val="0"/>
        </c:dLbls>
        <c:marker val="1"/>
        <c:smooth val="0"/>
        <c:axId val="813312592"/>
        <c:axId val="813312920"/>
      </c:lineChart>
      <c:catAx>
        <c:axId val="8133125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Reporting Period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3312920"/>
        <c:crosses val="autoZero"/>
        <c:auto val="1"/>
        <c:lblAlgn val="ctr"/>
        <c:lblOffset val="100"/>
        <c:noMultiLvlLbl val="0"/>
      </c:catAx>
      <c:valAx>
        <c:axId val="8133129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Percentage of All Comments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3312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Staff</a:t>
            </a:r>
            <a:r>
              <a:rPr lang="en-US" baseline="0"/>
              <a:t> Attitude Comments</a:t>
            </a:r>
            <a:br>
              <a:rPr lang="en-US" baseline="0"/>
            </a:br>
            <a:r>
              <a:rPr lang="en-US" baseline="0"/>
              <a:t>(Percentage Across Reporting Periods)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'12-23-2022Trends'!$H$2</c:f>
              <c:strCache>
                <c:ptCount val="1"/>
                <c:pt idx="0">
                  <c:v>Staff Attitude Good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'12-23-2022Trends'!$A$3:$A$4</c:f>
              <c:strCache>
                <c:ptCount val="2"/>
                <c:pt idx="0">
                  <c:v>11/14/2022 - 11/29/2022</c:v>
                </c:pt>
                <c:pt idx="1">
                  <c:v>11/28/2022 - 12/13/2022</c:v>
                </c:pt>
              </c:strCache>
            </c:strRef>
          </c:cat>
          <c:val>
            <c:numRef>
              <c:f>'12-23-2022Trends'!$H$3:$H$4</c:f>
              <c:numCache>
                <c:formatCode>0.00</c:formatCode>
                <c:ptCount val="2"/>
                <c:pt idx="0">
                  <c:v>32.461873638344223</c:v>
                </c:pt>
                <c:pt idx="1">
                  <c:v>38.02521008403361</c:v>
                </c:pt>
              </c:numCache>
            </c:numRef>
          </c:val>
          <c:smooth val="0"/>
          <c:extLst>
            <c:ext xmlns:c16="http://schemas.microsoft.com/office/drawing/2014/chart" uri="{C3380CC4-5D6E-409C-BE32-E72D297353CC}">
              <c16:uniqueId val="{00000000-AD60-4E1E-A889-810454271E38}"/>
            </c:ext>
          </c:extLst>
        </c:ser>
        <c:ser>
          <c:idx val="1"/>
          <c:order val="1"/>
          <c:tx>
            <c:strRef>
              <c:f>'12-23-2022Trends'!$I$2</c:f>
              <c:strCache>
                <c:ptCount val="1"/>
                <c:pt idx="0">
                  <c:v>Staff Attitude Bad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'12-23-2022Trends'!$A$3:$A$4</c:f>
              <c:strCache>
                <c:ptCount val="2"/>
                <c:pt idx="0">
                  <c:v>11/14/2022 - 11/29/2022</c:v>
                </c:pt>
                <c:pt idx="1">
                  <c:v>11/28/2022 - 12/13/2022</c:v>
                </c:pt>
              </c:strCache>
            </c:strRef>
          </c:cat>
          <c:val>
            <c:numRef>
              <c:f>'12-23-2022Trends'!$I$3:$I$4</c:f>
              <c:numCache>
                <c:formatCode>0.00</c:formatCode>
                <c:ptCount val="2"/>
                <c:pt idx="0">
                  <c:v>9.5860566448801734</c:v>
                </c:pt>
                <c:pt idx="1">
                  <c:v>11.344537815126051</c:v>
                </c:pt>
              </c:numCache>
            </c:numRef>
          </c:val>
          <c:smooth val="0"/>
          <c:extLst>
            <c:ext xmlns:c16="http://schemas.microsoft.com/office/drawing/2014/chart" uri="{C3380CC4-5D6E-409C-BE32-E72D297353CC}">
              <c16:uniqueId val="{00000001-AD60-4E1E-A889-810454271E38}"/>
            </c:ext>
          </c:extLst>
        </c:ser>
        <c:dLbls>
          <c:dLblPos val="t"/>
          <c:showLegendKey val="0"/>
          <c:showVal val="1"/>
          <c:showCatName val="0"/>
          <c:showSerName val="0"/>
          <c:showPercent val="0"/>
          <c:showBubbleSize val="0"/>
        </c:dLbls>
        <c:marker val="1"/>
        <c:smooth val="0"/>
        <c:axId val="395659888"/>
        <c:axId val="395661200"/>
      </c:lineChart>
      <c:catAx>
        <c:axId val="39565988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Reporting Period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5661200"/>
        <c:crosses val="autoZero"/>
        <c:auto val="1"/>
        <c:lblAlgn val="ctr"/>
        <c:lblOffset val="100"/>
        <c:noMultiLvlLbl val="0"/>
      </c:catAx>
      <c:valAx>
        <c:axId val="3956612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Percentage of All Comments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56598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Travel</a:t>
            </a:r>
            <a:r>
              <a:rPr lang="en-US" baseline="0"/>
              <a:t> Pay Comments</a:t>
            </a:r>
            <a:br>
              <a:rPr lang="en-US" baseline="0"/>
            </a:br>
            <a:r>
              <a:rPr lang="en-US" baseline="0"/>
              <a:t>(Percentage Across Reporting Periods)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'12-23-2022Trends'!$J$2</c:f>
              <c:strCache>
                <c:ptCount val="1"/>
                <c:pt idx="0">
                  <c:v>Travel Pay Good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'12-23-2022Trends'!$A$3:$A$5</c:f>
              <c:strCache>
                <c:ptCount val="2"/>
                <c:pt idx="0">
                  <c:v>11/14/2022 - 11/29/2022</c:v>
                </c:pt>
                <c:pt idx="1">
                  <c:v>11/28/2022 - 12/13/2022</c:v>
                </c:pt>
              </c:strCache>
            </c:strRef>
          </c:cat>
          <c:val>
            <c:numRef>
              <c:f>'12-23-2022Trends'!$J$3:$J$4</c:f>
              <c:numCache>
                <c:formatCode>0.00</c:formatCode>
                <c:ptCount val="2"/>
                <c:pt idx="0">
                  <c:v>0</c:v>
                </c:pt>
                <c:pt idx="1">
                  <c:v>0.21008403361344538</c:v>
                </c:pt>
              </c:numCache>
            </c:numRef>
          </c:val>
          <c:smooth val="0"/>
          <c:extLst>
            <c:ext xmlns:c16="http://schemas.microsoft.com/office/drawing/2014/chart" uri="{C3380CC4-5D6E-409C-BE32-E72D297353CC}">
              <c16:uniqueId val="{00000000-EACE-4F8F-957C-285BBC61244B}"/>
            </c:ext>
          </c:extLst>
        </c:ser>
        <c:ser>
          <c:idx val="1"/>
          <c:order val="1"/>
          <c:tx>
            <c:strRef>
              <c:f>'12-23-2022Trends'!$K$2</c:f>
              <c:strCache>
                <c:ptCount val="1"/>
                <c:pt idx="0">
                  <c:v>Travel Pay Bad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'12-23-2022Trends'!$A$3:$A$5</c:f>
              <c:strCache>
                <c:ptCount val="2"/>
                <c:pt idx="0">
                  <c:v>11/14/2022 - 11/29/2022</c:v>
                </c:pt>
                <c:pt idx="1">
                  <c:v>11/28/2022 - 12/13/2022</c:v>
                </c:pt>
              </c:strCache>
            </c:strRef>
          </c:cat>
          <c:val>
            <c:numRef>
              <c:f>'12-23-2022Trends'!$K$3:$K$4</c:f>
              <c:numCache>
                <c:formatCode>0.00</c:formatCode>
                <c:ptCount val="2"/>
                <c:pt idx="0">
                  <c:v>9.8039215686274517</c:v>
                </c:pt>
                <c:pt idx="1">
                  <c:v>8.1932773109243691</c:v>
                </c:pt>
              </c:numCache>
            </c:numRef>
          </c:val>
          <c:smooth val="0"/>
          <c:extLst>
            <c:ext xmlns:c16="http://schemas.microsoft.com/office/drawing/2014/chart" uri="{C3380CC4-5D6E-409C-BE32-E72D297353CC}">
              <c16:uniqueId val="{00000001-EACE-4F8F-957C-285BBC61244B}"/>
            </c:ext>
          </c:extLst>
        </c:ser>
        <c:dLbls>
          <c:dLblPos val="t"/>
          <c:showLegendKey val="0"/>
          <c:showVal val="1"/>
          <c:showCatName val="0"/>
          <c:showSerName val="0"/>
          <c:showPercent val="0"/>
          <c:showBubbleSize val="0"/>
        </c:dLbls>
        <c:marker val="1"/>
        <c:smooth val="0"/>
        <c:axId val="869011448"/>
        <c:axId val="869020304"/>
      </c:lineChart>
      <c:catAx>
        <c:axId val="86901144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Reporting Period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9020304"/>
        <c:crosses val="autoZero"/>
        <c:auto val="1"/>
        <c:lblAlgn val="ctr"/>
        <c:lblOffset val="100"/>
        <c:noMultiLvlLbl val="0"/>
      </c:catAx>
      <c:valAx>
        <c:axId val="8690203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Percentage  of Al</a:t>
                </a:r>
                <a:r>
                  <a:rPr lang="en-US" baseline="0"/>
                  <a:t>l Comments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90114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Wait Time (</a:t>
            </a:r>
            <a:r>
              <a:rPr lang="en-US" baseline="0"/>
              <a:t>Arrival to Checkout) Comments</a:t>
            </a:r>
            <a:br>
              <a:rPr lang="en-US" baseline="0"/>
            </a:br>
            <a:r>
              <a:rPr lang="en-US" baseline="0"/>
              <a:t>(Percentage Across Reporting Periods)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'12-23-2022Trends'!$M$2</c:f>
              <c:strCache>
                <c:ptCount val="1"/>
                <c:pt idx="0">
                  <c:v>Wait times Good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'12-23-2022Trends'!$A$3:$A$4</c:f>
              <c:strCache>
                <c:ptCount val="2"/>
                <c:pt idx="0">
                  <c:v>11/14/2022 - 11/29/2022</c:v>
                </c:pt>
                <c:pt idx="1">
                  <c:v>11/28/2022 - 12/13/2022</c:v>
                </c:pt>
              </c:strCache>
            </c:strRef>
          </c:cat>
          <c:val>
            <c:numRef>
              <c:f>'12-23-2022Trends'!$M$3:$M$4</c:f>
              <c:numCache>
                <c:formatCode>0.00</c:formatCode>
                <c:ptCount val="2"/>
                <c:pt idx="0">
                  <c:v>4.3572984749455337</c:v>
                </c:pt>
                <c:pt idx="1">
                  <c:v>3.3613445378151261</c:v>
                </c:pt>
              </c:numCache>
            </c:numRef>
          </c:val>
          <c:smooth val="0"/>
          <c:extLst>
            <c:ext xmlns:c16="http://schemas.microsoft.com/office/drawing/2014/chart" uri="{C3380CC4-5D6E-409C-BE32-E72D297353CC}">
              <c16:uniqueId val="{00000000-33B8-40DD-9721-85A2208FF977}"/>
            </c:ext>
          </c:extLst>
        </c:ser>
        <c:ser>
          <c:idx val="1"/>
          <c:order val="1"/>
          <c:tx>
            <c:strRef>
              <c:f>'12-23-2022Trends'!$N$2</c:f>
              <c:strCache>
                <c:ptCount val="1"/>
                <c:pt idx="0">
                  <c:v>Wait times Bad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'12-23-2022Trends'!$A$3:$A$4</c:f>
              <c:strCache>
                <c:ptCount val="2"/>
                <c:pt idx="0">
                  <c:v>11/14/2022 - 11/29/2022</c:v>
                </c:pt>
                <c:pt idx="1">
                  <c:v>11/28/2022 - 12/13/2022</c:v>
                </c:pt>
              </c:strCache>
            </c:strRef>
          </c:cat>
          <c:val>
            <c:numRef>
              <c:f>'12-23-2022Trends'!$N$3:$N$4</c:f>
              <c:numCache>
                <c:formatCode>0.00</c:formatCode>
                <c:ptCount val="2"/>
                <c:pt idx="0">
                  <c:v>12.418300653594772</c:v>
                </c:pt>
                <c:pt idx="1">
                  <c:v>6.9327731092436977</c:v>
                </c:pt>
              </c:numCache>
            </c:numRef>
          </c:val>
          <c:smooth val="0"/>
          <c:extLst>
            <c:ext xmlns:c16="http://schemas.microsoft.com/office/drawing/2014/chart" uri="{C3380CC4-5D6E-409C-BE32-E72D297353CC}">
              <c16:uniqueId val="{00000001-33B8-40DD-9721-85A2208FF977}"/>
            </c:ext>
          </c:extLst>
        </c:ser>
        <c:dLbls>
          <c:dLblPos val="t"/>
          <c:showLegendKey val="0"/>
          <c:showVal val="1"/>
          <c:showCatName val="0"/>
          <c:showSerName val="0"/>
          <c:showPercent val="0"/>
          <c:showBubbleSize val="0"/>
        </c:dLbls>
        <c:marker val="1"/>
        <c:smooth val="0"/>
        <c:axId val="702911072"/>
        <c:axId val="702903856"/>
      </c:lineChart>
      <c:catAx>
        <c:axId val="70291107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Reporting Period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2903856"/>
        <c:crosses val="autoZero"/>
        <c:auto val="1"/>
        <c:lblAlgn val="ctr"/>
        <c:lblOffset val="100"/>
        <c:noMultiLvlLbl val="0"/>
      </c:catAx>
      <c:valAx>
        <c:axId val="7029038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Percentage of All Comments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29110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General Check-in Comments</a:t>
            </a:r>
            <a:br>
              <a:rPr lang="en-US"/>
            </a:br>
            <a:r>
              <a:rPr lang="en-US"/>
              <a:t>(Total Comments Over 2 Weeks)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General Check-in Good</c:v>
          </c:tx>
          <c:spPr>
            <a:ln w="28575"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cat>
            <c:numRef>
              <c:f>'Outpatient (Old)'!$I$2979:$I$2994</c:f>
              <c:numCache>
                <c:formatCode>m/d/yyyy</c:formatCode>
                <c:ptCount val="16"/>
                <c:pt idx="0">
                  <c:v>44893</c:v>
                </c:pt>
                <c:pt idx="1">
                  <c:v>44894</c:v>
                </c:pt>
                <c:pt idx="2">
                  <c:v>44895</c:v>
                </c:pt>
                <c:pt idx="3">
                  <c:v>44896</c:v>
                </c:pt>
                <c:pt idx="4">
                  <c:v>44897</c:v>
                </c:pt>
                <c:pt idx="5">
                  <c:v>44898</c:v>
                </c:pt>
                <c:pt idx="6">
                  <c:v>44899</c:v>
                </c:pt>
                <c:pt idx="7">
                  <c:v>44900</c:v>
                </c:pt>
                <c:pt idx="8">
                  <c:v>44901</c:v>
                </c:pt>
                <c:pt idx="9">
                  <c:v>44902</c:v>
                </c:pt>
                <c:pt idx="10">
                  <c:v>44903</c:v>
                </c:pt>
                <c:pt idx="11">
                  <c:v>44904</c:v>
                </c:pt>
                <c:pt idx="12">
                  <c:v>44905</c:v>
                </c:pt>
                <c:pt idx="13">
                  <c:v>44906</c:v>
                </c:pt>
                <c:pt idx="14">
                  <c:v>44907</c:v>
                </c:pt>
                <c:pt idx="15">
                  <c:v>44908</c:v>
                </c:pt>
              </c:numCache>
            </c:numRef>
          </c:cat>
          <c:val>
            <c:numRef>
              <c:f>'Outpatient (Old)'!$O$2979:$O$2994</c:f>
              <c:numCache>
                <c:formatCode>General</c:formatCode>
                <c:ptCount val="16"/>
                <c:pt idx="0">
                  <c:v>0</c:v>
                </c:pt>
                <c:pt idx="1">
                  <c:v>3</c:v>
                </c:pt>
                <c:pt idx="2">
                  <c:v>2</c:v>
                </c:pt>
                <c:pt idx="3">
                  <c:v>0</c:v>
                </c:pt>
                <c:pt idx="4">
                  <c:v>5</c:v>
                </c:pt>
                <c:pt idx="5">
                  <c:v>3</c:v>
                </c:pt>
                <c:pt idx="6">
                  <c:v>1</c:v>
                </c:pt>
                <c:pt idx="7">
                  <c:v>1</c:v>
                </c:pt>
                <c:pt idx="8">
                  <c:v>0</c:v>
                </c:pt>
                <c:pt idx="9">
                  <c:v>6</c:v>
                </c:pt>
                <c:pt idx="10">
                  <c:v>0</c:v>
                </c:pt>
                <c:pt idx="11">
                  <c:v>5</c:v>
                </c:pt>
                <c:pt idx="12">
                  <c:v>0</c:v>
                </c:pt>
                <c:pt idx="13">
                  <c:v>1</c:v>
                </c:pt>
                <c:pt idx="14">
                  <c:v>1</c:v>
                </c:pt>
                <c:pt idx="15">
                  <c:v>2</c:v>
                </c:pt>
              </c:numCache>
            </c:numRef>
          </c:val>
          <c:smooth val="0"/>
          <c:extLst>
            <c:ext xmlns:c16="http://schemas.microsoft.com/office/drawing/2014/chart" uri="{C3380CC4-5D6E-409C-BE32-E72D297353CC}">
              <c16:uniqueId val="{00000000-6153-42BE-9721-611CDA3C8EA4}"/>
            </c:ext>
          </c:extLst>
        </c:ser>
        <c:ser>
          <c:idx val="1"/>
          <c:order val="1"/>
          <c:tx>
            <c:v>General Check-in Bad</c:v>
          </c:tx>
          <c:spPr>
            <a:ln w="28575" cap="rnd">
              <a:solidFill>
                <a:schemeClr val="accent2"/>
              </a:solid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linear"/>
            <c:dispRSqr val="0"/>
            <c:dispEq val="0"/>
          </c:trendline>
          <c:cat>
            <c:numRef>
              <c:f>'Outpatient (Old)'!$I$2979:$I$2994</c:f>
              <c:numCache>
                <c:formatCode>m/d/yyyy</c:formatCode>
                <c:ptCount val="16"/>
                <c:pt idx="0">
                  <c:v>44893</c:v>
                </c:pt>
                <c:pt idx="1">
                  <c:v>44894</c:v>
                </c:pt>
                <c:pt idx="2">
                  <c:v>44895</c:v>
                </c:pt>
                <c:pt idx="3">
                  <c:v>44896</c:v>
                </c:pt>
                <c:pt idx="4">
                  <c:v>44897</c:v>
                </c:pt>
                <c:pt idx="5">
                  <c:v>44898</c:v>
                </c:pt>
                <c:pt idx="6">
                  <c:v>44899</c:v>
                </c:pt>
                <c:pt idx="7">
                  <c:v>44900</c:v>
                </c:pt>
                <c:pt idx="8">
                  <c:v>44901</c:v>
                </c:pt>
                <c:pt idx="9">
                  <c:v>44902</c:v>
                </c:pt>
                <c:pt idx="10">
                  <c:v>44903</c:v>
                </c:pt>
                <c:pt idx="11">
                  <c:v>44904</c:v>
                </c:pt>
                <c:pt idx="12">
                  <c:v>44905</c:v>
                </c:pt>
                <c:pt idx="13">
                  <c:v>44906</c:v>
                </c:pt>
                <c:pt idx="14">
                  <c:v>44907</c:v>
                </c:pt>
                <c:pt idx="15">
                  <c:v>44908</c:v>
                </c:pt>
              </c:numCache>
            </c:numRef>
          </c:cat>
          <c:val>
            <c:numRef>
              <c:f>'Outpatient (Old)'!$P$2979:$P$2994</c:f>
              <c:numCache>
                <c:formatCode>General</c:formatCode>
                <c:ptCount val="16"/>
                <c:pt idx="0">
                  <c:v>1</c:v>
                </c:pt>
                <c:pt idx="1">
                  <c:v>8</c:v>
                </c:pt>
                <c:pt idx="2">
                  <c:v>3</c:v>
                </c:pt>
                <c:pt idx="3">
                  <c:v>3</c:v>
                </c:pt>
                <c:pt idx="4">
                  <c:v>8</c:v>
                </c:pt>
                <c:pt idx="5">
                  <c:v>5</c:v>
                </c:pt>
                <c:pt idx="6">
                  <c:v>2</c:v>
                </c:pt>
                <c:pt idx="7">
                  <c:v>1</c:v>
                </c:pt>
                <c:pt idx="8">
                  <c:v>3</c:v>
                </c:pt>
                <c:pt idx="9">
                  <c:v>3</c:v>
                </c:pt>
                <c:pt idx="10">
                  <c:v>2</c:v>
                </c:pt>
                <c:pt idx="11">
                  <c:v>6</c:v>
                </c:pt>
                <c:pt idx="12">
                  <c:v>6</c:v>
                </c:pt>
                <c:pt idx="13">
                  <c:v>4</c:v>
                </c:pt>
                <c:pt idx="14">
                  <c:v>2</c:v>
                </c:pt>
                <c:pt idx="15">
                  <c:v>7</c:v>
                </c:pt>
              </c:numCache>
            </c:numRef>
          </c:val>
          <c:smooth val="0"/>
          <c:extLst>
            <c:ext xmlns:c16="http://schemas.microsoft.com/office/drawing/2014/chart" uri="{C3380CC4-5D6E-409C-BE32-E72D297353CC}">
              <c16:uniqueId val="{00000001-6153-42BE-9721-611CDA3C8EA4}"/>
            </c:ext>
          </c:extLst>
        </c:ser>
        <c:dLbls>
          <c:showLegendKey val="0"/>
          <c:showVal val="0"/>
          <c:showCatName val="0"/>
          <c:showSerName val="0"/>
          <c:showPercent val="0"/>
          <c:showBubbleSize val="0"/>
        </c:dLbls>
        <c:marker val="1"/>
        <c:smooth val="0"/>
        <c:axId val="871302824"/>
        <c:axId val="871306760"/>
      </c:lineChart>
      <c:dateAx>
        <c:axId val="8713028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1306760"/>
        <c:crosses val="autoZero"/>
        <c:auto val="1"/>
        <c:lblOffset val="100"/>
        <c:baseTimeUnit val="days"/>
      </c:dateAx>
      <c:valAx>
        <c:axId val="8713067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Number of Comments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1302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Kiosk Comments</a:t>
            </a:r>
            <a:br>
              <a:rPr lang="en-US"/>
            </a:br>
            <a:r>
              <a:rPr lang="en-US"/>
              <a:t>(Total Comments Over 2 Weeks)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Kiosk Good</c:v>
          </c:tx>
          <c:spPr>
            <a:ln w="28575"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cat>
            <c:numRef>
              <c:f>'Outpatient (Old)'!$I$2979:$I$2994</c:f>
              <c:numCache>
                <c:formatCode>m/d/yyyy</c:formatCode>
                <c:ptCount val="16"/>
                <c:pt idx="0">
                  <c:v>44893</c:v>
                </c:pt>
                <c:pt idx="1">
                  <c:v>44894</c:v>
                </c:pt>
                <c:pt idx="2">
                  <c:v>44895</c:v>
                </c:pt>
                <c:pt idx="3">
                  <c:v>44896</c:v>
                </c:pt>
                <c:pt idx="4">
                  <c:v>44897</c:v>
                </c:pt>
                <c:pt idx="5">
                  <c:v>44898</c:v>
                </c:pt>
                <c:pt idx="6">
                  <c:v>44899</c:v>
                </c:pt>
                <c:pt idx="7">
                  <c:v>44900</c:v>
                </c:pt>
                <c:pt idx="8">
                  <c:v>44901</c:v>
                </c:pt>
                <c:pt idx="9">
                  <c:v>44902</c:v>
                </c:pt>
                <c:pt idx="10">
                  <c:v>44903</c:v>
                </c:pt>
                <c:pt idx="11">
                  <c:v>44904</c:v>
                </c:pt>
                <c:pt idx="12">
                  <c:v>44905</c:v>
                </c:pt>
                <c:pt idx="13">
                  <c:v>44906</c:v>
                </c:pt>
                <c:pt idx="14">
                  <c:v>44907</c:v>
                </c:pt>
                <c:pt idx="15">
                  <c:v>44908</c:v>
                </c:pt>
              </c:numCache>
            </c:numRef>
          </c:cat>
          <c:val>
            <c:numRef>
              <c:f>'Outpatient (Old)'!$Q$2979:$Q$2994</c:f>
              <c:numCache>
                <c:formatCode>General</c:formatCode>
                <c:ptCount val="16"/>
                <c:pt idx="0">
                  <c:v>0</c:v>
                </c:pt>
                <c:pt idx="1">
                  <c:v>10</c:v>
                </c:pt>
                <c:pt idx="2">
                  <c:v>4</c:v>
                </c:pt>
                <c:pt idx="3">
                  <c:v>0</c:v>
                </c:pt>
                <c:pt idx="4">
                  <c:v>9</c:v>
                </c:pt>
                <c:pt idx="5">
                  <c:v>13</c:v>
                </c:pt>
                <c:pt idx="6">
                  <c:v>4</c:v>
                </c:pt>
                <c:pt idx="7">
                  <c:v>3</c:v>
                </c:pt>
                <c:pt idx="8">
                  <c:v>7</c:v>
                </c:pt>
                <c:pt idx="9">
                  <c:v>5</c:v>
                </c:pt>
                <c:pt idx="10">
                  <c:v>1</c:v>
                </c:pt>
                <c:pt idx="11">
                  <c:v>5</c:v>
                </c:pt>
                <c:pt idx="12">
                  <c:v>10</c:v>
                </c:pt>
                <c:pt idx="13">
                  <c:v>5</c:v>
                </c:pt>
                <c:pt idx="14">
                  <c:v>1</c:v>
                </c:pt>
                <c:pt idx="15">
                  <c:v>2</c:v>
                </c:pt>
              </c:numCache>
            </c:numRef>
          </c:val>
          <c:smooth val="0"/>
          <c:extLst>
            <c:ext xmlns:c16="http://schemas.microsoft.com/office/drawing/2014/chart" uri="{C3380CC4-5D6E-409C-BE32-E72D297353CC}">
              <c16:uniqueId val="{00000000-8C6A-4896-B687-C2F92220076C}"/>
            </c:ext>
          </c:extLst>
        </c:ser>
        <c:ser>
          <c:idx val="1"/>
          <c:order val="1"/>
          <c:tx>
            <c:v>Kiosk Bad</c:v>
          </c:tx>
          <c:spPr>
            <a:ln w="28575" cap="rnd">
              <a:solidFill>
                <a:schemeClr val="accent2"/>
              </a:solid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linear"/>
            <c:dispRSqr val="0"/>
            <c:dispEq val="0"/>
          </c:trendline>
          <c:cat>
            <c:numRef>
              <c:f>'Outpatient (Old)'!$I$2979:$I$2994</c:f>
              <c:numCache>
                <c:formatCode>m/d/yyyy</c:formatCode>
                <c:ptCount val="16"/>
                <c:pt idx="0">
                  <c:v>44893</c:v>
                </c:pt>
                <c:pt idx="1">
                  <c:v>44894</c:v>
                </c:pt>
                <c:pt idx="2">
                  <c:v>44895</c:v>
                </c:pt>
                <c:pt idx="3">
                  <c:v>44896</c:v>
                </c:pt>
                <c:pt idx="4">
                  <c:v>44897</c:v>
                </c:pt>
                <c:pt idx="5">
                  <c:v>44898</c:v>
                </c:pt>
                <c:pt idx="6">
                  <c:v>44899</c:v>
                </c:pt>
                <c:pt idx="7">
                  <c:v>44900</c:v>
                </c:pt>
                <c:pt idx="8">
                  <c:v>44901</c:v>
                </c:pt>
                <c:pt idx="9">
                  <c:v>44902</c:v>
                </c:pt>
                <c:pt idx="10">
                  <c:v>44903</c:v>
                </c:pt>
                <c:pt idx="11">
                  <c:v>44904</c:v>
                </c:pt>
                <c:pt idx="12">
                  <c:v>44905</c:v>
                </c:pt>
                <c:pt idx="13">
                  <c:v>44906</c:v>
                </c:pt>
                <c:pt idx="14">
                  <c:v>44907</c:v>
                </c:pt>
                <c:pt idx="15">
                  <c:v>44908</c:v>
                </c:pt>
              </c:numCache>
            </c:numRef>
          </c:cat>
          <c:val>
            <c:numRef>
              <c:f>'Outpatient (Old)'!$R$2979:$R$2994</c:f>
              <c:numCache>
                <c:formatCode>General</c:formatCode>
                <c:ptCount val="16"/>
                <c:pt idx="0">
                  <c:v>0</c:v>
                </c:pt>
                <c:pt idx="1">
                  <c:v>2</c:v>
                </c:pt>
                <c:pt idx="2">
                  <c:v>3</c:v>
                </c:pt>
                <c:pt idx="3">
                  <c:v>1</c:v>
                </c:pt>
                <c:pt idx="4">
                  <c:v>3</c:v>
                </c:pt>
                <c:pt idx="5">
                  <c:v>2</c:v>
                </c:pt>
                <c:pt idx="6">
                  <c:v>0</c:v>
                </c:pt>
                <c:pt idx="7">
                  <c:v>1</c:v>
                </c:pt>
                <c:pt idx="8">
                  <c:v>5</c:v>
                </c:pt>
                <c:pt idx="9">
                  <c:v>1</c:v>
                </c:pt>
                <c:pt idx="10">
                  <c:v>1</c:v>
                </c:pt>
                <c:pt idx="11">
                  <c:v>0</c:v>
                </c:pt>
                <c:pt idx="12">
                  <c:v>1</c:v>
                </c:pt>
                <c:pt idx="13">
                  <c:v>0</c:v>
                </c:pt>
                <c:pt idx="14">
                  <c:v>0</c:v>
                </c:pt>
                <c:pt idx="15">
                  <c:v>0</c:v>
                </c:pt>
              </c:numCache>
            </c:numRef>
          </c:val>
          <c:smooth val="0"/>
          <c:extLst>
            <c:ext xmlns:c16="http://schemas.microsoft.com/office/drawing/2014/chart" uri="{C3380CC4-5D6E-409C-BE32-E72D297353CC}">
              <c16:uniqueId val="{00000001-8C6A-4896-B687-C2F92220076C}"/>
            </c:ext>
          </c:extLst>
        </c:ser>
        <c:dLbls>
          <c:showLegendKey val="0"/>
          <c:showVal val="0"/>
          <c:showCatName val="0"/>
          <c:showSerName val="0"/>
          <c:showPercent val="0"/>
          <c:showBubbleSize val="0"/>
        </c:dLbls>
        <c:marker val="1"/>
        <c:smooth val="0"/>
        <c:axId val="765243320"/>
        <c:axId val="765243648"/>
      </c:lineChart>
      <c:dateAx>
        <c:axId val="76524332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5243648"/>
        <c:crosses val="autoZero"/>
        <c:auto val="1"/>
        <c:lblOffset val="100"/>
        <c:baseTimeUnit val="days"/>
      </c:dateAx>
      <c:valAx>
        <c:axId val="7652436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Number of Comments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52433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Staff Attitude Comments</a:t>
            </a:r>
            <a:br>
              <a:rPr lang="en-US"/>
            </a:br>
            <a:r>
              <a:rPr lang="en-US"/>
              <a:t>(Tota</a:t>
            </a:r>
            <a:r>
              <a:rPr lang="en-US" baseline="0"/>
              <a:t>l Comments Over 2 Weeks)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Staff Attitude Good</c:v>
          </c:tx>
          <c:spPr>
            <a:ln w="28575"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cat>
            <c:numRef>
              <c:f>'Outpatient (Old)'!$I$2979:$I$2994</c:f>
              <c:numCache>
                <c:formatCode>m/d/yyyy</c:formatCode>
                <c:ptCount val="16"/>
                <c:pt idx="0">
                  <c:v>44893</c:v>
                </c:pt>
                <c:pt idx="1">
                  <c:v>44894</c:v>
                </c:pt>
                <c:pt idx="2">
                  <c:v>44895</c:v>
                </c:pt>
                <c:pt idx="3">
                  <c:v>44896</c:v>
                </c:pt>
                <c:pt idx="4">
                  <c:v>44897</c:v>
                </c:pt>
                <c:pt idx="5">
                  <c:v>44898</c:v>
                </c:pt>
                <c:pt idx="6">
                  <c:v>44899</c:v>
                </c:pt>
                <c:pt idx="7">
                  <c:v>44900</c:v>
                </c:pt>
                <c:pt idx="8">
                  <c:v>44901</c:v>
                </c:pt>
                <c:pt idx="9">
                  <c:v>44902</c:v>
                </c:pt>
                <c:pt idx="10">
                  <c:v>44903</c:v>
                </c:pt>
                <c:pt idx="11">
                  <c:v>44904</c:v>
                </c:pt>
                <c:pt idx="12">
                  <c:v>44905</c:v>
                </c:pt>
                <c:pt idx="13">
                  <c:v>44906</c:v>
                </c:pt>
                <c:pt idx="14">
                  <c:v>44907</c:v>
                </c:pt>
                <c:pt idx="15">
                  <c:v>44908</c:v>
                </c:pt>
              </c:numCache>
            </c:numRef>
          </c:cat>
          <c:val>
            <c:numRef>
              <c:f>'Outpatient (Old)'!$S$2979:$S$2994</c:f>
              <c:numCache>
                <c:formatCode>General</c:formatCode>
                <c:ptCount val="16"/>
                <c:pt idx="0">
                  <c:v>0</c:v>
                </c:pt>
                <c:pt idx="1">
                  <c:v>16</c:v>
                </c:pt>
                <c:pt idx="2">
                  <c:v>9</c:v>
                </c:pt>
                <c:pt idx="3">
                  <c:v>4</c:v>
                </c:pt>
                <c:pt idx="4">
                  <c:v>18</c:v>
                </c:pt>
                <c:pt idx="5">
                  <c:v>11</c:v>
                </c:pt>
                <c:pt idx="6">
                  <c:v>2</c:v>
                </c:pt>
                <c:pt idx="7">
                  <c:v>3</c:v>
                </c:pt>
                <c:pt idx="8">
                  <c:v>18</c:v>
                </c:pt>
                <c:pt idx="9">
                  <c:v>20</c:v>
                </c:pt>
                <c:pt idx="10">
                  <c:v>5</c:v>
                </c:pt>
                <c:pt idx="11">
                  <c:v>16</c:v>
                </c:pt>
                <c:pt idx="12">
                  <c:v>22</c:v>
                </c:pt>
                <c:pt idx="13">
                  <c:v>16</c:v>
                </c:pt>
                <c:pt idx="14">
                  <c:v>4</c:v>
                </c:pt>
                <c:pt idx="15">
                  <c:v>17</c:v>
                </c:pt>
              </c:numCache>
            </c:numRef>
          </c:val>
          <c:smooth val="0"/>
          <c:extLst>
            <c:ext xmlns:c16="http://schemas.microsoft.com/office/drawing/2014/chart" uri="{C3380CC4-5D6E-409C-BE32-E72D297353CC}">
              <c16:uniqueId val="{00000001-45EB-48AB-A74B-053BCA632B45}"/>
            </c:ext>
          </c:extLst>
        </c:ser>
        <c:ser>
          <c:idx val="1"/>
          <c:order val="1"/>
          <c:tx>
            <c:v>Staff Attitude Bad</c:v>
          </c:tx>
          <c:spPr>
            <a:ln w="28575" cap="rnd">
              <a:solidFill>
                <a:schemeClr val="accent2"/>
              </a:solid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linear"/>
            <c:dispRSqr val="0"/>
            <c:dispEq val="0"/>
          </c:trendline>
          <c:cat>
            <c:numRef>
              <c:f>'Outpatient (Old)'!$I$2979:$I$2994</c:f>
              <c:numCache>
                <c:formatCode>m/d/yyyy</c:formatCode>
                <c:ptCount val="16"/>
                <c:pt idx="0">
                  <c:v>44893</c:v>
                </c:pt>
                <c:pt idx="1">
                  <c:v>44894</c:v>
                </c:pt>
                <c:pt idx="2">
                  <c:v>44895</c:v>
                </c:pt>
                <c:pt idx="3">
                  <c:v>44896</c:v>
                </c:pt>
                <c:pt idx="4">
                  <c:v>44897</c:v>
                </c:pt>
                <c:pt idx="5">
                  <c:v>44898</c:v>
                </c:pt>
                <c:pt idx="6">
                  <c:v>44899</c:v>
                </c:pt>
                <c:pt idx="7">
                  <c:v>44900</c:v>
                </c:pt>
                <c:pt idx="8">
                  <c:v>44901</c:v>
                </c:pt>
                <c:pt idx="9">
                  <c:v>44902</c:v>
                </c:pt>
                <c:pt idx="10">
                  <c:v>44903</c:v>
                </c:pt>
                <c:pt idx="11">
                  <c:v>44904</c:v>
                </c:pt>
                <c:pt idx="12">
                  <c:v>44905</c:v>
                </c:pt>
                <c:pt idx="13">
                  <c:v>44906</c:v>
                </c:pt>
                <c:pt idx="14">
                  <c:v>44907</c:v>
                </c:pt>
                <c:pt idx="15">
                  <c:v>44908</c:v>
                </c:pt>
              </c:numCache>
            </c:numRef>
          </c:cat>
          <c:val>
            <c:numRef>
              <c:f>'Outpatient (Old)'!$T$2979:$T$2994</c:f>
              <c:numCache>
                <c:formatCode>General</c:formatCode>
                <c:ptCount val="16"/>
                <c:pt idx="0">
                  <c:v>1</c:v>
                </c:pt>
                <c:pt idx="1">
                  <c:v>4</c:v>
                </c:pt>
                <c:pt idx="2">
                  <c:v>3</c:v>
                </c:pt>
                <c:pt idx="3">
                  <c:v>1</c:v>
                </c:pt>
                <c:pt idx="4">
                  <c:v>5</c:v>
                </c:pt>
                <c:pt idx="5">
                  <c:v>2</c:v>
                </c:pt>
                <c:pt idx="6">
                  <c:v>1</c:v>
                </c:pt>
                <c:pt idx="7">
                  <c:v>4</c:v>
                </c:pt>
                <c:pt idx="8">
                  <c:v>7</c:v>
                </c:pt>
                <c:pt idx="9">
                  <c:v>6</c:v>
                </c:pt>
                <c:pt idx="10">
                  <c:v>0</c:v>
                </c:pt>
                <c:pt idx="11">
                  <c:v>8</c:v>
                </c:pt>
                <c:pt idx="12">
                  <c:v>3</c:v>
                </c:pt>
                <c:pt idx="13">
                  <c:v>5</c:v>
                </c:pt>
                <c:pt idx="14">
                  <c:v>0</c:v>
                </c:pt>
                <c:pt idx="15">
                  <c:v>4</c:v>
                </c:pt>
              </c:numCache>
            </c:numRef>
          </c:val>
          <c:smooth val="0"/>
          <c:extLst>
            <c:ext xmlns:c16="http://schemas.microsoft.com/office/drawing/2014/chart" uri="{C3380CC4-5D6E-409C-BE32-E72D297353CC}">
              <c16:uniqueId val="{00000003-45EB-48AB-A74B-053BCA632B45}"/>
            </c:ext>
          </c:extLst>
        </c:ser>
        <c:dLbls>
          <c:showLegendKey val="0"/>
          <c:showVal val="0"/>
          <c:showCatName val="0"/>
          <c:showSerName val="0"/>
          <c:showPercent val="0"/>
          <c:showBubbleSize val="0"/>
        </c:dLbls>
        <c:marker val="1"/>
        <c:smooth val="0"/>
        <c:axId val="821536912"/>
        <c:axId val="821534288"/>
      </c:lineChart>
      <c:dateAx>
        <c:axId val="82153691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1534288"/>
        <c:crosses val="autoZero"/>
        <c:auto val="1"/>
        <c:lblOffset val="100"/>
        <c:baseTimeUnit val="days"/>
      </c:dateAx>
      <c:valAx>
        <c:axId val="821534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Number of Comments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15369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Travel Pay Comments</a:t>
            </a:r>
            <a:br>
              <a:rPr lang="en-US"/>
            </a:br>
            <a:r>
              <a:rPr lang="en-US"/>
              <a:t>(Total Comments Over 2 Weeks)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Travel Pay Good</c:v>
          </c:tx>
          <c:spPr>
            <a:ln w="28575"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cat>
            <c:numRef>
              <c:f>'Outpatient (Old)'!$I$2979:$I$2994</c:f>
              <c:numCache>
                <c:formatCode>m/d/yyyy</c:formatCode>
                <c:ptCount val="16"/>
                <c:pt idx="0">
                  <c:v>44893</c:v>
                </c:pt>
                <c:pt idx="1">
                  <c:v>44894</c:v>
                </c:pt>
                <c:pt idx="2">
                  <c:v>44895</c:v>
                </c:pt>
                <c:pt idx="3">
                  <c:v>44896</c:v>
                </c:pt>
                <c:pt idx="4">
                  <c:v>44897</c:v>
                </c:pt>
                <c:pt idx="5">
                  <c:v>44898</c:v>
                </c:pt>
                <c:pt idx="6">
                  <c:v>44899</c:v>
                </c:pt>
                <c:pt idx="7">
                  <c:v>44900</c:v>
                </c:pt>
                <c:pt idx="8">
                  <c:v>44901</c:v>
                </c:pt>
                <c:pt idx="9">
                  <c:v>44902</c:v>
                </c:pt>
                <c:pt idx="10">
                  <c:v>44903</c:v>
                </c:pt>
                <c:pt idx="11">
                  <c:v>44904</c:v>
                </c:pt>
                <c:pt idx="12">
                  <c:v>44905</c:v>
                </c:pt>
                <c:pt idx="13">
                  <c:v>44906</c:v>
                </c:pt>
                <c:pt idx="14">
                  <c:v>44907</c:v>
                </c:pt>
                <c:pt idx="15">
                  <c:v>44908</c:v>
                </c:pt>
              </c:numCache>
            </c:numRef>
          </c:cat>
          <c:val>
            <c:numRef>
              <c:f>'Outpatient (Old)'!$U$2979:$U$2994</c:f>
              <c:numCache>
                <c:formatCode>General</c:formatCode>
                <c:ptCount val="16"/>
                <c:pt idx="0">
                  <c:v>0</c:v>
                </c:pt>
                <c:pt idx="1">
                  <c:v>0</c:v>
                </c:pt>
                <c:pt idx="2">
                  <c:v>0</c:v>
                </c:pt>
                <c:pt idx="3">
                  <c:v>0</c:v>
                </c:pt>
                <c:pt idx="4">
                  <c:v>0</c:v>
                </c:pt>
                <c:pt idx="5">
                  <c:v>0</c:v>
                </c:pt>
                <c:pt idx="6">
                  <c:v>0</c:v>
                </c:pt>
                <c:pt idx="7">
                  <c:v>0</c:v>
                </c:pt>
                <c:pt idx="8">
                  <c:v>0</c:v>
                </c:pt>
                <c:pt idx="9">
                  <c:v>0</c:v>
                </c:pt>
                <c:pt idx="10">
                  <c:v>1</c:v>
                </c:pt>
                <c:pt idx="11">
                  <c:v>0</c:v>
                </c:pt>
                <c:pt idx="12">
                  <c:v>0</c:v>
                </c:pt>
                <c:pt idx="13">
                  <c:v>0</c:v>
                </c:pt>
                <c:pt idx="14">
                  <c:v>0</c:v>
                </c:pt>
                <c:pt idx="15">
                  <c:v>0</c:v>
                </c:pt>
              </c:numCache>
            </c:numRef>
          </c:val>
          <c:smooth val="0"/>
          <c:extLst>
            <c:ext xmlns:c16="http://schemas.microsoft.com/office/drawing/2014/chart" uri="{C3380CC4-5D6E-409C-BE32-E72D297353CC}">
              <c16:uniqueId val="{00000001-4DBC-44D3-BAA9-1818020895CF}"/>
            </c:ext>
          </c:extLst>
        </c:ser>
        <c:ser>
          <c:idx val="1"/>
          <c:order val="1"/>
          <c:tx>
            <c:v>Travel Pay Bad</c:v>
          </c:tx>
          <c:spPr>
            <a:ln w="28575" cap="rnd">
              <a:solidFill>
                <a:schemeClr val="accent2"/>
              </a:solid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linear"/>
            <c:dispRSqr val="0"/>
            <c:dispEq val="0"/>
          </c:trendline>
          <c:cat>
            <c:numRef>
              <c:f>'Outpatient (Old)'!$I$2979:$I$2994</c:f>
              <c:numCache>
                <c:formatCode>m/d/yyyy</c:formatCode>
                <c:ptCount val="16"/>
                <c:pt idx="0">
                  <c:v>44893</c:v>
                </c:pt>
                <c:pt idx="1">
                  <c:v>44894</c:v>
                </c:pt>
                <c:pt idx="2">
                  <c:v>44895</c:v>
                </c:pt>
                <c:pt idx="3">
                  <c:v>44896</c:v>
                </c:pt>
                <c:pt idx="4">
                  <c:v>44897</c:v>
                </c:pt>
                <c:pt idx="5">
                  <c:v>44898</c:v>
                </c:pt>
                <c:pt idx="6">
                  <c:v>44899</c:v>
                </c:pt>
                <c:pt idx="7">
                  <c:v>44900</c:v>
                </c:pt>
                <c:pt idx="8">
                  <c:v>44901</c:v>
                </c:pt>
                <c:pt idx="9">
                  <c:v>44902</c:v>
                </c:pt>
                <c:pt idx="10">
                  <c:v>44903</c:v>
                </c:pt>
                <c:pt idx="11">
                  <c:v>44904</c:v>
                </c:pt>
                <c:pt idx="12">
                  <c:v>44905</c:v>
                </c:pt>
                <c:pt idx="13">
                  <c:v>44906</c:v>
                </c:pt>
                <c:pt idx="14">
                  <c:v>44907</c:v>
                </c:pt>
                <c:pt idx="15">
                  <c:v>44908</c:v>
                </c:pt>
              </c:numCache>
            </c:numRef>
          </c:cat>
          <c:val>
            <c:numRef>
              <c:f>'Outpatient (Old)'!$V$2979:$V$2994</c:f>
              <c:numCache>
                <c:formatCode>General</c:formatCode>
                <c:ptCount val="16"/>
                <c:pt idx="0">
                  <c:v>1</c:v>
                </c:pt>
                <c:pt idx="1">
                  <c:v>4</c:v>
                </c:pt>
                <c:pt idx="2">
                  <c:v>4</c:v>
                </c:pt>
                <c:pt idx="3">
                  <c:v>0</c:v>
                </c:pt>
                <c:pt idx="4">
                  <c:v>4</c:v>
                </c:pt>
                <c:pt idx="5">
                  <c:v>6</c:v>
                </c:pt>
                <c:pt idx="6">
                  <c:v>2</c:v>
                </c:pt>
                <c:pt idx="7">
                  <c:v>1</c:v>
                </c:pt>
                <c:pt idx="8">
                  <c:v>2</c:v>
                </c:pt>
                <c:pt idx="9">
                  <c:v>3</c:v>
                </c:pt>
                <c:pt idx="10">
                  <c:v>1</c:v>
                </c:pt>
                <c:pt idx="11">
                  <c:v>3</c:v>
                </c:pt>
                <c:pt idx="12">
                  <c:v>2</c:v>
                </c:pt>
                <c:pt idx="13">
                  <c:v>3</c:v>
                </c:pt>
                <c:pt idx="14">
                  <c:v>1</c:v>
                </c:pt>
                <c:pt idx="15">
                  <c:v>2</c:v>
                </c:pt>
              </c:numCache>
            </c:numRef>
          </c:val>
          <c:smooth val="0"/>
          <c:extLst>
            <c:ext xmlns:c16="http://schemas.microsoft.com/office/drawing/2014/chart" uri="{C3380CC4-5D6E-409C-BE32-E72D297353CC}">
              <c16:uniqueId val="{00000003-4DBC-44D3-BAA9-1818020895CF}"/>
            </c:ext>
          </c:extLst>
        </c:ser>
        <c:dLbls>
          <c:showLegendKey val="0"/>
          <c:showVal val="0"/>
          <c:showCatName val="0"/>
          <c:showSerName val="0"/>
          <c:showPercent val="0"/>
          <c:showBubbleSize val="0"/>
        </c:dLbls>
        <c:marker val="1"/>
        <c:smooth val="0"/>
        <c:axId val="821533304"/>
        <c:axId val="821538880"/>
      </c:lineChart>
      <c:dateAx>
        <c:axId val="82153330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1538880"/>
        <c:crosses val="autoZero"/>
        <c:auto val="1"/>
        <c:lblOffset val="100"/>
        <c:baseTimeUnit val="days"/>
      </c:dateAx>
      <c:valAx>
        <c:axId val="8215388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Number of Comments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15333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Wait Time (Arrival</a:t>
            </a:r>
            <a:r>
              <a:rPr lang="en-US" baseline="0"/>
              <a:t> to Checkout) Comments</a:t>
            </a:r>
            <a:br>
              <a:rPr lang="en-US" baseline="0"/>
            </a:br>
            <a:r>
              <a:rPr lang="en-US" baseline="0"/>
              <a:t>(Total Comments Over 2 Weeks)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Wait Times Good</c:v>
          </c:tx>
          <c:spPr>
            <a:ln w="28575"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cat>
            <c:numRef>
              <c:f>'Outpatient (Old)'!$I$2979:$I$2994</c:f>
              <c:numCache>
                <c:formatCode>m/d/yyyy</c:formatCode>
                <c:ptCount val="16"/>
                <c:pt idx="0">
                  <c:v>44893</c:v>
                </c:pt>
                <c:pt idx="1">
                  <c:v>44894</c:v>
                </c:pt>
                <c:pt idx="2">
                  <c:v>44895</c:v>
                </c:pt>
                <c:pt idx="3">
                  <c:v>44896</c:v>
                </c:pt>
                <c:pt idx="4">
                  <c:v>44897</c:v>
                </c:pt>
                <c:pt idx="5">
                  <c:v>44898</c:v>
                </c:pt>
                <c:pt idx="6">
                  <c:v>44899</c:v>
                </c:pt>
                <c:pt idx="7">
                  <c:v>44900</c:v>
                </c:pt>
                <c:pt idx="8">
                  <c:v>44901</c:v>
                </c:pt>
                <c:pt idx="9">
                  <c:v>44902</c:v>
                </c:pt>
                <c:pt idx="10">
                  <c:v>44903</c:v>
                </c:pt>
                <c:pt idx="11">
                  <c:v>44904</c:v>
                </c:pt>
                <c:pt idx="12">
                  <c:v>44905</c:v>
                </c:pt>
                <c:pt idx="13">
                  <c:v>44906</c:v>
                </c:pt>
                <c:pt idx="14">
                  <c:v>44907</c:v>
                </c:pt>
                <c:pt idx="15">
                  <c:v>44908</c:v>
                </c:pt>
              </c:numCache>
            </c:numRef>
          </c:cat>
          <c:val>
            <c:numRef>
              <c:f>'Outpatient (Old)'!$X$2979:$X$2994</c:f>
              <c:numCache>
                <c:formatCode>General</c:formatCode>
                <c:ptCount val="16"/>
                <c:pt idx="0">
                  <c:v>0</c:v>
                </c:pt>
                <c:pt idx="1">
                  <c:v>4</c:v>
                </c:pt>
                <c:pt idx="2">
                  <c:v>0</c:v>
                </c:pt>
                <c:pt idx="3">
                  <c:v>0</c:v>
                </c:pt>
                <c:pt idx="4">
                  <c:v>2</c:v>
                </c:pt>
                <c:pt idx="5">
                  <c:v>0</c:v>
                </c:pt>
                <c:pt idx="6">
                  <c:v>0</c:v>
                </c:pt>
                <c:pt idx="7">
                  <c:v>0</c:v>
                </c:pt>
                <c:pt idx="8">
                  <c:v>1</c:v>
                </c:pt>
                <c:pt idx="9">
                  <c:v>2</c:v>
                </c:pt>
                <c:pt idx="10">
                  <c:v>0</c:v>
                </c:pt>
                <c:pt idx="11">
                  <c:v>2</c:v>
                </c:pt>
                <c:pt idx="12">
                  <c:v>1</c:v>
                </c:pt>
                <c:pt idx="13">
                  <c:v>1</c:v>
                </c:pt>
                <c:pt idx="14">
                  <c:v>0</c:v>
                </c:pt>
                <c:pt idx="15">
                  <c:v>3</c:v>
                </c:pt>
              </c:numCache>
            </c:numRef>
          </c:val>
          <c:smooth val="0"/>
          <c:extLst>
            <c:ext xmlns:c16="http://schemas.microsoft.com/office/drawing/2014/chart" uri="{C3380CC4-5D6E-409C-BE32-E72D297353CC}">
              <c16:uniqueId val="{00000001-4178-42FD-AA80-4B9BCB4E44E9}"/>
            </c:ext>
          </c:extLst>
        </c:ser>
        <c:ser>
          <c:idx val="1"/>
          <c:order val="1"/>
          <c:tx>
            <c:v>Wait Times Bad</c:v>
          </c:tx>
          <c:spPr>
            <a:ln w="28575" cap="rnd">
              <a:solidFill>
                <a:schemeClr val="accent2"/>
              </a:solid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linear"/>
            <c:dispRSqr val="0"/>
            <c:dispEq val="0"/>
          </c:trendline>
          <c:cat>
            <c:numRef>
              <c:f>'Outpatient (Old)'!$I$2979:$I$2994</c:f>
              <c:numCache>
                <c:formatCode>m/d/yyyy</c:formatCode>
                <c:ptCount val="16"/>
                <c:pt idx="0">
                  <c:v>44893</c:v>
                </c:pt>
                <c:pt idx="1">
                  <c:v>44894</c:v>
                </c:pt>
                <c:pt idx="2">
                  <c:v>44895</c:v>
                </c:pt>
                <c:pt idx="3">
                  <c:v>44896</c:v>
                </c:pt>
                <c:pt idx="4">
                  <c:v>44897</c:v>
                </c:pt>
                <c:pt idx="5">
                  <c:v>44898</c:v>
                </c:pt>
                <c:pt idx="6">
                  <c:v>44899</c:v>
                </c:pt>
                <c:pt idx="7">
                  <c:v>44900</c:v>
                </c:pt>
                <c:pt idx="8">
                  <c:v>44901</c:v>
                </c:pt>
                <c:pt idx="9">
                  <c:v>44902</c:v>
                </c:pt>
                <c:pt idx="10">
                  <c:v>44903</c:v>
                </c:pt>
                <c:pt idx="11">
                  <c:v>44904</c:v>
                </c:pt>
                <c:pt idx="12">
                  <c:v>44905</c:v>
                </c:pt>
                <c:pt idx="13">
                  <c:v>44906</c:v>
                </c:pt>
                <c:pt idx="14">
                  <c:v>44907</c:v>
                </c:pt>
                <c:pt idx="15">
                  <c:v>44908</c:v>
                </c:pt>
              </c:numCache>
            </c:numRef>
          </c:cat>
          <c:val>
            <c:numRef>
              <c:f>'Outpatient (Old)'!$Y$2979:$Y$2994</c:f>
              <c:numCache>
                <c:formatCode>General</c:formatCode>
                <c:ptCount val="16"/>
                <c:pt idx="0">
                  <c:v>0</c:v>
                </c:pt>
                <c:pt idx="1">
                  <c:v>3</c:v>
                </c:pt>
                <c:pt idx="2">
                  <c:v>4</c:v>
                </c:pt>
                <c:pt idx="3">
                  <c:v>1</c:v>
                </c:pt>
                <c:pt idx="4">
                  <c:v>5</c:v>
                </c:pt>
                <c:pt idx="5">
                  <c:v>4</c:v>
                </c:pt>
                <c:pt idx="6">
                  <c:v>0</c:v>
                </c:pt>
                <c:pt idx="7">
                  <c:v>2</c:v>
                </c:pt>
                <c:pt idx="8">
                  <c:v>5</c:v>
                </c:pt>
                <c:pt idx="9">
                  <c:v>0</c:v>
                </c:pt>
                <c:pt idx="10">
                  <c:v>0</c:v>
                </c:pt>
                <c:pt idx="11">
                  <c:v>1</c:v>
                </c:pt>
                <c:pt idx="12">
                  <c:v>3</c:v>
                </c:pt>
                <c:pt idx="13">
                  <c:v>0</c:v>
                </c:pt>
                <c:pt idx="14">
                  <c:v>1</c:v>
                </c:pt>
                <c:pt idx="15">
                  <c:v>4</c:v>
                </c:pt>
              </c:numCache>
            </c:numRef>
          </c:val>
          <c:smooth val="0"/>
          <c:extLst>
            <c:ext xmlns:c16="http://schemas.microsoft.com/office/drawing/2014/chart" uri="{C3380CC4-5D6E-409C-BE32-E72D297353CC}">
              <c16:uniqueId val="{00000003-4178-42FD-AA80-4B9BCB4E44E9}"/>
            </c:ext>
          </c:extLst>
        </c:ser>
        <c:dLbls>
          <c:showLegendKey val="0"/>
          <c:showVal val="0"/>
          <c:showCatName val="0"/>
          <c:showSerName val="0"/>
          <c:showPercent val="0"/>
          <c:showBubbleSize val="0"/>
        </c:dLbls>
        <c:marker val="1"/>
        <c:smooth val="0"/>
        <c:axId val="625909968"/>
        <c:axId val="625906688"/>
      </c:lineChart>
      <c:dateAx>
        <c:axId val="62590996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5906688"/>
        <c:crosses val="autoZero"/>
        <c:auto val="1"/>
        <c:lblOffset val="100"/>
        <c:baseTimeUnit val="days"/>
      </c:dateAx>
      <c:valAx>
        <c:axId val="6259066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Number of</a:t>
                </a:r>
                <a:r>
                  <a:rPr lang="en-US" baseline="0"/>
                  <a:t> Comments</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59099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Mobile Check-in</a:t>
            </a:r>
            <a:r>
              <a:rPr lang="en-US" baseline="0"/>
              <a:t> </a:t>
            </a:r>
            <a:r>
              <a:rPr lang="en-US"/>
              <a:t>Comments </a:t>
            </a:r>
            <a:br>
              <a:rPr lang="en-US"/>
            </a:br>
            <a:r>
              <a:rPr lang="en-US"/>
              <a:t>(Percentage</a:t>
            </a:r>
            <a:r>
              <a:rPr lang="en-US" baseline="0"/>
              <a:t> Across Reporting Periods)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'12-27-2022Trends'!$B$2</c:f>
              <c:strCache>
                <c:ptCount val="1"/>
                <c:pt idx="0">
                  <c:v>Mobile Check-in Good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'12-27-2022Trends'!$A$3:$A$4</c:f>
              <c:strCache>
                <c:ptCount val="2"/>
                <c:pt idx="0">
                  <c:v>11/28/2022 - 12/13/2022</c:v>
                </c:pt>
                <c:pt idx="1">
                  <c:v>12/14/2022 - 12/27/2022</c:v>
                </c:pt>
              </c:strCache>
            </c:strRef>
          </c:cat>
          <c:val>
            <c:numRef>
              <c:f>'12-27-2022Trends'!$B$3:$B$4</c:f>
              <c:numCache>
                <c:formatCode>0.00</c:formatCode>
                <c:ptCount val="2"/>
                <c:pt idx="0">
                  <c:v>1.2605042016806722</c:v>
                </c:pt>
                <c:pt idx="1">
                  <c:v>0.49504950495049505</c:v>
                </c:pt>
              </c:numCache>
            </c:numRef>
          </c:val>
          <c:smooth val="0"/>
          <c:extLst>
            <c:ext xmlns:c16="http://schemas.microsoft.com/office/drawing/2014/chart" uri="{C3380CC4-5D6E-409C-BE32-E72D297353CC}">
              <c16:uniqueId val="{00000000-DC16-4FC1-AE5F-91BF300EF5F7}"/>
            </c:ext>
          </c:extLst>
        </c:ser>
        <c:ser>
          <c:idx val="1"/>
          <c:order val="1"/>
          <c:tx>
            <c:strRef>
              <c:f>'12-27-2022Trends'!$C$2</c:f>
              <c:strCache>
                <c:ptCount val="1"/>
                <c:pt idx="0">
                  <c:v>Mobile Check-in Bad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'12-27-2022Trends'!$A$3:$A$4</c:f>
              <c:strCache>
                <c:ptCount val="2"/>
                <c:pt idx="0">
                  <c:v>11/28/2022 - 12/13/2022</c:v>
                </c:pt>
                <c:pt idx="1">
                  <c:v>12/14/2022 - 12/27/2022</c:v>
                </c:pt>
              </c:strCache>
            </c:strRef>
          </c:cat>
          <c:val>
            <c:numRef>
              <c:f>'12-27-2022Trends'!$C$3:$C$4</c:f>
              <c:numCache>
                <c:formatCode>0.00</c:formatCode>
                <c:ptCount val="2"/>
                <c:pt idx="0">
                  <c:v>9.4537815126050422</c:v>
                </c:pt>
                <c:pt idx="1">
                  <c:v>5.9405940594059405</c:v>
                </c:pt>
              </c:numCache>
            </c:numRef>
          </c:val>
          <c:smooth val="0"/>
          <c:extLst>
            <c:ext xmlns:c16="http://schemas.microsoft.com/office/drawing/2014/chart" uri="{C3380CC4-5D6E-409C-BE32-E72D297353CC}">
              <c16:uniqueId val="{00000001-DC16-4FC1-AE5F-91BF300EF5F7}"/>
            </c:ext>
          </c:extLst>
        </c:ser>
        <c:dLbls>
          <c:dLblPos val="t"/>
          <c:showLegendKey val="0"/>
          <c:showVal val="1"/>
          <c:showCatName val="0"/>
          <c:showSerName val="0"/>
          <c:showPercent val="0"/>
          <c:showBubbleSize val="0"/>
        </c:dLbls>
        <c:marker val="1"/>
        <c:smooth val="0"/>
        <c:axId val="690993824"/>
        <c:axId val="690994480"/>
      </c:lineChart>
      <c:catAx>
        <c:axId val="6909938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Reporting Period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0994480"/>
        <c:crosses val="autoZero"/>
        <c:auto val="1"/>
        <c:lblAlgn val="ctr"/>
        <c:lblOffset val="100"/>
        <c:noMultiLvlLbl val="0"/>
      </c:catAx>
      <c:valAx>
        <c:axId val="6909944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Percentage of All Comments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0993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General Check-in Comments</a:t>
            </a:r>
            <a:br>
              <a:rPr lang="en-US"/>
            </a:br>
            <a:r>
              <a:rPr lang="en-US"/>
              <a:t>(Percentage Across Reporting</a:t>
            </a:r>
            <a:r>
              <a:rPr lang="en-US" baseline="0"/>
              <a:t> Periods)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'12-27-2022Trends'!$D$2</c:f>
              <c:strCache>
                <c:ptCount val="1"/>
                <c:pt idx="0">
                  <c:v>General Check-in Good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'12-27-2022Trends'!$A$3:$A$4</c:f>
              <c:strCache>
                <c:ptCount val="2"/>
                <c:pt idx="0">
                  <c:v>11/28/2022 - 12/13/2022</c:v>
                </c:pt>
                <c:pt idx="1">
                  <c:v>12/14/2022 - 12/27/2022</c:v>
                </c:pt>
              </c:strCache>
            </c:strRef>
          </c:cat>
          <c:val>
            <c:numRef>
              <c:f>'12-27-2022Trends'!$D$3:$D$4</c:f>
              <c:numCache>
                <c:formatCode>0.00</c:formatCode>
                <c:ptCount val="2"/>
                <c:pt idx="0">
                  <c:v>6.3025210084033612</c:v>
                </c:pt>
                <c:pt idx="1">
                  <c:v>14.603960396039604</c:v>
                </c:pt>
              </c:numCache>
            </c:numRef>
          </c:val>
          <c:smooth val="0"/>
          <c:extLst>
            <c:ext xmlns:c16="http://schemas.microsoft.com/office/drawing/2014/chart" uri="{C3380CC4-5D6E-409C-BE32-E72D297353CC}">
              <c16:uniqueId val="{00000000-747D-4170-89AA-FC0FC7649344}"/>
            </c:ext>
          </c:extLst>
        </c:ser>
        <c:ser>
          <c:idx val="1"/>
          <c:order val="1"/>
          <c:tx>
            <c:strRef>
              <c:f>'12-27-2022Trends'!$E$2</c:f>
              <c:strCache>
                <c:ptCount val="1"/>
                <c:pt idx="0">
                  <c:v>General Check-in Bad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'12-27-2022Trends'!$A$3:$A$4</c:f>
              <c:strCache>
                <c:ptCount val="2"/>
                <c:pt idx="0">
                  <c:v>11/28/2022 - 12/13/2022</c:v>
                </c:pt>
                <c:pt idx="1">
                  <c:v>12/14/2022 - 12/27/2022</c:v>
                </c:pt>
              </c:strCache>
            </c:strRef>
          </c:cat>
          <c:val>
            <c:numRef>
              <c:f>'12-27-2022Trends'!$E$3:$E$4</c:f>
              <c:numCache>
                <c:formatCode>0.00</c:formatCode>
                <c:ptCount val="2"/>
                <c:pt idx="0">
                  <c:v>13.445378151260504</c:v>
                </c:pt>
                <c:pt idx="1">
                  <c:v>10.14851485148515</c:v>
                </c:pt>
              </c:numCache>
            </c:numRef>
          </c:val>
          <c:smooth val="0"/>
          <c:extLst>
            <c:ext xmlns:c16="http://schemas.microsoft.com/office/drawing/2014/chart" uri="{C3380CC4-5D6E-409C-BE32-E72D297353CC}">
              <c16:uniqueId val="{00000001-747D-4170-89AA-FC0FC7649344}"/>
            </c:ext>
          </c:extLst>
        </c:ser>
        <c:dLbls>
          <c:dLblPos val="t"/>
          <c:showLegendKey val="0"/>
          <c:showVal val="1"/>
          <c:showCatName val="0"/>
          <c:showSerName val="0"/>
          <c:showPercent val="0"/>
          <c:showBubbleSize val="0"/>
        </c:dLbls>
        <c:marker val="1"/>
        <c:smooth val="0"/>
        <c:axId val="808175008"/>
        <c:axId val="808172712"/>
      </c:lineChart>
      <c:catAx>
        <c:axId val="8081750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Reporting Period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8172712"/>
        <c:crosses val="autoZero"/>
        <c:auto val="1"/>
        <c:lblAlgn val="ctr"/>
        <c:lblOffset val="100"/>
        <c:noMultiLvlLbl val="0"/>
      </c:catAx>
      <c:valAx>
        <c:axId val="8081727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Percentag e of All Comments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81750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Kiosk Comments</a:t>
            </a:r>
            <a:br>
              <a:rPr lang="en-US"/>
            </a:br>
            <a:r>
              <a:rPr lang="en-US"/>
              <a:t>(Percentage Across</a:t>
            </a:r>
            <a:r>
              <a:rPr lang="en-US" baseline="0"/>
              <a:t> Reporting Periods)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'12-27-2022Trends'!$F$2</c:f>
              <c:strCache>
                <c:ptCount val="1"/>
                <c:pt idx="0">
                  <c:v>Kiosk Good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'12-27-2022Trends'!$A$3:$A$4</c:f>
              <c:strCache>
                <c:ptCount val="2"/>
                <c:pt idx="0">
                  <c:v>11/28/2022 - 12/13/2022</c:v>
                </c:pt>
                <c:pt idx="1">
                  <c:v>12/14/2022 - 12/27/2022</c:v>
                </c:pt>
              </c:strCache>
            </c:strRef>
          </c:cat>
          <c:val>
            <c:numRef>
              <c:f>'12-27-2022Trends'!$F$3:$F$4</c:f>
              <c:numCache>
                <c:formatCode>0.00</c:formatCode>
                <c:ptCount val="2"/>
                <c:pt idx="0">
                  <c:v>16.596638655462183</c:v>
                </c:pt>
                <c:pt idx="1">
                  <c:v>16.089108910891088</c:v>
                </c:pt>
              </c:numCache>
            </c:numRef>
          </c:val>
          <c:smooth val="0"/>
          <c:extLst>
            <c:ext xmlns:c16="http://schemas.microsoft.com/office/drawing/2014/chart" uri="{C3380CC4-5D6E-409C-BE32-E72D297353CC}">
              <c16:uniqueId val="{00000000-0EA9-4F8E-A7F2-D00E918A1D01}"/>
            </c:ext>
          </c:extLst>
        </c:ser>
        <c:ser>
          <c:idx val="1"/>
          <c:order val="1"/>
          <c:tx>
            <c:strRef>
              <c:f>'12-27-2022Trends'!$G$2</c:f>
              <c:strCache>
                <c:ptCount val="1"/>
                <c:pt idx="0">
                  <c:v>Kiosk Bad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'12-27-2022Trends'!$A$3:$A$4</c:f>
              <c:strCache>
                <c:ptCount val="2"/>
                <c:pt idx="0">
                  <c:v>11/28/2022 - 12/13/2022</c:v>
                </c:pt>
                <c:pt idx="1">
                  <c:v>12/14/2022 - 12/27/2022</c:v>
                </c:pt>
              </c:strCache>
            </c:strRef>
          </c:cat>
          <c:val>
            <c:numRef>
              <c:f>'12-27-2022Trends'!$G$3:$G$4</c:f>
              <c:numCache>
                <c:formatCode>0.00</c:formatCode>
                <c:ptCount val="2"/>
                <c:pt idx="0">
                  <c:v>4.2016806722689077</c:v>
                </c:pt>
                <c:pt idx="1">
                  <c:v>5.4455445544554459</c:v>
                </c:pt>
              </c:numCache>
            </c:numRef>
          </c:val>
          <c:smooth val="0"/>
          <c:extLst>
            <c:ext xmlns:c16="http://schemas.microsoft.com/office/drawing/2014/chart" uri="{C3380CC4-5D6E-409C-BE32-E72D297353CC}">
              <c16:uniqueId val="{00000001-0EA9-4F8E-A7F2-D00E918A1D01}"/>
            </c:ext>
          </c:extLst>
        </c:ser>
        <c:dLbls>
          <c:dLblPos val="t"/>
          <c:showLegendKey val="0"/>
          <c:showVal val="1"/>
          <c:showCatName val="0"/>
          <c:showSerName val="0"/>
          <c:showPercent val="0"/>
          <c:showBubbleSize val="0"/>
        </c:dLbls>
        <c:marker val="1"/>
        <c:smooth val="0"/>
        <c:axId val="813312592"/>
        <c:axId val="813312920"/>
      </c:lineChart>
      <c:catAx>
        <c:axId val="8133125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Reporting Period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3312920"/>
        <c:crosses val="autoZero"/>
        <c:auto val="1"/>
        <c:lblAlgn val="ctr"/>
        <c:lblOffset val="100"/>
        <c:noMultiLvlLbl val="0"/>
      </c:catAx>
      <c:valAx>
        <c:axId val="8133129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Percentage of All Comments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3312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Staff</a:t>
            </a:r>
            <a:r>
              <a:rPr lang="en-US" baseline="0"/>
              <a:t> Attitude Comments</a:t>
            </a:r>
            <a:br>
              <a:rPr lang="en-US" baseline="0"/>
            </a:br>
            <a:r>
              <a:rPr lang="en-US" baseline="0"/>
              <a:t>(Percentage Across Reporting Periods)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'12-27-2022Trends'!$H$2</c:f>
              <c:strCache>
                <c:ptCount val="1"/>
                <c:pt idx="0">
                  <c:v>Staff Attitude Good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'12-27-2022Trends'!$A$3:$A$4</c:f>
              <c:strCache>
                <c:ptCount val="2"/>
                <c:pt idx="0">
                  <c:v>11/28/2022 - 12/13/2022</c:v>
                </c:pt>
                <c:pt idx="1">
                  <c:v>12/14/2022 - 12/27/2022</c:v>
                </c:pt>
              </c:strCache>
            </c:strRef>
          </c:cat>
          <c:val>
            <c:numRef>
              <c:f>'12-27-2022Trends'!$H$3:$H$4</c:f>
              <c:numCache>
                <c:formatCode>0.00</c:formatCode>
                <c:ptCount val="2"/>
                <c:pt idx="0">
                  <c:v>38.02521008403361</c:v>
                </c:pt>
                <c:pt idx="1">
                  <c:v>32.425742574257427</c:v>
                </c:pt>
              </c:numCache>
            </c:numRef>
          </c:val>
          <c:smooth val="0"/>
          <c:extLst>
            <c:ext xmlns:c16="http://schemas.microsoft.com/office/drawing/2014/chart" uri="{C3380CC4-5D6E-409C-BE32-E72D297353CC}">
              <c16:uniqueId val="{00000000-D83E-4DD0-858A-03A562A20487}"/>
            </c:ext>
          </c:extLst>
        </c:ser>
        <c:ser>
          <c:idx val="1"/>
          <c:order val="1"/>
          <c:tx>
            <c:strRef>
              <c:f>'12-27-2022Trends'!$I$2</c:f>
              <c:strCache>
                <c:ptCount val="1"/>
                <c:pt idx="0">
                  <c:v>Staff Attitude Bad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'12-27-2022Trends'!$A$3:$A$4</c:f>
              <c:strCache>
                <c:ptCount val="2"/>
                <c:pt idx="0">
                  <c:v>11/28/2022 - 12/13/2022</c:v>
                </c:pt>
                <c:pt idx="1">
                  <c:v>12/14/2022 - 12/27/2022</c:v>
                </c:pt>
              </c:strCache>
            </c:strRef>
          </c:cat>
          <c:val>
            <c:numRef>
              <c:f>'12-27-2022Trends'!$I$3:$I$4</c:f>
              <c:numCache>
                <c:formatCode>0.00</c:formatCode>
                <c:ptCount val="2"/>
                <c:pt idx="0">
                  <c:v>11.344537815126051</c:v>
                </c:pt>
                <c:pt idx="1">
                  <c:v>13.861386138613863</c:v>
                </c:pt>
              </c:numCache>
            </c:numRef>
          </c:val>
          <c:smooth val="0"/>
          <c:extLst>
            <c:ext xmlns:c16="http://schemas.microsoft.com/office/drawing/2014/chart" uri="{C3380CC4-5D6E-409C-BE32-E72D297353CC}">
              <c16:uniqueId val="{00000001-D83E-4DD0-858A-03A562A20487}"/>
            </c:ext>
          </c:extLst>
        </c:ser>
        <c:dLbls>
          <c:dLblPos val="t"/>
          <c:showLegendKey val="0"/>
          <c:showVal val="1"/>
          <c:showCatName val="0"/>
          <c:showSerName val="0"/>
          <c:showPercent val="0"/>
          <c:showBubbleSize val="0"/>
        </c:dLbls>
        <c:marker val="1"/>
        <c:smooth val="0"/>
        <c:axId val="395659888"/>
        <c:axId val="395661200"/>
      </c:lineChart>
      <c:catAx>
        <c:axId val="39565988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Reporting Period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5661200"/>
        <c:crosses val="autoZero"/>
        <c:auto val="1"/>
        <c:lblAlgn val="ctr"/>
        <c:lblOffset val="100"/>
        <c:noMultiLvlLbl val="0"/>
      </c:catAx>
      <c:valAx>
        <c:axId val="3956612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Percentage of All Comments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56598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Travel</a:t>
            </a:r>
            <a:r>
              <a:rPr lang="en-US" baseline="0"/>
              <a:t> Pay Comments</a:t>
            </a:r>
            <a:br>
              <a:rPr lang="en-US" baseline="0"/>
            </a:br>
            <a:r>
              <a:rPr lang="en-US" baseline="0"/>
              <a:t>(Percentage Across Reporting Periods)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'12-27-2022Trends'!$J$2</c:f>
              <c:strCache>
                <c:ptCount val="1"/>
                <c:pt idx="0">
                  <c:v>Travel Pay Good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'12-27-2022Trends'!$A$3:$A$5</c:f>
              <c:strCache>
                <c:ptCount val="2"/>
                <c:pt idx="0">
                  <c:v>11/28/2022 - 12/13/2022</c:v>
                </c:pt>
                <c:pt idx="1">
                  <c:v>12/14/2022 - 12/27/2022</c:v>
                </c:pt>
              </c:strCache>
            </c:strRef>
          </c:cat>
          <c:val>
            <c:numRef>
              <c:f>'12-27-2022Trends'!$J$3:$J$4</c:f>
              <c:numCache>
                <c:formatCode>0.00</c:formatCode>
                <c:ptCount val="2"/>
                <c:pt idx="0">
                  <c:v>0.21008403361344538</c:v>
                </c:pt>
                <c:pt idx="1">
                  <c:v>0</c:v>
                </c:pt>
              </c:numCache>
            </c:numRef>
          </c:val>
          <c:smooth val="0"/>
          <c:extLst>
            <c:ext xmlns:c16="http://schemas.microsoft.com/office/drawing/2014/chart" uri="{C3380CC4-5D6E-409C-BE32-E72D297353CC}">
              <c16:uniqueId val="{00000000-3699-4796-82D9-890CB6BB3EBC}"/>
            </c:ext>
          </c:extLst>
        </c:ser>
        <c:ser>
          <c:idx val="1"/>
          <c:order val="1"/>
          <c:tx>
            <c:strRef>
              <c:f>'12-27-2022Trends'!$K$2</c:f>
              <c:strCache>
                <c:ptCount val="1"/>
                <c:pt idx="0">
                  <c:v>Travel Pay Bad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'12-27-2022Trends'!$A$3:$A$5</c:f>
              <c:strCache>
                <c:ptCount val="2"/>
                <c:pt idx="0">
                  <c:v>11/28/2022 - 12/13/2022</c:v>
                </c:pt>
                <c:pt idx="1">
                  <c:v>12/14/2022 - 12/27/2022</c:v>
                </c:pt>
              </c:strCache>
            </c:strRef>
          </c:cat>
          <c:val>
            <c:numRef>
              <c:f>'12-27-2022Trends'!$K$3:$K$4</c:f>
              <c:numCache>
                <c:formatCode>0.00</c:formatCode>
                <c:ptCount val="2"/>
                <c:pt idx="0">
                  <c:v>8.1932773109243691</c:v>
                </c:pt>
                <c:pt idx="1">
                  <c:v>8.1683168316831694</c:v>
                </c:pt>
              </c:numCache>
            </c:numRef>
          </c:val>
          <c:smooth val="0"/>
          <c:extLst>
            <c:ext xmlns:c16="http://schemas.microsoft.com/office/drawing/2014/chart" uri="{C3380CC4-5D6E-409C-BE32-E72D297353CC}">
              <c16:uniqueId val="{00000001-3699-4796-82D9-890CB6BB3EBC}"/>
            </c:ext>
          </c:extLst>
        </c:ser>
        <c:dLbls>
          <c:dLblPos val="t"/>
          <c:showLegendKey val="0"/>
          <c:showVal val="1"/>
          <c:showCatName val="0"/>
          <c:showSerName val="0"/>
          <c:showPercent val="0"/>
          <c:showBubbleSize val="0"/>
        </c:dLbls>
        <c:marker val="1"/>
        <c:smooth val="0"/>
        <c:axId val="869011448"/>
        <c:axId val="869020304"/>
      </c:lineChart>
      <c:catAx>
        <c:axId val="86901144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Reporting Period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9020304"/>
        <c:crosses val="autoZero"/>
        <c:auto val="1"/>
        <c:lblAlgn val="ctr"/>
        <c:lblOffset val="100"/>
        <c:noMultiLvlLbl val="0"/>
      </c:catAx>
      <c:valAx>
        <c:axId val="8690203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Percentage  of Al</a:t>
                </a:r>
                <a:r>
                  <a:rPr lang="en-US" baseline="0"/>
                  <a:t>l Comments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90114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Wait Time (</a:t>
            </a:r>
            <a:r>
              <a:rPr lang="en-US" baseline="0"/>
              <a:t>Arrival to Checkout) Comments</a:t>
            </a:r>
            <a:br>
              <a:rPr lang="en-US" baseline="0"/>
            </a:br>
            <a:r>
              <a:rPr lang="en-US" baseline="0"/>
              <a:t>(Percentage Across Reporting Periods)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'12-27-2022Trends'!$M$2</c:f>
              <c:strCache>
                <c:ptCount val="1"/>
                <c:pt idx="0">
                  <c:v>Wait times Good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'12-27-2022Trends'!$A$3:$A$4</c:f>
              <c:strCache>
                <c:ptCount val="2"/>
                <c:pt idx="0">
                  <c:v>11/28/2022 - 12/13/2022</c:v>
                </c:pt>
                <c:pt idx="1">
                  <c:v>12/14/2022 - 12/27/2022</c:v>
                </c:pt>
              </c:strCache>
            </c:strRef>
          </c:cat>
          <c:val>
            <c:numRef>
              <c:f>'12-27-2022Trends'!$M$3:$M$4</c:f>
              <c:numCache>
                <c:formatCode>0.00</c:formatCode>
                <c:ptCount val="2"/>
                <c:pt idx="0">
                  <c:v>3.3613445378151261</c:v>
                </c:pt>
                <c:pt idx="1">
                  <c:v>4.7029702970297027</c:v>
                </c:pt>
              </c:numCache>
            </c:numRef>
          </c:val>
          <c:smooth val="0"/>
          <c:extLst>
            <c:ext xmlns:c16="http://schemas.microsoft.com/office/drawing/2014/chart" uri="{C3380CC4-5D6E-409C-BE32-E72D297353CC}">
              <c16:uniqueId val="{00000000-46DB-4A57-89D3-ECC9158B09D6}"/>
            </c:ext>
          </c:extLst>
        </c:ser>
        <c:ser>
          <c:idx val="1"/>
          <c:order val="1"/>
          <c:tx>
            <c:strRef>
              <c:f>'12-27-2022Trends'!$N$2</c:f>
              <c:strCache>
                <c:ptCount val="1"/>
                <c:pt idx="0">
                  <c:v>Wait times Bad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'12-27-2022Trends'!$A$3:$A$4</c:f>
              <c:strCache>
                <c:ptCount val="2"/>
                <c:pt idx="0">
                  <c:v>11/28/2022 - 12/13/2022</c:v>
                </c:pt>
                <c:pt idx="1">
                  <c:v>12/14/2022 - 12/27/2022</c:v>
                </c:pt>
              </c:strCache>
            </c:strRef>
          </c:cat>
          <c:val>
            <c:numRef>
              <c:f>'12-27-2022Trends'!$N$3:$N$4</c:f>
              <c:numCache>
                <c:formatCode>0.00</c:formatCode>
                <c:ptCount val="2"/>
                <c:pt idx="0">
                  <c:v>6.9327731092436977</c:v>
                </c:pt>
                <c:pt idx="1">
                  <c:v>11.633663366336634</c:v>
                </c:pt>
              </c:numCache>
            </c:numRef>
          </c:val>
          <c:smooth val="0"/>
          <c:extLst>
            <c:ext xmlns:c16="http://schemas.microsoft.com/office/drawing/2014/chart" uri="{C3380CC4-5D6E-409C-BE32-E72D297353CC}">
              <c16:uniqueId val="{00000001-46DB-4A57-89D3-ECC9158B09D6}"/>
            </c:ext>
          </c:extLst>
        </c:ser>
        <c:dLbls>
          <c:dLblPos val="t"/>
          <c:showLegendKey val="0"/>
          <c:showVal val="1"/>
          <c:showCatName val="0"/>
          <c:showSerName val="0"/>
          <c:showPercent val="0"/>
          <c:showBubbleSize val="0"/>
        </c:dLbls>
        <c:marker val="1"/>
        <c:smooth val="0"/>
        <c:axId val="702911072"/>
        <c:axId val="702903856"/>
      </c:lineChart>
      <c:catAx>
        <c:axId val="70291107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Reporting Period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2903856"/>
        <c:crosses val="autoZero"/>
        <c:auto val="1"/>
        <c:lblAlgn val="ctr"/>
        <c:lblOffset val="100"/>
        <c:noMultiLvlLbl val="0"/>
      </c:catAx>
      <c:valAx>
        <c:axId val="7029038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Percentage of All Comments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29110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Mobile Check-in</a:t>
            </a:r>
            <a:r>
              <a:rPr lang="en-US" baseline="0"/>
              <a:t> Feedback </a:t>
            </a:r>
            <a:br>
              <a:rPr lang="en-US" baseline="0"/>
            </a:br>
            <a:r>
              <a:rPr lang="en-US" baseline="0"/>
              <a:t>(Total Comments Over 2 Weeks)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'Outpatient (Old)'!$I$3408:$I$3421</c:f>
              <c:numCache>
                <c:formatCode>m/d/yyyy</c:formatCode>
                <c:ptCount val="14"/>
                <c:pt idx="0">
                  <c:v>44909</c:v>
                </c:pt>
                <c:pt idx="1">
                  <c:v>44910</c:v>
                </c:pt>
                <c:pt idx="2">
                  <c:v>44911</c:v>
                </c:pt>
                <c:pt idx="3">
                  <c:v>44912</c:v>
                </c:pt>
                <c:pt idx="4">
                  <c:v>44913</c:v>
                </c:pt>
                <c:pt idx="5">
                  <c:v>44914</c:v>
                </c:pt>
                <c:pt idx="6">
                  <c:v>44915</c:v>
                </c:pt>
                <c:pt idx="7">
                  <c:v>44916</c:v>
                </c:pt>
                <c:pt idx="8">
                  <c:v>44917</c:v>
                </c:pt>
                <c:pt idx="9">
                  <c:v>44918</c:v>
                </c:pt>
                <c:pt idx="10">
                  <c:v>44919</c:v>
                </c:pt>
                <c:pt idx="11">
                  <c:v>44920</c:v>
                </c:pt>
                <c:pt idx="12">
                  <c:v>44921</c:v>
                </c:pt>
                <c:pt idx="13">
                  <c:v>44922</c:v>
                </c:pt>
              </c:numCache>
            </c:numRef>
          </c:cat>
          <c:val>
            <c:numRef>
              <c:f>'Outpatient (Old)'!$J$3408:$J$3421</c:f>
            </c:numRef>
          </c:val>
          <c:smooth val="0"/>
          <c:extLst>
            <c:ext xmlns:c16="http://schemas.microsoft.com/office/drawing/2014/chart" uri="{C3380CC4-5D6E-409C-BE32-E72D297353CC}">
              <c16:uniqueId val="{00000000-F39C-4A78-8E18-DD3B6CA1D2D2}"/>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f>'Outpatient (Old)'!$I$3408:$I$3421</c:f>
              <c:numCache>
                <c:formatCode>m/d/yyyy</c:formatCode>
                <c:ptCount val="14"/>
                <c:pt idx="0">
                  <c:v>44909</c:v>
                </c:pt>
                <c:pt idx="1">
                  <c:v>44910</c:v>
                </c:pt>
                <c:pt idx="2">
                  <c:v>44911</c:v>
                </c:pt>
                <c:pt idx="3">
                  <c:v>44912</c:v>
                </c:pt>
                <c:pt idx="4">
                  <c:v>44913</c:v>
                </c:pt>
                <c:pt idx="5">
                  <c:v>44914</c:v>
                </c:pt>
                <c:pt idx="6">
                  <c:v>44915</c:v>
                </c:pt>
                <c:pt idx="7">
                  <c:v>44916</c:v>
                </c:pt>
                <c:pt idx="8">
                  <c:v>44917</c:v>
                </c:pt>
                <c:pt idx="9">
                  <c:v>44918</c:v>
                </c:pt>
                <c:pt idx="10">
                  <c:v>44919</c:v>
                </c:pt>
                <c:pt idx="11">
                  <c:v>44920</c:v>
                </c:pt>
                <c:pt idx="12">
                  <c:v>44921</c:v>
                </c:pt>
                <c:pt idx="13">
                  <c:v>44922</c:v>
                </c:pt>
              </c:numCache>
            </c:numRef>
          </c:cat>
          <c:val>
            <c:numRef>
              <c:f>'Outpatient (Old)'!$K$3408:$K$3421</c:f>
            </c:numRef>
          </c:val>
          <c:smooth val="0"/>
          <c:extLst>
            <c:ext xmlns:c16="http://schemas.microsoft.com/office/drawing/2014/chart" uri="{C3380CC4-5D6E-409C-BE32-E72D297353CC}">
              <c16:uniqueId val="{00000001-F39C-4A78-8E18-DD3B6CA1D2D2}"/>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cat>
            <c:numRef>
              <c:f>'Outpatient (Old)'!$I$3408:$I$3421</c:f>
              <c:numCache>
                <c:formatCode>m/d/yyyy</c:formatCode>
                <c:ptCount val="14"/>
                <c:pt idx="0">
                  <c:v>44909</c:v>
                </c:pt>
                <c:pt idx="1">
                  <c:v>44910</c:v>
                </c:pt>
                <c:pt idx="2">
                  <c:v>44911</c:v>
                </c:pt>
                <c:pt idx="3">
                  <c:v>44912</c:v>
                </c:pt>
                <c:pt idx="4">
                  <c:v>44913</c:v>
                </c:pt>
                <c:pt idx="5">
                  <c:v>44914</c:v>
                </c:pt>
                <c:pt idx="6">
                  <c:v>44915</c:v>
                </c:pt>
                <c:pt idx="7">
                  <c:v>44916</c:v>
                </c:pt>
                <c:pt idx="8">
                  <c:v>44917</c:v>
                </c:pt>
                <c:pt idx="9">
                  <c:v>44918</c:v>
                </c:pt>
                <c:pt idx="10">
                  <c:v>44919</c:v>
                </c:pt>
                <c:pt idx="11">
                  <c:v>44920</c:v>
                </c:pt>
                <c:pt idx="12">
                  <c:v>44921</c:v>
                </c:pt>
                <c:pt idx="13">
                  <c:v>44922</c:v>
                </c:pt>
              </c:numCache>
            </c:numRef>
          </c:cat>
          <c:val>
            <c:numRef>
              <c:f>'Outpatient (Old)'!$L$3408:$L$3421</c:f>
            </c:numRef>
          </c:val>
          <c:smooth val="0"/>
          <c:extLst>
            <c:ext xmlns:c16="http://schemas.microsoft.com/office/drawing/2014/chart" uri="{C3380CC4-5D6E-409C-BE32-E72D297353CC}">
              <c16:uniqueId val="{00000002-F39C-4A78-8E18-DD3B6CA1D2D2}"/>
            </c:ext>
          </c:extLst>
        </c:ser>
        <c:ser>
          <c:idx val="3"/>
          <c:order val="3"/>
          <c:tx>
            <c:strRef>
              <c:f>'Outpatient (Old)'!$M$1</c:f>
              <c:strCache>
                <c:ptCount val="1"/>
                <c:pt idx="0">
                  <c:v>Mobile CI - Good</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trendline>
            <c:spPr>
              <a:ln w="19050" cap="rnd">
                <a:solidFill>
                  <a:schemeClr val="accent4"/>
                </a:solidFill>
                <a:prstDash val="sysDot"/>
              </a:ln>
              <a:effectLst/>
            </c:spPr>
            <c:trendlineType val="linear"/>
            <c:dispRSqr val="0"/>
            <c:dispEq val="0"/>
          </c:trendline>
          <c:cat>
            <c:numRef>
              <c:f>'Outpatient (Old)'!$I$3408:$I$3421</c:f>
              <c:numCache>
                <c:formatCode>m/d/yyyy</c:formatCode>
                <c:ptCount val="14"/>
                <c:pt idx="0">
                  <c:v>44909</c:v>
                </c:pt>
                <c:pt idx="1">
                  <c:v>44910</c:v>
                </c:pt>
                <c:pt idx="2">
                  <c:v>44911</c:v>
                </c:pt>
                <c:pt idx="3">
                  <c:v>44912</c:v>
                </c:pt>
                <c:pt idx="4">
                  <c:v>44913</c:v>
                </c:pt>
                <c:pt idx="5">
                  <c:v>44914</c:v>
                </c:pt>
                <c:pt idx="6">
                  <c:v>44915</c:v>
                </c:pt>
                <c:pt idx="7">
                  <c:v>44916</c:v>
                </c:pt>
                <c:pt idx="8">
                  <c:v>44917</c:v>
                </c:pt>
                <c:pt idx="9">
                  <c:v>44918</c:v>
                </c:pt>
                <c:pt idx="10">
                  <c:v>44919</c:v>
                </c:pt>
                <c:pt idx="11">
                  <c:v>44920</c:v>
                </c:pt>
                <c:pt idx="12">
                  <c:v>44921</c:v>
                </c:pt>
                <c:pt idx="13">
                  <c:v>44922</c:v>
                </c:pt>
              </c:numCache>
            </c:numRef>
          </c:cat>
          <c:val>
            <c:numRef>
              <c:f>'Outpatient (Old)'!$M$3408:$M$3421</c:f>
              <c:numCache>
                <c:formatCode>General</c:formatCode>
                <c:ptCount val="14"/>
                <c:pt idx="0">
                  <c:v>0</c:v>
                </c:pt>
                <c:pt idx="1">
                  <c:v>0</c:v>
                </c:pt>
                <c:pt idx="2">
                  <c:v>1</c:v>
                </c:pt>
                <c:pt idx="3">
                  <c:v>0</c:v>
                </c:pt>
                <c:pt idx="4">
                  <c:v>0</c:v>
                </c:pt>
                <c:pt idx="5">
                  <c:v>0</c:v>
                </c:pt>
                <c:pt idx="6">
                  <c:v>0</c:v>
                </c:pt>
                <c:pt idx="7">
                  <c:v>1</c:v>
                </c:pt>
                <c:pt idx="8">
                  <c:v>0</c:v>
                </c:pt>
                <c:pt idx="9">
                  <c:v>0</c:v>
                </c:pt>
                <c:pt idx="10">
                  <c:v>0</c:v>
                </c:pt>
                <c:pt idx="11">
                  <c:v>0</c:v>
                </c:pt>
                <c:pt idx="12">
                  <c:v>0</c:v>
                </c:pt>
                <c:pt idx="13">
                  <c:v>0</c:v>
                </c:pt>
              </c:numCache>
            </c:numRef>
          </c:val>
          <c:smooth val="0"/>
          <c:extLst>
            <c:ext xmlns:c16="http://schemas.microsoft.com/office/drawing/2014/chart" uri="{C3380CC4-5D6E-409C-BE32-E72D297353CC}">
              <c16:uniqueId val="{00000004-F39C-4A78-8E18-DD3B6CA1D2D2}"/>
            </c:ext>
          </c:extLst>
        </c:ser>
        <c:ser>
          <c:idx val="4"/>
          <c:order val="4"/>
          <c:tx>
            <c:strRef>
              <c:f>'Outpatient (Old)'!$N$1</c:f>
              <c:strCache>
                <c:ptCount val="1"/>
                <c:pt idx="0">
                  <c:v>Mobile CI - Bad</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trendline>
            <c:spPr>
              <a:ln w="19050" cap="rnd">
                <a:solidFill>
                  <a:schemeClr val="accent5"/>
                </a:solidFill>
                <a:prstDash val="sysDot"/>
              </a:ln>
              <a:effectLst/>
            </c:spPr>
            <c:trendlineType val="linear"/>
            <c:dispRSqr val="0"/>
            <c:dispEq val="0"/>
          </c:trendline>
          <c:cat>
            <c:numRef>
              <c:f>'Outpatient (Old)'!$I$3408:$I$3421</c:f>
              <c:numCache>
                <c:formatCode>m/d/yyyy</c:formatCode>
                <c:ptCount val="14"/>
                <c:pt idx="0">
                  <c:v>44909</c:v>
                </c:pt>
                <c:pt idx="1">
                  <c:v>44910</c:v>
                </c:pt>
                <c:pt idx="2">
                  <c:v>44911</c:v>
                </c:pt>
                <c:pt idx="3">
                  <c:v>44912</c:v>
                </c:pt>
                <c:pt idx="4">
                  <c:v>44913</c:v>
                </c:pt>
                <c:pt idx="5">
                  <c:v>44914</c:v>
                </c:pt>
                <c:pt idx="6">
                  <c:v>44915</c:v>
                </c:pt>
                <c:pt idx="7">
                  <c:v>44916</c:v>
                </c:pt>
                <c:pt idx="8">
                  <c:v>44917</c:v>
                </c:pt>
                <c:pt idx="9">
                  <c:v>44918</c:v>
                </c:pt>
                <c:pt idx="10">
                  <c:v>44919</c:v>
                </c:pt>
                <c:pt idx="11">
                  <c:v>44920</c:v>
                </c:pt>
                <c:pt idx="12">
                  <c:v>44921</c:v>
                </c:pt>
                <c:pt idx="13">
                  <c:v>44922</c:v>
                </c:pt>
              </c:numCache>
            </c:numRef>
          </c:cat>
          <c:val>
            <c:numRef>
              <c:f>'Outpatient (Old)'!$N$3408:$N$3421</c:f>
              <c:numCache>
                <c:formatCode>General</c:formatCode>
                <c:ptCount val="14"/>
                <c:pt idx="0">
                  <c:v>4</c:v>
                </c:pt>
                <c:pt idx="1">
                  <c:v>2</c:v>
                </c:pt>
                <c:pt idx="2">
                  <c:v>3</c:v>
                </c:pt>
                <c:pt idx="3">
                  <c:v>6</c:v>
                </c:pt>
                <c:pt idx="4">
                  <c:v>1</c:v>
                </c:pt>
                <c:pt idx="5">
                  <c:v>2</c:v>
                </c:pt>
                <c:pt idx="6">
                  <c:v>0</c:v>
                </c:pt>
                <c:pt idx="7">
                  <c:v>2</c:v>
                </c:pt>
                <c:pt idx="8">
                  <c:v>0</c:v>
                </c:pt>
                <c:pt idx="9">
                  <c:v>2</c:v>
                </c:pt>
                <c:pt idx="10">
                  <c:v>2</c:v>
                </c:pt>
                <c:pt idx="11">
                  <c:v>0</c:v>
                </c:pt>
                <c:pt idx="12">
                  <c:v>0</c:v>
                </c:pt>
                <c:pt idx="13">
                  <c:v>0</c:v>
                </c:pt>
              </c:numCache>
            </c:numRef>
          </c:val>
          <c:smooth val="0"/>
          <c:extLst>
            <c:ext xmlns:c16="http://schemas.microsoft.com/office/drawing/2014/chart" uri="{C3380CC4-5D6E-409C-BE32-E72D297353CC}">
              <c16:uniqueId val="{00000006-F39C-4A78-8E18-DD3B6CA1D2D2}"/>
            </c:ext>
          </c:extLst>
        </c:ser>
        <c:dLbls>
          <c:showLegendKey val="0"/>
          <c:showVal val="0"/>
          <c:showCatName val="0"/>
          <c:showSerName val="0"/>
          <c:showPercent val="0"/>
          <c:showBubbleSize val="0"/>
        </c:dLbls>
        <c:marker val="1"/>
        <c:smooth val="0"/>
        <c:axId val="702934360"/>
        <c:axId val="702938296"/>
      </c:lineChart>
      <c:dateAx>
        <c:axId val="70293436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2938296"/>
        <c:crosses val="autoZero"/>
        <c:auto val="1"/>
        <c:lblOffset val="100"/>
        <c:baseTimeUnit val="days"/>
      </c:dateAx>
      <c:valAx>
        <c:axId val="7029382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Number of Comments</a:t>
                </a:r>
              </a:p>
              <a:p>
                <a:pPr>
                  <a:defRPr/>
                </a:pP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2934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General Check-in Comments</a:t>
            </a:r>
            <a:br>
              <a:rPr lang="en-US"/>
            </a:br>
            <a:r>
              <a:rPr lang="en-US"/>
              <a:t>(Total Comments Over 2 Weeks)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'Outpatient (Old)'!$O$1</c:f>
              <c:strCache>
                <c:ptCount val="1"/>
                <c:pt idx="0">
                  <c:v>General Check-in - Good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cat>
            <c:numRef>
              <c:f>'Outpatient (Old)'!$I$3408:$I$3421</c:f>
              <c:numCache>
                <c:formatCode>m/d/yyyy</c:formatCode>
                <c:ptCount val="14"/>
                <c:pt idx="0">
                  <c:v>44909</c:v>
                </c:pt>
                <c:pt idx="1">
                  <c:v>44910</c:v>
                </c:pt>
                <c:pt idx="2">
                  <c:v>44911</c:v>
                </c:pt>
                <c:pt idx="3">
                  <c:v>44912</c:v>
                </c:pt>
                <c:pt idx="4">
                  <c:v>44913</c:v>
                </c:pt>
                <c:pt idx="5">
                  <c:v>44914</c:v>
                </c:pt>
                <c:pt idx="6">
                  <c:v>44915</c:v>
                </c:pt>
                <c:pt idx="7">
                  <c:v>44916</c:v>
                </c:pt>
                <c:pt idx="8">
                  <c:v>44917</c:v>
                </c:pt>
                <c:pt idx="9">
                  <c:v>44918</c:v>
                </c:pt>
                <c:pt idx="10">
                  <c:v>44919</c:v>
                </c:pt>
                <c:pt idx="11">
                  <c:v>44920</c:v>
                </c:pt>
                <c:pt idx="12">
                  <c:v>44921</c:v>
                </c:pt>
                <c:pt idx="13">
                  <c:v>44922</c:v>
                </c:pt>
              </c:numCache>
            </c:numRef>
          </c:cat>
          <c:val>
            <c:numRef>
              <c:f>'Outpatient (Old)'!$O$3408:$O$3421</c:f>
              <c:numCache>
                <c:formatCode>General</c:formatCode>
                <c:ptCount val="14"/>
                <c:pt idx="0">
                  <c:v>2</c:v>
                </c:pt>
                <c:pt idx="1">
                  <c:v>1</c:v>
                </c:pt>
                <c:pt idx="2">
                  <c:v>8</c:v>
                </c:pt>
                <c:pt idx="3">
                  <c:v>6</c:v>
                </c:pt>
                <c:pt idx="4">
                  <c:v>2</c:v>
                </c:pt>
                <c:pt idx="5">
                  <c:v>0</c:v>
                </c:pt>
                <c:pt idx="6">
                  <c:v>6</c:v>
                </c:pt>
                <c:pt idx="7">
                  <c:v>5</c:v>
                </c:pt>
                <c:pt idx="8">
                  <c:v>4</c:v>
                </c:pt>
                <c:pt idx="9">
                  <c:v>13</c:v>
                </c:pt>
                <c:pt idx="10">
                  <c:v>4</c:v>
                </c:pt>
                <c:pt idx="11">
                  <c:v>3</c:v>
                </c:pt>
                <c:pt idx="12">
                  <c:v>3</c:v>
                </c:pt>
                <c:pt idx="13">
                  <c:v>2</c:v>
                </c:pt>
              </c:numCache>
            </c:numRef>
          </c:val>
          <c:smooth val="0"/>
          <c:extLst>
            <c:ext xmlns:c16="http://schemas.microsoft.com/office/drawing/2014/chart" uri="{C3380CC4-5D6E-409C-BE32-E72D297353CC}">
              <c16:uniqueId val="{00000001-2A28-40E2-ACED-819D8FFDFF02}"/>
            </c:ext>
          </c:extLst>
        </c:ser>
        <c:ser>
          <c:idx val="1"/>
          <c:order val="1"/>
          <c:tx>
            <c:strRef>
              <c:f>'Outpatient (Old)'!$P$1</c:f>
              <c:strCache>
                <c:ptCount val="1"/>
                <c:pt idx="0">
                  <c:v>General Check-in - Bad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linear"/>
            <c:dispRSqr val="0"/>
            <c:dispEq val="0"/>
          </c:trendline>
          <c:cat>
            <c:numRef>
              <c:f>'Outpatient (Old)'!$I$3408:$I$3421</c:f>
              <c:numCache>
                <c:formatCode>m/d/yyyy</c:formatCode>
                <c:ptCount val="14"/>
                <c:pt idx="0">
                  <c:v>44909</c:v>
                </c:pt>
                <c:pt idx="1">
                  <c:v>44910</c:v>
                </c:pt>
                <c:pt idx="2">
                  <c:v>44911</c:v>
                </c:pt>
                <c:pt idx="3">
                  <c:v>44912</c:v>
                </c:pt>
                <c:pt idx="4">
                  <c:v>44913</c:v>
                </c:pt>
                <c:pt idx="5">
                  <c:v>44914</c:v>
                </c:pt>
                <c:pt idx="6">
                  <c:v>44915</c:v>
                </c:pt>
                <c:pt idx="7">
                  <c:v>44916</c:v>
                </c:pt>
                <c:pt idx="8">
                  <c:v>44917</c:v>
                </c:pt>
                <c:pt idx="9">
                  <c:v>44918</c:v>
                </c:pt>
                <c:pt idx="10">
                  <c:v>44919</c:v>
                </c:pt>
                <c:pt idx="11">
                  <c:v>44920</c:v>
                </c:pt>
                <c:pt idx="12">
                  <c:v>44921</c:v>
                </c:pt>
                <c:pt idx="13">
                  <c:v>44922</c:v>
                </c:pt>
              </c:numCache>
            </c:numRef>
          </c:cat>
          <c:val>
            <c:numRef>
              <c:f>'Outpatient (Old)'!$P$3408:$P$3421</c:f>
              <c:numCache>
                <c:formatCode>General</c:formatCode>
                <c:ptCount val="14"/>
                <c:pt idx="0">
                  <c:v>5</c:v>
                </c:pt>
                <c:pt idx="1">
                  <c:v>1</c:v>
                </c:pt>
                <c:pt idx="2">
                  <c:v>0</c:v>
                </c:pt>
                <c:pt idx="3">
                  <c:v>7</c:v>
                </c:pt>
                <c:pt idx="4">
                  <c:v>4</c:v>
                </c:pt>
                <c:pt idx="5">
                  <c:v>2</c:v>
                </c:pt>
                <c:pt idx="6">
                  <c:v>4</c:v>
                </c:pt>
                <c:pt idx="7">
                  <c:v>5</c:v>
                </c:pt>
                <c:pt idx="8">
                  <c:v>3</c:v>
                </c:pt>
                <c:pt idx="9">
                  <c:v>5</c:v>
                </c:pt>
                <c:pt idx="10">
                  <c:v>2</c:v>
                </c:pt>
                <c:pt idx="11">
                  <c:v>1</c:v>
                </c:pt>
                <c:pt idx="12">
                  <c:v>1</c:v>
                </c:pt>
                <c:pt idx="13">
                  <c:v>1</c:v>
                </c:pt>
              </c:numCache>
            </c:numRef>
          </c:val>
          <c:smooth val="0"/>
          <c:extLst>
            <c:ext xmlns:c16="http://schemas.microsoft.com/office/drawing/2014/chart" uri="{C3380CC4-5D6E-409C-BE32-E72D297353CC}">
              <c16:uniqueId val="{00000003-2A28-40E2-ACED-819D8FFDFF02}"/>
            </c:ext>
          </c:extLst>
        </c:ser>
        <c:dLbls>
          <c:showLegendKey val="0"/>
          <c:showVal val="0"/>
          <c:showCatName val="0"/>
          <c:showSerName val="0"/>
          <c:showPercent val="0"/>
          <c:showBubbleSize val="0"/>
        </c:dLbls>
        <c:marker val="1"/>
        <c:smooth val="0"/>
        <c:axId val="871302824"/>
        <c:axId val="871306760"/>
      </c:lineChart>
      <c:dateAx>
        <c:axId val="8713028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1306760"/>
        <c:crosses val="autoZero"/>
        <c:auto val="1"/>
        <c:lblOffset val="100"/>
        <c:baseTimeUnit val="days"/>
      </c:dateAx>
      <c:valAx>
        <c:axId val="8713067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Number of Comments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1302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Kiosk Comments</a:t>
            </a:r>
            <a:br>
              <a:rPr lang="en-US"/>
            </a:br>
            <a:r>
              <a:rPr lang="en-US"/>
              <a:t>(Total Comments Over 2 Weeks)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'Outpatient (Old)'!$Q$1</c:f>
              <c:strCache>
                <c:ptCount val="1"/>
                <c:pt idx="0">
                  <c:v>Kiosk - Good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cat>
            <c:numRef>
              <c:f>'Outpatient (Old)'!$I$3408:$I$3421</c:f>
              <c:numCache>
                <c:formatCode>m/d/yyyy</c:formatCode>
                <c:ptCount val="14"/>
                <c:pt idx="0">
                  <c:v>44909</c:v>
                </c:pt>
                <c:pt idx="1">
                  <c:v>44910</c:v>
                </c:pt>
                <c:pt idx="2">
                  <c:v>44911</c:v>
                </c:pt>
                <c:pt idx="3">
                  <c:v>44912</c:v>
                </c:pt>
                <c:pt idx="4">
                  <c:v>44913</c:v>
                </c:pt>
                <c:pt idx="5">
                  <c:v>44914</c:v>
                </c:pt>
                <c:pt idx="6">
                  <c:v>44915</c:v>
                </c:pt>
                <c:pt idx="7">
                  <c:v>44916</c:v>
                </c:pt>
                <c:pt idx="8">
                  <c:v>44917</c:v>
                </c:pt>
                <c:pt idx="9">
                  <c:v>44918</c:v>
                </c:pt>
                <c:pt idx="10">
                  <c:v>44919</c:v>
                </c:pt>
                <c:pt idx="11">
                  <c:v>44920</c:v>
                </c:pt>
                <c:pt idx="12">
                  <c:v>44921</c:v>
                </c:pt>
                <c:pt idx="13">
                  <c:v>44922</c:v>
                </c:pt>
              </c:numCache>
            </c:numRef>
          </c:cat>
          <c:val>
            <c:numRef>
              <c:f>'Outpatient (Old)'!$Q$3408:$Q$3421</c:f>
              <c:numCache>
                <c:formatCode>General</c:formatCode>
                <c:ptCount val="14"/>
                <c:pt idx="0">
                  <c:v>5</c:v>
                </c:pt>
                <c:pt idx="1">
                  <c:v>2</c:v>
                </c:pt>
                <c:pt idx="2">
                  <c:v>7</c:v>
                </c:pt>
                <c:pt idx="3">
                  <c:v>10</c:v>
                </c:pt>
                <c:pt idx="4">
                  <c:v>5</c:v>
                </c:pt>
                <c:pt idx="5">
                  <c:v>3</c:v>
                </c:pt>
                <c:pt idx="6">
                  <c:v>7</c:v>
                </c:pt>
                <c:pt idx="7">
                  <c:v>7</c:v>
                </c:pt>
                <c:pt idx="8">
                  <c:v>1</c:v>
                </c:pt>
                <c:pt idx="9">
                  <c:v>3</c:v>
                </c:pt>
                <c:pt idx="10">
                  <c:v>8</c:v>
                </c:pt>
                <c:pt idx="11">
                  <c:v>1</c:v>
                </c:pt>
                <c:pt idx="12">
                  <c:v>2</c:v>
                </c:pt>
                <c:pt idx="13">
                  <c:v>4</c:v>
                </c:pt>
              </c:numCache>
            </c:numRef>
          </c:val>
          <c:smooth val="0"/>
          <c:extLst>
            <c:ext xmlns:c16="http://schemas.microsoft.com/office/drawing/2014/chart" uri="{C3380CC4-5D6E-409C-BE32-E72D297353CC}">
              <c16:uniqueId val="{00000001-58C3-42EC-8B0C-75A593D02A79}"/>
            </c:ext>
          </c:extLst>
        </c:ser>
        <c:ser>
          <c:idx val="1"/>
          <c:order val="1"/>
          <c:tx>
            <c:strRef>
              <c:f>'Outpatient (Old)'!$R$1</c:f>
              <c:strCache>
                <c:ptCount val="1"/>
                <c:pt idx="0">
                  <c:v>Kiosk - Bad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linear"/>
            <c:dispRSqr val="0"/>
            <c:dispEq val="0"/>
          </c:trendline>
          <c:cat>
            <c:numRef>
              <c:f>'Outpatient (Old)'!$I$3408:$I$3421</c:f>
              <c:numCache>
                <c:formatCode>m/d/yyyy</c:formatCode>
                <c:ptCount val="14"/>
                <c:pt idx="0">
                  <c:v>44909</c:v>
                </c:pt>
                <c:pt idx="1">
                  <c:v>44910</c:v>
                </c:pt>
                <c:pt idx="2">
                  <c:v>44911</c:v>
                </c:pt>
                <c:pt idx="3">
                  <c:v>44912</c:v>
                </c:pt>
                <c:pt idx="4">
                  <c:v>44913</c:v>
                </c:pt>
                <c:pt idx="5">
                  <c:v>44914</c:v>
                </c:pt>
                <c:pt idx="6">
                  <c:v>44915</c:v>
                </c:pt>
                <c:pt idx="7">
                  <c:v>44916</c:v>
                </c:pt>
                <c:pt idx="8">
                  <c:v>44917</c:v>
                </c:pt>
                <c:pt idx="9">
                  <c:v>44918</c:v>
                </c:pt>
                <c:pt idx="10">
                  <c:v>44919</c:v>
                </c:pt>
                <c:pt idx="11">
                  <c:v>44920</c:v>
                </c:pt>
                <c:pt idx="12">
                  <c:v>44921</c:v>
                </c:pt>
                <c:pt idx="13">
                  <c:v>44922</c:v>
                </c:pt>
              </c:numCache>
            </c:numRef>
          </c:cat>
          <c:val>
            <c:numRef>
              <c:f>'Outpatient (Old)'!$R$3408:$R$3421</c:f>
              <c:numCache>
                <c:formatCode>General</c:formatCode>
                <c:ptCount val="14"/>
                <c:pt idx="0">
                  <c:v>1</c:v>
                </c:pt>
                <c:pt idx="1">
                  <c:v>1</c:v>
                </c:pt>
                <c:pt idx="2">
                  <c:v>2</c:v>
                </c:pt>
                <c:pt idx="3">
                  <c:v>2</c:v>
                </c:pt>
                <c:pt idx="4">
                  <c:v>3</c:v>
                </c:pt>
                <c:pt idx="5">
                  <c:v>0</c:v>
                </c:pt>
                <c:pt idx="6">
                  <c:v>2</c:v>
                </c:pt>
                <c:pt idx="7">
                  <c:v>3</c:v>
                </c:pt>
                <c:pt idx="8">
                  <c:v>3</c:v>
                </c:pt>
                <c:pt idx="9">
                  <c:v>2</c:v>
                </c:pt>
                <c:pt idx="10">
                  <c:v>2</c:v>
                </c:pt>
                <c:pt idx="11">
                  <c:v>0</c:v>
                </c:pt>
                <c:pt idx="12">
                  <c:v>1</c:v>
                </c:pt>
                <c:pt idx="13">
                  <c:v>0</c:v>
                </c:pt>
              </c:numCache>
            </c:numRef>
          </c:val>
          <c:smooth val="0"/>
          <c:extLst>
            <c:ext xmlns:c16="http://schemas.microsoft.com/office/drawing/2014/chart" uri="{C3380CC4-5D6E-409C-BE32-E72D297353CC}">
              <c16:uniqueId val="{00000003-58C3-42EC-8B0C-75A593D02A79}"/>
            </c:ext>
          </c:extLst>
        </c:ser>
        <c:dLbls>
          <c:showLegendKey val="0"/>
          <c:showVal val="0"/>
          <c:showCatName val="0"/>
          <c:showSerName val="0"/>
          <c:showPercent val="0"/>
          <c:showBubbleSize val="0"/>
        </c:dLbls>
        <c:marker val="1"/>
        <c:smooth val="0"/>
        <c:axId val="765243320"/>
        <c:axId val="765243648"/>
      </c:lineChart>
      <c:dateAx>
        <c:axId val="76524332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5243648"/>
        <c:crosses val="autoZero"/>
        <c:auto val="1"/>
        <c:lblOffset val="100"/>
        <c:baseTimeUnit val="days"/>
      </c:dateAx>
      <c:valAx>
        <c:axId val="7652436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Number of Comments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52433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Staff Attitude Comments</a:t>
            </a:r>
            <a:br>
              <a:rPr lang="en-US"/>
            </a:br>
            <a:r>
              <a:rPr lang="en-US"/>
              <a:t>(Tota</a:t>
            </a:r>
            <a:r>
              <a:rPr lang="en-US" baseline="0"/>
              <a:t>l Comments Over 2 Weeks)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'Outpatient (Old)'!$S$1</c:f>
              <c:strCache>
                <c:ptCount val="1"/>
                <c:pt idx="0">
                  <c:v>Staff Attitude/ Interaction - Good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cat>
            <c:numRef>
              <c:f>'Outpatient (Old)'!$I$3408:$I$3421</c:f>
              <c:numCache>
                <c:formatCode>m/d/yyyy</c:formatCode>
                <c:ptCount val="14"/>
                <c:pt idx="0">
                  <c:v>44909</c:v>
                </c:pt>
                <c:pt idx="1">
                  <c:v>44910</c:v>
                </c:pt>
                <c:pt idx="2">
                  <c:v>44911</c:v>
                </c:pt>
                <c:pt idx="3">
                  <c:v>44912</c:v>
                </c:pt>
                <c:pt idx="4">
                  <c:v>44913</c:v>
                </c:pt>
                <c:pt idx="5">
                  <c:v>44914</c:v>
                </c:pt>
                <c:pt idx="6">
                  <c:v>44915</c:v>
                </c:pt>
                <c:pt idx="7">
                  <c:v>44916</c:v>
                </c:pt>
                <c:pt idx="8">
                  <c:v>44917</c:v>
                </c:pt>
                <c:pt idx="9">
                  <c:v>44918</c:v>
                </c:pt>
                <c:pt idx="10">
                  <c:v>44919</c:v>
                </c:pt>
                <c:pt idx="11">
                  <c:v>44920</c:v>
                </c:pt>
                <c:pt idx="12">
                  <c:v>44921</c:v>
                </c:pt>
                <c:pt idx="13">
                  <c:v>44922</c:v>
                </c:pt>
              </c:numCache>
            </c:numRef>
          </c:cat>
          <c:val>
            <c:numRef>
              <c:f>'Outpatient (Old)'!$S$3408:$S$3421</c:f>
              <c:numCache>
                <c:formatCode>General</c:formatCode>
                <c:ptCount val="14"/>
                <c:pt idx="0">
                  <c:v>11</c:v>
                </c:pt>
                <c:pt idx="1">
                  <c:v>5</c:v>
                </c:pt>
                <c:pt idx="2">
                  <c:v>13</c:v>
                </c:pt>
                <c:pt idx="3">
                  <c:v>18</c:v>
                </c:pt>
                <c:pt idx="4">
                  <c:v>5</c:v>
                </c:pt>
                <c:pt idx="5">
                  <c:v>2</c:v>
                </c:pt>
                <c:pt idx="6">
                  <c:v>13</c:v>
                </c:pt>
                <c:pt idx="7">
                  <c:v>13</c:v>
                </c:pt>
                <c:pt idx="8">
                  <c:v>11</c:v>
                </c:pt>
                <c:pt idx="9">
                  <c:v>21</c:v>
                </c:pt>
                <c:pt idx="10">
                  <c:v>6</c:v>
                </c:pt>
                <c:pt idx="11">
                  <c:v>4</c:v>
                </c:pt>
                <c:pt idx="12">
                  <c:v>3</c:v>
                </c:pt>
                <c:pt idx="13">
                  <c:v>6</c:v>
                </c:pt>
              </c:numCache>
            </c:numRef>
          </c:val>
          <c:smooth val="0"/>
          <c:extLst>
            <c:ext xmlns:c16="http://schemas.microsoft.com/office/drawing/2014/chart" uri="{C3380CC4-5D6E-409C-BE32-E72D297353CC}">
              <c16:uniqueId val="{00000001-3E28-48B5-97AC-807DA8CFF4EC}"/>
            </c:ext>
          </c:extLst>
        </c:ser>
        <c:ser>
          <c:idx val="1"/>
          <c:order val="1"/>
          <c:tx>
            <c:strRef>
              <c:f>'Outpatient (Old)'!$T$1</c:f>
              <c:strCache>
                <c:ptCount val="1"/>
                <c:pt idx="0">
                  <c:v>Staff Attitude/ Interaction - Bad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linear"/>
            <c:dispRSqr val="0"/>
            <c:dispEq val="0"/>
          </c:trendline>
          <c:cat>
            <c:numRef>
              <c:f>'Outpatient (Old)'!$I$3408:$I$3421</c:f>
              <c:numCache>
                <c:formatCode>m/d/yyyy</c:formatCode>
                <c:ptCount val="14"/>
                <c:pt idx="0">
                  <c:v>44909</c:v>
                </c:pt>
                <c:pt idx="1">
                  <c:v>44910</c:v>
                </c:pt>
                <c:pt idx="2">
                  <c:v>44911</c:v>
                </c:pt>
                <c:pt idx="3">
                  <c:v>44912</c:v>
                </c:pt>
                <c:pt idx="4">
                  <c:v>44913</c:v>
                </c:pt>
                <c:pt idx="5">
                  <c:v>44914</c:v>
                </c:pt>
                <c:pt idx="6">
                  <c:v>44915</c:v>
                </c:pt>
                <c:pt idx="7">
                  <c:v>44916</c:v>
                </c:pt>
                <c:pt idx="8">
                  <c:v>44917</c:v>
                </c:pt>
                <c:pt idx="9">
                  <c:v>44918</c:v>
                </c:pt>
                <c:pt idx="10">
                  <c:v>44919</c:v>
                </c:pt>
                <c:pt idx="11">
                  <c:v>44920</c:v>
                </c:pt>
                <c:pt idx="12">
                  <c:v>44921</c:v>
                </c:pt>
                <c:pt idx="13">
                  <c:v>44922</c:v>
                </c:pt>
              </c:numCache>
            </c:numRef>
          </c:cat>
          <c:val>
            <c:numRef>
              <c:f>'Outpatient (Old)'!$T$3408:$T$3421</c:f>
              <c:numCache>
                <c:formatCode>General</c:formatCode>
                <c:ptCount val="14"/>
                <c:pt idx="0">
                  <c:v>3</c:v>
                </c:pt>
                <c:pt idx="1">
                  <c:v>3</c:v>
                </c:pt>
                <c:pt idx="2">
                  <c:v>6</c:v>
                </c:pt>
                <c:pt idx="3">
                  <c:v>9</c:v>
                </c:pt>
                <c:pt idx="4">
                  <c:v>3</c:v>
                </c:pt>
                <c:pt idx="5">
                  <c:v>2</c:v>
                </c:pt>
                <c:pt idx="6">
                  <c:v>4</c:v>
                </c:pt>
                <c:pt idx="7">
                  <c:v>10</c:v>
                </c:pt>
                <c:pt idx="8">
                  <c:v>3</c:v>
                </c:pt>
                <c:pt idx="9">
                  <c:v>8</c:v>
                </c:pt>
                <c:pt idx="10">
                  <c:v>3</c:v>
                </c:pt>
                <c:pt idx="11">
                  <c:v>0</c:v>
                </c:pt>
                <c:pt idx="12">
                  <c:v>1</c:v>
                </c:pt>
                <c:pt idx="13">
                  <c:v>1</c:v>
                </c:pt>
              </c:numCache>
            </c:numRef>
          </c:val>
          <c:smooth val="0"/>
          <c:extLst>
            <c:ext xmlns:c16="http://schemas.microsoft.com/office/drawing/2014/chart" uri="{C3380CC4-5D6E-409C-BE32-E72D297353CC}">
              <c16:uniqueId val="{00000003-3E28-48B5-97AC-807DA8CFF4EC}"/>
            </c:ext>
          </c:extLst>
        </c:ser>
        <c:dLbls>
          <c:showLegendKey val="0"/>
          <c:showVal val="0"/>
          <c:showCatName val="0"/>
          <c:showSerName val="0"/>
          <c:showPercent val="0"/>
          <c:showBubbleSize val="0"/>
        </c:dLbls>
        <c:marker val="1"/>
        <c:smooth val="0"/>
        <c:axId val="821536912"/>
        <c:axId val="821534288"/>
      </c:lineChart>
      <c:dateAx>
        <c:axId val="82153691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1534288"/>
        <c:crosses val="autoZero"/>
        <c:auto val="1"/>
        <c:lblOffset val="100"/>
        <c:baseTimeUnit val="days"/>
      </c:dateAx>
      <c:valAx>
        <c:axId val="821534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Number of Comments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15369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Travel Pay Comments</a:t>
            </a:r>
            <a:br>
              <a:rPr lang="en-US"/>
            </a:br>
            <a:r>
              <a:rPr lang="en-US"/>
              <a:t>(Total Comments Over 2 Weeks)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'Outpatient (Old)'!$U$1</c:f>
              <c:strCache>
                <c:ptCount val="1"/>
                <c:pt idx="0">
                  <c:v>Travel Pay - Good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cat>
            <c:numRef>
              <c:f>'Outpatient (Old)'!$I$3408:$I$3421</c:f>
              <c:numCache>
                <c:formatCode>m/d/yyyy</c:formatCode>
                <c:ptCount val="14"/>
                <c:pt idx="0">
                  <c:v>44909</c:v>
                </c:pt>
                <c:pt idx="1">
                  <c:v>44910</c:v>
                </c:pt>
                <c:pt idx="2">
                  <c:v>44911</c:v>
                </c:pt>
                <c:pt idx="3">
                  <c:v>44912</c:v>
                </c:pt>
                <c:pt idx="4">
                  <c:v>44913</c:v>
                </c:pt>
                <c:pt idx="5">
                  <c:v>44914</c:v>
                </c:pt>
                <c:pt idx="6">
                  <c:v>44915</c:v>
                </c:pt>
                <c:pt idx="7">
                  <c:v>44916</c:v>
                </c:pt>
                <c:pt idx="8">
                  <c:v>44917</c:v>
                </c:pt>
                <c:pt idx="9">
                  <c:v>44918</c:v>
                </c:pt>
                <c:pt idx="10">
                  <c:v>44919</c:v>
                </c:pt>
                <c:pt idx="11">
                  <c:v>44920</c:v>
                </c:pt>
                <c:pt idx="12">
                  <c:v>44921</c:v>
                </c:pt>
                <c:pt idx="13">
                  <c:v>44922</c:v>
                </c:pt>
              </c:numCache>
            </c:numRef>
          </c:cat>
          <c:val>
            <c:numRef>
              <c:f>'Outpatient (Old)'!$U$3408:$U$3421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mooth val="0"/>
          <c:extLst>
            <c:ext xmlns:c16="http://schemas.microsoft.com/office/drawing/2014/chart" uri="{C3380CC4-5D6E-409C-BE32-E72D297353CC}">
              <c16:uniqueId val="{00000001-7F98-4D03-B93E-609A433FB4C7}"/>
            </c:ext>
          </c:extLst>
        </c:ser>
        <c:ser>
          <c:idx val="1"/>
          <c:order val="1"/>
          <c:tx>
            <c:strRef>
              <c:f>'Outpatient (Old)'!$V$1</c:f>
              <c:strCache>
                <c:ptCount val="1"/>
                <c:pt idx="0">
                  <c:v>Travel Pay - Bad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linear"/>
            <c:dispRSqr val="0"/>
            <c:dispEq val="0"/>
          </c:trendline>
          <c:cat>
            <c:numRef>
              <c:f>'Outpatient (Old)'!$I$3408:$I$3421</c:f>
              <c:numCache>
                <c:formatCode>m/d/yyyy</c:formatCode>
                <c:ptCount val="14"/>
                <c:pt idx="0">
                  <c:v>44909</c:v>
                </c:pt>
                <c:pt idx="1">
                  <c:v>44910</c:v>
                </c:pt>
                <c:pt idx="2">
                  <c:v>44911</c:v>
                </c:pt>
                <c:pt idx="3">
                  <c:v>44912</c:v>
                </c:pt>
                <c:pt idx="4">
                  <c:v>44913</c:v>
                </c:pt>
                <c:pt idx="5">
                  <c:v>44914</c:v>
                </c:pt>
                <c:pt idx="6">
                  <c:v>44915</c:v>
                </c:pt>
                <c:pt idx="7">
                  <c:v>44916</c:v>
                </c:pt>
                <c:pt idx="8">
                  <c:v>44917</c:v>
                </c:pt>
                <c:pt idx="9">
                  <c:v>44918</c:v>
                </c:pt>
                <c:pt idx="10">
                  <c:v>44919</c:v>
                </c:pt>
                <c:pt idx="11">
                  <c:v>44920</c:v>
                </c:pt>
                <c:pt idx="12">
                  <c:v>44921</c:v>
                </c:pt>
                <c:pt idx="13">
                  <c:v>44922</c:v>
                </c:pt>
              </c:numCache>
            </c:numRef>
          </c:cat>
          <c:val>
            <c:numRef>
              <c:f>'Outpatient (Old)'!$V$3408:$V$3421</c:f>
              <c:numCache>
                <c:formatCode>General</c:formatCode>
                <c:ptCount val="14"/>
                <c:pt idx="0">
                  <c:v>3</c:v>
                </c:pt>
                <c:pt idx="1">
                  <c:v>0</c:v>
                </c:pt>
                <c:pt idx="2">
                  <c:v>7</c:v>
                </c:pt>
                <c:pt idx="3">
                  <c:v>5</c:v>
                </c:pt>
                <c:pt idx="4">
                  <c:v>5</c:v>
                </c:pt>
                <c:pt idx="5">
                  <c:v>2</c:v>
                </c:pt>
                <c:pt idx="6">
                  <c:v>3</c:v>
                </c:pt>
                <c:pt idx="7">
                  <c:v>2</c:v>
                </c:pt>
                <c:pt idx="8">
                  <c:v>1</c:v>
                </c:pt>
                <c:pt idx="9">
                  <c:v>1</c:v>
                </c:pt>
                <c:pt idx="10">
                  <c:v>2</c:v>
                </c:pt>
                <c:pt idx="11">
                  <c:v>0</c:v>
                </c:pt>
                <c:pt idx="12">
                  <c:v>1</c:v>
                </c:pt>
                <c:pt idx="13">
                  <c:v>1</c:v>
                </c:pt>
              </c:numCache>
            </c:numRef>
          </c:val>
          <c:smooth val="0"/>
          <c:extLst>
            <c:ext xmlns:c16="http://schemas.microsoft.com/office/drawing/2014/chart" uri="{C3380CC4-5D6E-409C-BE32-E72D297353CC}">
              <c16:uniqueId val="{00000003-7F98-4D03-B93E-609A433FB4C7}"/>
            </c:ext>
          </c:extLst>
        </c:ser>
        <c:dLbls>
          <c:showLegendKey val="0"/>
          <c:showVal val="0"/>
          <c:showCatName val="0"/>
          <c:showSerName val="0"/>
          <c:showPercent val="0"/>
          <c:showBubbleSize val="0"/>
        </c:dLbls>
        <c:marker val="1"/>
        <c:smooth val="0"/>
        <c:axId val="821533304"/>
        <c:axId val="821538880"/>
      </c:lineChart>
      <c:dateAx>
        <c:axId val="82153330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1538880"/>
        <c:crosses val="autoZero"/>
        <c:auto val="1"/>
        <c:lblOffset val="100"/>
        <c:baseTimeUnit val="days"/>
      </c:dateAx>
      <c:valAx>
        <c:axId val="8215388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Number of Comments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15333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Wait Time (Arrival</a:t>
            </a:r>
            <a:r>
              <a:rPr lang="en-US" baseline="0"/>
              <a:t> to Checkout) Comments</a:t>
            </a:r>
            <a:br>
              <a:rPr lang="en-US" baseline="0"/>
            </a:br>
            <a:r>
              <a:rPr lang="en-US" baseline="0"/>
              <a:t>(Total Comments Over 2 Weeks)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'Outpatient (Old)'!$X$1</c:f>
              <c:strCache>
                <c:ptCount val="1"/>
                <c:pt idx="0">
                  <c:v>Wait times - Good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cat>
            <c:numRef>
              <c:f>'Outpatient (Old)'!$I$3408:$I$3421</c:f>
              <c:numCache>
                <c:formatCode>m/d/yyyy</c:formatCode>
                <c:ptCount val="14"/>
                <c:pt idx="0">
                  <c:v>44909</c:v>
                </c:pt>
                <c:pt idx="1">
                  <c:v>44910</c:v>
                </c:pt>
                <c:pt idx="2">
                  <c:v>44911</c:v>
                </c:pt>
                <c:pt idx="3">
                  <c:v>44912</c:v>
                </c:pt>
                <c:pt idx="4">
                  <c:v>44913</c:v>
                </c:pt>
                <c:pt idx="5">
                  <c:v>44914</c:v>
                </c:pt>
                <c:pt idx="6">
                  <c:v>44915</c:v>
                </c:pt>
                <c:pt idx="7">
                  <c:v>44916</c:v>
                </c:pt>
                <c:pt idx="8">
                  <c:v>44917</c:v>
                </c:pt>
                <c:pt idx="9">
                  <c:v>44918</c:v>
                </c:pt>
                <c:pt idx="10">
                  <c:v>44919</c:v>
                </c:pt>
                <c:pt idx="11">
                  <c:v>44920</c:v>
                </c:pt>
                <c:pt idx="12">
                  <c:v>44921</c:v>
                </c:pt>
                <c:pt idx="13">
                  <c:v>44922</c:v>
                </c:pt>
              </c:numCache>
            </c:numRef>
          </c:cat>
          <c:val>
            <c:numRef>
              <c:f>'Outpatient (Old)'!$X$3408:$X$3421</c:f>
              <c:numCache>
                <c:formatCode>General</c:formatCode>
                <c:ptCount val="14"/>
                <c:pt idx="0">
                  <c:v>1</c:v>
                </c:pt>
                <c:pt idx="1">
                  <c:v>0</c:v>
                </c:pt>
                <c:pt idx="2">
                  <c:v>4</c:v>
                </c:pt>
                <c:pt idx="3">
                  <c:v>1</c:v>
                </c:pt>
                <c:pt idx="4">
                  <c:v>1</c:v>
                </c:pt>
                <c:pt idx="5">
                  <c:v>0</c:v>
                </c:pt>
                <c:pt idx="6">
                  <c:v>1</c:v>
                </c:pt>
                <c:pt idx="7">
                  <c:v>1</c:v>
                </c:pt>
                <c:pt idx="8">
                  <c:v>2</c:v>
                </c:pt>
                <c:pt idx="9">
                  <c:v>5</c:v>
                </c:pt>
                <c:pt idx="10">
                  <c:v>3</c:v>
                </c:pt>
                <c:pt idx="11">
                  <c:v>0</c:v>
                </c:pt>
                <c:pt idx="12">
                  <c:v>0</c:v>
                </c:pt>
                <c:pt idx="13">
                  <c:v>0</c:v>
                </c:pt>
              </c:numCache>
            </c:numRef>
          </c:val>
          <c:smooth val="0"/>
          <c:extLst>
            <c:ext xmlns:c16="http://schemas.microsoft.com/office/drawing/2014/chart" uri="{C3380CC4-5D6E-409C-BE32-E72D297353CC}">
              <c16:uniqueId val="{00000001-A10E-4A98-99E7-D7DB3A054B1B}"/>
            </c:ext>
          </c:extLst>
        </c:ser>
        <c:ser>
          <c:idx val="1"/>
          <c:order val="1"/>
          <c:tx>
            <c:strRef>
              <c:f>'Outpatient (Old)'!$Y$1</c:f>
              <c:strCache>
                <c:ptCount val="1"/>
                <c:pt idx="0">
                  <c:v>Wait times - Bad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linear"/>
            <c:dispRSqr val="0"/>
            <c:dispEq val="0"/>
          </c:trendline>
          <c:cat>
            <c:numRef>
              <c:f>'Outpatient (Old)'!$I$3408:$I$3421</c:f>
              <c:numCache>
                <c:formatCode>m/d/yyyy</c:formatCode>
                <c:ptCount val="14"/>
                <c:pt idx="0">
                  <c:v>44909</c:v>
                </c:pt>
                <c:pt idx="1">
                  <c:v>44910</c:v>
                </c:pt>
                <c:pt idx="2">
                  <c:v>44911</c:v>
                </c:pt>
                <c:pt idx="3">
                  <c:v>44912</c:v>
                </c:pt>
                <c:pt idx="4">
                  <c:v>44913</c:v>
                </c:pt>
                <c:pt idx="5">
                  <c:v>44914</c:v>
                </c:pt>
                <c:pt idx="6">
                  <c:v>44915</c:v>
                </c:pt>
                <c:pt idx="7">
                  <c:v>44916</c:v>
                </c:pt>
                <c:pt idx="8">
                  <c:v>44917</c:v>
                </c:pt>
                <c:pt idx="9">
                  <c:v>44918</c:v>
                </c:pt>
                <c:pt idx="10">
                  <c:v>44919</c:v>
                </c:pt>
                <c:pt idx="11">
                  <c:v>44920</c:v>
                </c:pt>
                <c:pt idx="12">
                  <c:v>44921</c:v>
                </c:pt>
                <c:pt idx="13">
                  <c:v>44922</c:v>
                </c:pt>
              </c:numCache>
            </c:numRef>
          </c:cat>
          <c:val>
            <c:numRef>
              <c:f>'Outpatient (Old)'!$Y$3408:$Y$3421</c:f>
              <c:numCache>
                <c:formatCode>General</c:formatCode>
                <c:ptCount val="14"/>
                <c:pt idx="0">
                  <c:v>6</c:v>
                </c:pt>
                <c:pt idx="1">
                  <c:v>1</c:v>
                </c:pt>
                <c:pt idx="2">
                  <c:v>7</c:v>
                </c:pt>
                <c:pt idx="3">
                  <c:v>4</c:v>
                </c:pt>
                <c:pt idx="4">
                  <c:v>2</c:v>
                </c:pt>
                <c:pt idx="5">
                  <c:v>1</c:v>
                </c:pt>
                <c:pt idx="6">
                  <c:v>8</c:v>
                </c:pt>
                <c:pt idx="7">
                  <c:v>4</c:v>
                </c:pt>
                <c:pt idx="8">
                  <c:v>3</c:v>
                </c:pt>
                <c:pt idx="9">
                  <c:v>4</c:v>
                </c:pt>
                <c:pt idx="10">
                  <c:v>4</c:v>
                </c:pt>
                <c:pt idx="11">
                  <c:v>0</c:v>
                </c:pt>
                <c:pt idx="12">
                  <c:v>0</c:v>
                </c:pt>
                <c:pt idx="13">
                  <c:v>3</c:v>
                </c:pt>
              </c:numCache>
            </c:numRef>
          </c:val>
          <c:smooth val="0"/>
          <c:extLst>
            <c:ext xmlns:c16="http://schemas.microsoft.com/office/drawing/2014/chart" uri="{C3380CC4-5D6E-409C-BE32-E72D297353CC}">
              <c16:uniqueId val="{00000003-A10E-4A98-99E7-D7DB3A054B1B}"/>
            </c:ext>
          </c:extLst>
        </c:ser>
        <c:dLbls>
          <c:showLegendKey val="0"/>
          <c:showVal val="0"/>
          <c:showCatName val="0"/>
          <c:showSerName val="0"/>
          <c:showPercent val="0"/>
          <c:showBubbleSize val="0"/>
        </c:dLbls>
        <c:marker val="1"/>
        <c:smooth val="0"/>
        <c:axId val="625909968"/>
        <c:axId val="625906688"/>
      </c:lineChart>
      <c:dateAx>
        <c:axId val="62590996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5906688"/>
        <c:crosses val="autoZero"/>
        <c:auto val="1"/>
        <c:lblOffset val="100"/>
        <c:baseTimeUnit val="days"/>
      </c:dateAx>
      <c:valAx>
        <c:axId val="6259066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Number of</a:t>
                </a:r>
                <a:r>
                  <a:rPr lang="en-US" baseline="0"/>
                  <a:t> Comments</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59099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Mobile Check-in</a:t>
            </a:r>
            <a:r>
              <a:rPr lang="en-US" baseline="0"/>
              <a:t> Feedback </a:t>
            </a:r>
            <a:br>
              <a:rPr lang="en-US" baseline="0"/>
            </a:br>
            <a:r>
              <a:rPr lang="en-US" baseline="0"/>
              <a:t>(Total Comments Over 2 Weeks)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'Outpatient (Old)'!$I$3408:$I$3421</c:f>
              <c:numCache>
                <c:formatCode>m/d/yyyy</c:formatCode>
                <c:ptCount val="14"/>
                <c:pt idx="0">
                  <c:v>44909</c:v>
                </c:pt>
                <c:pt idx="1">
                  <c:v>44910</c:v>
                </c:pt>
                <c:pt idx="2">
                  <c:v>44911</c:v>
                </c:pt>
                <c:pt idx="3">
                  <c:v>44912</c:v>
                </c:pt>
                <c:pt idx="4">
                  <c:v>44913</c:v>
                </c:pt>
                <c:pt idx="5">
                  <c:v>44914</c:v>
                </c:pt>
                <c:pt idx="6">
                  <c:v>44915</c:v>
                </c:pt>
                <c:pt idx="7">
                  <c:v>44916</c:v>
                </c:pt>
                <c:pt idx="8">
                  <c:v>44917</c:v>
                </c:pt>
                <c:pt idx="9">
                  <c:v>44918</c:v>
                </c:pt>
                <c:pt idx="10">
                  <c:v>44919</c:v>
                </c:pt>
                <c:pt idx="11">
                  <c:v>44920</c:v>
                </c:pt>
                <c:pt idx="12">
                  <c:v>44921</c:v>
                </c:pt>
                <c:pt idx="13">
                  <c:v>44922</c:v>
                </c:pt>
              </c:numCache>
            </c:numRef>
          </c:cat>
          <c:val>
            <c:numRef>
              <c:f>'Outpatient (Old)'!$J$3408:$J$3421</c:f>
            </c:numRef>
          </c:val>
          <c:smooth val="0"/>
          <c:extLst>
            <c:ext xmlns:c16="http://schemas.microsoft.com/office/drawing/2014/chart" uri="{C3380CC4-5D6E-409C-BE32-E72D297353CC}">
              <c16:uniqueId val="{00000004-A6F8-4574-A8C4-A45B0C8724E1}"/>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f>'Outpatient (Old)'!$I$3408:$I$3421</c:f>
              <c:numCache>
                <c:formatCode>m/d/yyyy</c:formatCode>
                <c:ptCount val="14"/>
                <c:pt idx="0">
                  <c:v>44909</c:v>
                </c:pt>
                <c:pt idx="1">
                  <c:v>44910</c:v>
                </c:pt>
                <c:pt idx="2">
                  <c:v>44911</c:v>
                </c:pt>
                <c:pt idx="3">
                  <c:v>44912</c:v>
                </c:pt>
                <c:pt idx="4">
                  <c:v>44913</c:v>
                </c:pt>
                <c:pt idx="5">
                  <c:v>44914</c:v>
                </c:pt>
                <c:pt idx="6">
                  <c:v>44915</c:v>
                </c:pt>
                <c:pt idx="7">
                  <c:v>44916</c:v>
                </c:pt>
                <c:pt idx="8">
                  <c:v>44917</c:v>
                </c:pt>
                <c:pt idx="9">
                  <c:v>44918</c:v>
                </c:pt>
                <c:pt idx="10">
                  <c:v>44919</c:v>
                </c:pt>
                <c:pt idx="11">
                  <c:v>44920</c:v>
                </c:pt>
                <c:pt idx="12">
                  <c:v>44921</c:v>
                </c:pt>
                <c:pt idx="13">
                  <c:v>44922</c:v>
                </c:pt>
              </c:numCache>
            </c:numRef>
          </c:cat>
          <c:val>
            <c:numRef>
              <c:f>'Outpatient (Old)'!$K$3408:$K$3421</c:f>
            </c:numRef>
          </c:val>
          <c:smooth val="0"/>
          <c:extLst>
            <c:ext xmlns:c16="http://schemas.microsoft.com/office/drawing/2014/chart" uri="{C3380CC4-5D6E-409C-BE32-E72D297353CC}">
              <c16:uniqueId val="{00000006-A6F8-4574-A8C4-A45B0C8724E1}"/>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cat>
            <c:numRef>
              <c:f>'Outpatient (Old)'!$I$3408:$I$3421</c:f>
              <c:numCache>
                <c:formatCode>m/d/yyyy</c:formatCode>
                <c:ptCount val="14"/>
                <c:pt idx="0">
                  <c:v>44909</c:v>
                </c:pt>
                <c:pt idx="1">
                  <c:v>44910</c:v>
                </c:pt>
                <c:pt idx="2">
                  <c:v>44911</c:v>
                </c:pt>
                <c:pt idx="3">
                  <c:v>44912</c:v>
                </c:pt>
                <c:pt idx="4">
                  <c:v>44913</c:v>
                </c:pt>
                <c:pt idx="5">
                  <c:v>44914</c:v>
                </c:pt>
                <c:pt idx="6">
                  <c:v>44915</c:v>
                </c:pt>
                <c:pt idx="7">
                  <c:v>44916</c:v>
                </c:pt>
                <c:pt idx="8">
                  <c:v>44917</c:v>
                </c:pt>
                <c:pt idx="9">
                  <c:v>44918</c:v>
                </c:pt>
                <c:pt idx="10">
                  <c:v>44919</c:v>
                </c:pt>
                <c:pt idx="11">
                  <c:v>44920</c:v>
                </c:pt>
                <c:pt idx="12">
                  <c:v>44921</c:v>
                </c:pt>
                <c:pt idx="13">
                  <c:v>44922</c:v>
                </c:pt>
              </c:numCache>
            </c:numRef>
          </c:cat>
          <c:val>
            <c:numRef>
              <c:f>'Outpatient (Old)'!$L$3408:$L$3421</c:f>
            </c:numRef>
          </c:val>
          <c:smooth val="0"/>
          <c:extLst>
            <c:ext xmlns:c16="http://schemas.microsoft.com/office/drawing/2014/chart" uri="{C3380CC4-5D6E-409C-BE32-E72D297353CC}">
              <c16:uniqueId val="{00000008-A6F8-4574-A8C4-A45B0C8724E1}"/>
            </c:ext>
          </c:extLst>
        </c:ser>
        <c:ser>
          <c:idx val="3"/>
          <c:order val="3"/>
          <c:tx>
            <c:strRef>
              <c:f>'Outpatient (Old)'!$M$1</c:f>
              <c:strCache>
                <c:ptCount val="1"/>
                <c:pt idx="0">
                  <c:v>Mobile CI - Good</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trendline>
            <c:spPr>
              <a:ln w="19050" cap="rnd">
                <a:solidFill>
                  <a:schemeClr val="accent4"/>
                </a:solidFill>
                <a:prstDash val="sysDot"/>
              </a:ln>
              <a:effectLst/>
            </c:spPr>
            <c:trendlineType val="linear"/>
            <c:dispRSqr val="0"/>
            <c:dispEq val="0"/>
          </c:trendline>
          <c:cat>
            <c:numRef>
              <c:f>'Outpatient (Old)'!$I$3408:$I$3421</c:f>
              <c:numCache>
                <c:formatCode>m/d/yyyy</c:formatCode>
                <c:ptCount val="14"/>
                <c:pt idx="0">
                  <c:v>44909</c:v>
                </c:pt>
                <c:pt idx="1">
                  <c:v>44910</c:v>
                </c:pt>
                <c:pt idx="2">
                  <c:v>44911</c:v>
                </c:pt>
                <c:pt idx="3">
                  <c:v>44912</c:v>
                </c:pt>
                <c:pt idx="4">
                  <c:v>44913</c:v>
                </c:pt>
                <c:pt idx="5">
                  <c:v>44914</c:v>
                </c:pt>
                <c:pt idx="6">
                  <c:v>44915</c:v>
                </c:pt>
                <c:pt idx="7">
                  <c:v>44916</c:v>
                </c:pt>
                <c:pt idx="8">
                  <c:v>44917</c:v>
                </c:pt>
                <c:pt idx="9">
                  <c:v>44918</c:v>
                </c:pt>
                <c:pt idx="10">
                  <c:v>44919</c:v>
                </c:pt>
                <c:pt idx="11">
                  <c:v>44920</c:v>
                </c:pt>
                <c:pt idx="12">
                  <c:v>44921</c:v>
                </c:pt>
                <c:pt idx="13">
                  <c:v>44922</c:v>
                </c:pt>
              </c:numCache>
            </c:numRef>
          </c:cat>
          <c:val>
            <c:numRef>
              <c:f>'Outpatient (Old)'!$M$3408:$M$3421</c:f>
              <c:numCache>
                <c:formatCode>General</c:formatCode>
                <c:ptCount val="14"/>
                <c:pt idx="0">
                  <c:v>0</c:v>
                </c:pt>
                <c:pt idx="1">
                  <c:v>0</c:v>
                </c:pt>
                <c:pt idx="2">
                  <c:v>1</c:v>
                </c:pt>
                <c:pt idx="3">
                  <c:v>0</c:v>
                </c:pt>
                <c:pt idx="4">
                  <c:v>0</c:v>
                </c:pt>
                <c:pt idx="5">
                  <c:v>0</c:v>
                </c:pt>
                <c:pt idx="6">
                  <c:v>0</c:v>
                </c:pt>
                <c:pt idx="7">
                  <c:v>1</c:v>
                </c:pt>
                <c:pt idx="8">
                  <c:v>0</c:v>
                </c:pt>
                <c:pt idx="9">
                  <c:v>0</c:v>
                </c:pt>
                <c:pt idx="10">
                  <c:v>0</c:v>
                </c:pt>
                <c:pt idx="11">
                  <c:v>0</c:v>
                </c:pt>
                <c:pt idx="12">
                  <c:v>0</c:v>
                </c:pt>
                <c:pt idx="13">
                  <c:v>0</c:v>
                </c:pt>
              </c:numCache>
            </c:numRef>
          </c:val>
          <c:smooth val="0"/>
          <c:extLst>
            <c:ext xmlns:c16="http://schemas.microsoft.com/office/drawing/2014/chart" uri="{C3380CC4-5D6E-409C-BE32-E72D297353CC}">
              <c16:uniqueId val="{0000000A-A6F8-4574-A8C4-A45B0C8724E1}"/>
            </c:ext>
          </c:extLst>
        </c:ser>
        <c:ser>
          <c:idx val="4"/>
          <c:order val="4"/>
          <c:tx>
            <c:strRef>
              <c:f>'Outpatient (Old)'!$N$1</c:f>
              <c:strCache>
                <c:ptCount val="1"/>
                <c:pt idx="0">
                  <c:v>Mobile CI - Bad</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trendline>
            <c:spPr>
              <a:ln w="19050" cap="rnd">
                <a:solidFill>
                  <a:schemeClr val="accent5"/>
                </a:solidFill>
                <a:prstDash val="sysDot"/>
              </a:ln>
              <a:effectLst/>
            </c:spPr>
            <c:trendlineType val="linear"/>
            <c:dispRSqr val="0"/>
            <c:dispEq val="0"/>
          </c:trendline>
          <c:cat>
            <c:numRef>
              <c:f>'Outpatient (Old)'!$I$3408:$I$3421</c:f>
              <c:numCache>
                <c:formatCode>m/d/yyyy</c:formatCode>
                <c:ptCount val="14"/>
                <c:pt idx="0">
                  <c:v>44909</c:v>
                </c:pt>
                <c:pt idx="1">
                  <c:v>44910</c:v>
                </c:pt>
                <c:pt idx="2">
                  <c:v>44911</c:v>
                </c:pt>
                <c:pt idx="3">
                  <c:v>44912</c:v>
                </c:pt>
                <c:pt idx="4">
                  <c:v>44913</c:v>
                </c:pt>
                <c:pt idx="5">
                  <c:v>44914</c:v>
                </c:pt>
                <c:pt idx="6">
                  <c:v>44915</c:v>
                </c:pt>
                <c:pt idx="7">
                  <c:v>44916</c:v>
                </c:pt>
                <c:pt idx="8">
                  <c:v>44917</c:v>
                </c:pt>
                <c:pt idx="9">
                  <c:v>44918</c:v>
                </c:pt>
                <c:pt idx="10">
                  <c:v>44919</c:v>
                </c:pt>
                <c:pt idx="11">
                  <c:v>44920</c:v>
                </c:pt>
                <c:pt idx="12">
                  <c:v>44921</c:v>
                </c:pt>
                <c:pt idx="13">
                  <c:v>44922</c:v>
                </c:pt>
              </c:numCache>
            </c:numRef>
          </c:cat>
          <c:val>
            <c:numRef>
              <c:f>'Outpatient (Old)'!$N$3408:$N$3421</c:f>
              <c:numCache>
                <c:formatCode>General</c:formatCode>
                <c:ptCount val="14"/>
                <c:pt idx="0">
                  <c:v>4</c:v>
                </c:pt>
                <c:pt idx="1">
                  <c:v>2</c:v>
                </c:pt>
                <c:pt idx="2">
                  <c:v>3</c:v>
                </c:pt>
                <c:pt idx="3">
                  <c:v>6</c:v>
                </c:pt>
                <c:pt idx="4">
                  <c:v>1</c:v>
                </c:pt>
                <c:pt idx="5">
                  <c:v>2</c:v>
                </c:pt>
                <c:pt idx="6">
                  <c:v>0</c:v>
                </c:pt>
                <c:pt idx="7">
                  <c:v>2</c:v>
                </c:pt>
                <c:pt idx="8">
                  <c:v>0</c:v>
                </c:pt>
                <c:pt idx="9">
                  <c:v>2</c:v>
                </c:pt>
                <c:pt idx="10">
                  <c:v>2</c:v>
                </c:pt>
                <c:pt idx="11">
                  <c:v>0</c:v>
                </c:pt>
                <c:pt idx="12">
                  <c:v>0</c:v>
                </c:pt>
                <c:pt idx="13">
                  <c:v>0</c:v>
                </c:pt>
              </c:numCache>
            </c:numRef>
          </c:val>
          <c:smooth val="0"/>
          <c:extLst>
            <c:ext xmlns:c16="http://schemas.microsoft.com/office/drawing/2014/chart" uri="{C3380CC4-5D6E-409C-BE32-E72D297353CC}">
              <c16:uniqueId val="{0000000C-A6F8-4574-A8C4-A45B0C8724E1}"/>
            </c:ext>
          </c:extLst>
        </c:ser>
        <c:dLbls>
          <c:showLegendKey val="0"/>
          <c:showVal val="0"/>
          <c:showCatName val="0"/>
          <c:showSerName val="0"/>
          <c:showPercent val="0"/>
          <c:showBubbleSize val="0"/>
        </c:dLbls>
        <c:marker val="1"/>
        <c:smooth val="0"/>
        <c:axId val="702934360"/>
        <c:axId val="702938296"/>
      </c:lineChart>
      <c:dateAx>
        <c:axId val="70293436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2938296"/>
        <c:crosses val="autoZero"/>
        <c:auto val="1"/>
        <c:lblOffset val="100"/>
        <c:baseTimeUnit val="days"/>
      </c:dateAx>
      <c:valAx>
        <c:axId val="7029382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Number of Comments</a:t>
                </a:r>
              </a:p>
              <a:p>
                <a:pPr>
                  <a:defRPr/>
                </a:pP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2934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Mobile Check-in</a:t>
            </a:r>
            <a:r>
              <a:rPr lang="en-US" baseline="0"/>
              <a:t> </a:t>
            </a:r>
            <a:r>
              <a:rPr lang="en-US"/>
              <a:t>Comments </a:t>
            </a:r>
            <a:br>
              <a:rPr lang="en-US"/>
            </a:br>
            <a:r>
              <a:rPr lang="en-US"/>
              <a:t>(Percentage</a:t>
            </a:r>
            <a:r>
              <a:rPr lang="en-US" baseline="0"/>
              <a:t> Across Reporting Periods)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'12-27-2022Trends Weekly'!$B$2</c:f>
              <c:strCache>
                <c:ptCount val="1"/>
                <c:pt idx="0">
                  <c:v>Mobile Check-in Good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'12-27-2022Trends Weekly'!$A$3:$A$5</c:f>
              <c:strCache>
                <c:ptCount val="3"/>
                <c:pt idx="0">
                  <c:v>11/28/2022 - 12/13/2022</c:v>
                </c:pt>
                <c:pt idx="1">
                  <c:v>12/14/2022 - 12/20/2022</c:v>
                </c:pt>
                <c:pt idx="2">
                  <c:v>12/21/2022 - 12/27/2022</c:v>
                </c:pt>
              </c:strCache>
            </c:strRef>
          </c:cat>
          <c:val>
            <c:numRef>
              <c:f>'12-27-2022Trends Weekly'!$B$3:$B$5</c:f>
              <c:numCache>
                <c:formatCode>0.00</c:formatCode>
                <c:ptCount val="3"/>
                <c:pt idx="0">
                  <c:v>1.2605042016806722</c:v>
                </c:pt>
                <c:pt idx="1">
                  <c:v>0.46728971962616817</c:v>
                </c:pt>
                <c:pt idx="2">
                  <c:v>0.52631578947368418</c:v>
                </c:pt>
              </c:numCache>
            </c:numRef>
          </c:val>
          <c:smooth val="0"/>
          <c:extLst>
            <c:ext xmlns:c16="http://schemas.microsoft.com/office/drawing/2014/chart" uri="{C3380CC4-5D6E-409C-BE32-E72D297353CC}">
              <c16:uniqueId val="{00000000-3E9A-41EC-B3AA-7878E3903A93}"/>
            </c:ext>
          </c:extLst>
        </c:ser>
        <c:ser>
          <c:idx val="1"/>
          <c:order val="1"/>
          <c:tx>
            <c:strRef>
              <c:f>'12-27-2022Trends Weekly'!$C$2</c:f>
              <c:strCache>
                <c:ptCount val="1"/>
                <c:pt idx="0">
                  <c:v>Mobile Check-in Bad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'12-27-2022Trends Weekly'!$A$3:$A$5</c:f>
              <c:strCache>
                <c:ptCount val="3"/>
                <c:pt idx="0">
                  <c:v>11/28/2022 - 12/13/2022</c:v>
                </c:pt>
                <c:pt idx="1">
                  <c:v>12/14/2022 - 12/20/2022</c:v>
                </c:pt>
                <c:pt idx="2">
                  <c:v>12/21/2022 - 12/27/2022</c:v>
                </c:pt>
              </c:strCache>
            </c:strRef>
          </c:cat>
          <c:val>
            <c:numRef>
              <c:f>'12-27-2022Trends Weekly'!$C$3:$C$5</c:f>
              <c:numCache>
                <c:formatCode>0.00</c:formatCode>
                <c:ptCount val="3"/>
                <c:pt idx="0">
                  <c:v>9.4537815126050422</c:v>
                </c:pt>
                <c:pt idx="1">
                  <c:v>8.4112149532710276</c:v>
                </c:pt>
                <c:pt idx="2">
                  <c:v>3.1578947368421053</c:v>
                </c:pt>
              </c:numCache>
            </c:numRef>
          </c:val>
          <c:smooth val="0"/>
          <c:extLst>
            <c:ext xmlns:c16="http://schemas.microsoft.com/office/drawing/2014/chart" uri="{C3380CC4-5D6E-409C-BE32-E72D297353CC}">
              <c16:uniqueId val="{00000001-3E9A-41EC-B3AA-7878E3903A93}"/>
            </c:ext>
          </c:extLst>
        </c:ser>
        <c:dLbls>
          <c:dLblPos val="t"/>
          <c:showLegendKey val="0"/>
          <c:showVal val="1"/>
          <c:showCatName val="0"/>
          <c:showSerName val="0"/>
          <c:showPercent val="0"/>
          <c:showBubbleSize val="0"/>
        </c:dLbls>
        <c:marker val="1"/>
        <c:smooth val="0"/>
        <c:axId val="690993824"/>
        <c:axId val="690994480"/>
      </c:lineChart>
      <c:catAx>
        <c:axId val="6909938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Reporting Period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0994480"/>
        <c:crosses val="autoZero"/>
        <c:auto val="1"/>
        <c:lblAlgn val="ctr"/>
        <c:lblOffset val="100"/>
        <c:noMultiLvlLbl val="0"/>
      </c:catAx>
      <c:valAx>
        <c:axId val="6909944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Percentage of All Comments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0993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General Check-in Comments</a:t>
            </a:r>
            <a:br>
              <a:rPr lang="en-US"/>
            </a:br>
            <a:r>
              <a:rPr lang="en-US"/>
              <a:t>(Percentage Across Reporting</a:t>
            </a:r>
            <a:r>
              <a:rPr lang="en-US" baseline="0"/>
              <a:t> Periods)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'12-27-2022Trends Weekly'!$D$2</c:f>
              <c:strCache>
                <c:ptCount val="1"/>
                <c:pt idx="0">
                  <c:v>General Check-in Good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'12-27-2022Trends Weekly'!$A$3:$A$5</c:f>
              <c:strCache>
                <c:ptCount val="3"/>
                <c:pt idx="0">
                  <c:v>11/28/2022 - 12/13/2022</c:v>
                </c:pt>
                <c:pt idx="1">
                  <c:v>12/14/2022 - 12/20/2022</c:v>
                </c:pt>
                <c:pt idx="2">
                  <c:v>12/21/2022 - 12/27/2022</c:v>
                </c:pt>
              </c:strCache>
            </c:strRef>
          </c:cat>
          <c:val>
            <c:numRef>
              <c:f>'12-27-2022Trends Weekly'!$D$3:$D$5</c:f>
              <c:numCache>
                <c:formatCode>0.00</c:formatCode>
                <c:ptCount val="3"/>
                <c:pt idx="0">
                  <c:v>6.3025210084033612</c:v>
                </c:pt>
                <c:pt idx="1">
                  <c:v>11.682242990654206</c:v>
                </c:pt>
                <c:pt idx="2">
                  <c:v>17.894736842105264</c:v>
                </c:pt>
              </c:numCache>
            </c:numRef>
          </c:val>
          <c:smooth val="0"/>
          <c:extLst>
            <c:ext xmlns:c16="http://schemas.microsoft.com/office/drawing/2014/chart" uri="{C3380CC4-5D6E-409C-BE32-E72D297353CC}">
              <c16:uniqueId val="{00000000-7448-45A2-827A-71FDACE9BDE8}"/>
            </c:ext>
          </c:extLst>
        </c:ser>
        <c:ser>
          <c:idx val="1"/>
          <c:order val="1"/>
          <c:tx>
            <c:strRef>
              <c:f>'12-27-2022Trends Weekly'!$E$2</c:f>
              <c:strCache>
                <c:ptCount val="1"/>
                <c:pt idx="0">
                  <c:v>General Check-in Bad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'12-27-2022Trends Weekly'!$A$3:$A$5</c:f>
              <c:strCache>
                <c:ptCount val="3"/>
                <c:pt idx="0">
                  <c:v>11/28/2022 - 12/13/2022</c:v>
                </c:pt>
                <c:pt idx="1">
                  <c:v>12/14/2022 - 12/20/2022</c:v>
                </c:pt>
                <c:pt idx="2">
                  <c:v>12/21/2022 - 12/27/2022</c:v>
                </c:pt>
              </c:strCache>
            </c:strRef>
          </c:cat>
          <c:val>
            <c:numRef>
              <c:f>'12-27-2022Trends Weekly'!$E$3:$E$5</c:f>
              <c:numCache>
                <c:formatCode>0.00</c:formatCode>
                <c:ptCount val="3"/>
                <c:pt idx="0">
                  <c:v>13.445378151260504</c:v>
                </c:pt>
                <c:pt idx="1">
                  <c:v>10.747663551401869</c:v>
                </c:pt>
                <c:pt idx="2">
                  <c:v>9.4736842105263168</c:v>
                </c:pt>
              </c:numCache>
            </c:numRef>
          </c:val>
          <c:smooth val="0"/>
          <c:extLst>
            <c:ext xmlns:c16="http://schemas.microsoft.com/office/drawing/2014/chart" uri="{C3380CC4-5D6E-409C-BE32-E72D297353CC}">
              <c16:uniqueId val="{00000001-7448-45A2-827A-71FDACE9BDE8}"/>
            </c:ext>
          </c:extLst>
        </c:ser>
        <c:dLbls>
          <c:dLblPos val="t"/>
          <c:showLegendKey val="0"/>
          <c:showVal val="1"/>
          <c:showCatName val="0"/>
          <c:showSerName val="0"/>
          <c:showPercent val="0"/>
          <c:showBubbleSize val="0"/>
        </c:dLbls>
        <c:marker val="1"/>
        <c:smooth val="0"/>
        <c:axId val="808175008"/>
        <c:axId val="808172712"/>
      </c:lineChart>
      <c:catAx>
        <c:axId val="8081750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Reporting Period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8172712"/>
        <c:crosses val="autoZero"/>
        <c:auto val="1"/>
        <c:lblAlgn val="ctr"/>
        <c:lblOffset val="100"/>
        <c:noMultiLvlLbl val="0"/>
      </c:catAx>
      <c:valAx>
        <c:axId val="8081727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Percentag e of All Comments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81750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Kiosk Comments</a:t>
            </a:r>
            <a:br>
              <a:rPr lang="en-US"/>
            </a:br>
            <a:r>
              <a:rPr lang="en-US"/>
              <a:t>(Percentage Across</a:t>
            </a:r>
            <a:r>
              <a:rPr lang="en-US" baseline="0"/>
              <a:t> Reporting Periods)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'12-27-2022Trends Weekly'!$F$2</c:f>
              <c:strCache>
                <c:ptCount val="1"/>
                <c:pt idx="0">
                  <c:v>Kiosk Good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'12-27-2022Trends Weekly'!$A$3:$A$5</c:f>
              <c:strCache>
                <c:ptCount val="3"/>
                <c:pt idx="0">
                  <c:v>11/28/2022 - 12/13/2022</c:v>
                </c:pt>
                <c:pt idx="1">
                  <c:v>12/14/2022 - 12/20/2022</c:v>
                </c:pt>
                <c:pt idx="2">
                  <c:v>12/21/2022 - 12/27/2022</c:v>
                </c:pt>
              </c:strCache>
            </c:strRef>
          </c:cat>
          <c:val>
            <c:numRef>
              <c:f>'12-27-2022Trends Weekly'!$F$3:$F$5</c:f>
              <c:numCache>
                <c:formatCode>0.00</c:formatCode>
                <c:ptCount val="3"/>
                <c:pt idx="0">
                  <c:v>16.596638655462183</c:v>
                </c:pt>
                <c:pt idx="1">
                  <c:v>18.22429906542056</c:v>
                </c:pt>
                <c:pt idx="2">
                  <c:v>13.684210526315791</c:v>
                </c:pt>
              </c:numCache>
            </c:numRef>
          </c:val>
          <c:smooth val="0"/>
          <c:extLst>
            <c:ext xmlns:c16="http://schemas.microsoft.com/office/drawing/2014/chart" uri="{C3380CC4-5D6E-409C-BE32-E72D297353CC}">
              <c16:uniqueId val="{00000000-FFBC-42F9-96BE-1F0F61C4441B}"/>
            </c:ext>
          </c:extLst>
        </c:ser>
        <c:ser>
          <c:idx val="1"/>
          <c:order val="1"/>
          <c:tx>
            <c:strRef>
              <c:f>'12-27-2022Trends Weekly'!$G$2</c:f>
              <c:strCache>
                <c:ptCount val="1"/>
                <c:pt idx="0">
                  <c:v>Kiosk Bad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'12-27-2022Trends Weekly'!$A$3:$A$5</c:f>
              <c:strCache>
                <c:ptCount val="3"/>
                <c:pt idx="0">
                  <c:v>11/28/2022 - 12/13/2022</c:v>
                </c:pt>
                <c:pt idx="1">
                  <c:v>12/14/2022 - 12/20/2022</c:v>
                </c:pt>
                <c:pt idx="2">
                  <c:v>12/21/2022 - 12/27/2022</c:v>
                </c:pt>
              </c:strCache>
            </c:strRef>
          </c:cat>
          <c:val>
            <c:numRef>
              <c:f>'12-27-2022Trends Weekly'!$G$3:$G$5</c:f>
              <c:numCache>
                <c:formatCode>0.00</c:formatCode>
                <c:ptCount val="3"/>
                <c:pt idx="0">
                  <c:v>4.2016806722689077</c:v>
                </c:pt>
                <c:pt idx="1">
                  <c:v>5.1401869158878499</c:v>
                </c:pt>
                <c:pt idx="2">
                  <c:v>5.7894736842105265</c:v>
                </c:pt>
              </c:numCache>
            </c:numRef>
          </c:val>
          <c:smooth val="0"/>
          <c:extLst>
            <c:ext xmlns:c16="http://schemas.microsoft.com/office/drawing/2014/chart" uri="{C3380CC4-5D6E-409C-BE32-E72D297353CC}">
              <c16:uniqueId val="{00000001-FFBC-42F9-96BE-1F0F61C4441B}"/>
            </c:ext>
          </c:extLst>
        </c:ser>
        <c:dLbls>
          <c:dLblPos val="t"/>
          <c:showLegendKey val="0"/>
          <c:showVal val="1"/>
          <c:showCatName val="0"/>
          <c:showSerName val="0"/>
          <c:showPercent val="0"/>
          <c:showBubbleSize val="0"/>
        </c:dLbls>
        <c:marker val="1"/>
        <c:smooth val="0"/>
        <c:axId val="813312592"/>
        <c:axId val="813312920"/>
      </c:lineChart>
      <c:catAx>
        <c:axId val="8133125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Reporting Period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3312920"/>
        <c:crosses val="autoZero"/>
        <c:auto val="1"/>
        <c:lblAlgn val="ctr"/>
        <c:lblOffset val="100"/>
        <c:noMultiLvlLbl val="0"/>
      </c:catAx>
      <c:valAx>
        <c:axId val="8133129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Percentage of All Comments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3312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Staff</a:t>
            </a:r>
            <a:r>
              <a:rPr lang="en-US" baseline="0"/>
              <a:t> Attitude Comments</a:t>
            </a:r>
            <a:br>
              <a:rPr lang="en-US" baseline="0"/>
            </a:br>
            <a:r>
              <a:rPr lang="en-US" baseline="0"/>
              <a:t>(Percentage Across Reporting Periods)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'12-27-2022Trends Weekly'!$H$2</c:f>
              <c:strCache>
                <c:ptCount val="1"/>
                <c:pt idx="0">
                  <c:v>Staff Attitude Good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'12-27-2022Trends Weekly'!$A$3:$A$5</c:f>
              <c:strCache>
                <c:ptCount val="3"/>
                <c:pt idx="0">
                  <c:v>11/28/2022 - 12/13/2022</c:v>
                </c:pt>
                <c:pt idx="1">
                  <c:v>12/14/2022 - 12/20/2022</c:v>
                </c:pt>
                <c:pt idx="2">
                  <c:v>12/21/2022 - 12/27/2022</c:v>
                </c:pt>
              </c:strCache>
            </c:strRef>
          </c:cat>
          <c:val>
            <c:numRef>
              <c:f>'12-27-2022Trends Weekly'!$H$3:$H$5</c:f>
              <c:numCache>
                <c:formatCode>0.00</c:formatCode>
                <c:ptCount val="3"/>
                <c:pt idx="0">
                  <c:v>38.02521008403361</c:v>
                </c:pt>
                <c:pt idx="1">
                  <c:v>31.308411214953267</c:v>
                </c:pt>
                <c:pt idx="2">
                  <c:v>33.684210526315788</c:v>
                </c:pt>
              </c:numCache>
            </c:numRef>
          </c:val>
          <c:smooth val="0"/>
          <c:extLst>
            <c:ext xmlns:c16="http://schemas.microsoft.com/office/drawing/2014/chart" uri="{C3380CC4-5D6E-409C-BE32-E72D297353CC}">
              <c16:uniqueId val="{00000000-A85E-4F4E-B932-6C2B9D15E2ED}"/>
            </c:ext>
          </c:extLst>
        </c:ser>
        <c:ser>
          <c:idx val="1"/>
          <c:order val="1"/>
          <c:tx>
            <c:strRef>
              <c:f>'12-27-2022Trends Weekly'!$I$2</c:f>
              <c:strCache>
                <c:ptCount val="1"/>
                <c:pt idx="0">
                  <c:v>Staff Attitude Bad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'12-27-2022Trends Weekly'!$A$3:$A$5</c:f>
              <c:strCache>
                <c:ptCount val="3"/>
                <c:pt idx="0">
                  <c:v>11/28/2022 - 12/13/2022</c:v>
                </c:pt>
                <c:pt idx="1">
                  <c:v>12/14/2022 - 12/20/2022</c:v>
                </c:pt>
                <c:pt idx="2">
                  <c:v>12/21/2022 - 12/27/2022</c:v>
                </c:pt>
              </c:strCache>
            </c:strRef>
          </c:cat>
          <c:val>
            <c:numRef>
              <c:f>'12-27-2022Trends Weekly'!$I$3:$I$5</c:f>
              <c:numCache>
                <c:formatCode>0.00</c:formatCode>
                <c:ptCount val="3"/>
                <c:pt idx="0">
                  <c:v>11.344537815126051</c:v>
                </c:pt>
                <c:pt idx="1">
                  <c:v>14.018691588785046</c:v>
                </c:pt>
                <c:pt idx="2">
                  <c:v>13.684210526315791</c:v>
                </c:pt>
              </c:numCache>
            </c:numRef>
          </c:val>
          <c:smooth val="0"/>
          <c:extLst>
            <c:ext xmlns:c16="http://schemas.microsoft.com/office/drawing/2014/chart" uri="{C3380CC4-5D6E-409C-BE32-E72D297353CC}">
              <c16:uniqueId val="{00000001-A85E-4F4E-B932-6C2B9D15E2ED}"/>
            </c:ext>
          </c:extLst>
        </c:ser>
        <c:dLbls>
          <c:dLblPos val="t"/>
          <c:showLegendKey val="0"/>
          <c:showVal val="1"/>
          <c:showCatName val="0"/>
          <c:showSerName val="0"/>
          <c:showPercent val="0"/>
          <c:showBubbleSize val="0"/>
        </c:dLbls>
        <c:marker val="1"/>
        <c:smooth val="0"/>
        <c:axId val="395659888"/>
        <c:axId val="395661200"/>
      </c:lineChart>
      <c:catAx>
        <c:axId val="39565988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Reporting Period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5661200"/>
        <c:crosses val="autoZero"/>
        <c:auto val="1"/>
        <c:lblAlgn val="ctr"/>
        <c:lblOffset val="100"/>
        <c:noMultiLvlLbl val="0"/>
      </c:catAx>
      <c:valAx>
        <c:axId val="3956612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Percentage of All Comments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56598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Wait Time (</a:t>
            </a:r>
            <a:r>
              <a:rPr lang="en-US" baseline="0"/>
              <a:t>Arrival to Checkout) Comments</a:t>
            </a:r>
            <a:br>
              <a:rPr lang="en-US" baseline="0"/>
            </a:br>
            <a:r>
              <a:rPr lang="en-US" baseline="0"/>
              <a:t>(Percentage Across Reporting Periods)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'12-27-2022Trends Weekly'!$M$2</c:f>
              <c:strCache>
                <c:ptCount val="1"/>
                <c:pt idx="0">
                  <c:v>Wait times Good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'12-27-2022Trends Weekly'!$A$3:$A$5</c:f>
              <c:strCache>
                <c:ptCount val="3"/>
                <c:pt idx="0">
                  <c:v>11/28/2022 - 12/13/2022</c:v>
                </c:pt>
                <c:pt idx="1">
                  <c:v>12/14/2022 - 12/20/2022</c:v>
                </c:pt>
                <c:pt idx="2">
                  <c:v>12/21/2022 - 12/27/2022</c:v>
                </c:pt>
              </c:strCache>
            </c:strRef>
          </c:cat>
          <c:val>
            <c:numRef>
              <c:f>'12-27-2022Trends Weekly'!$M$3:$M$5</c:f>
              <c:numCache>
                <c:formatCode>0.00</c:formatCode>
                <c:ptCount val="3"/>
                <c:pt idx="0">
                  <c:v>3.3613445378151261</c:v>
                </c:pt>
                <c:pt idx="1">
                  <c:v>3.7383177570093453</c:v>
                </c:pt>
                <c:pt idx="2">
                  <c:v>5.7894736842105265</c:v>
                </c:pt>
              </c:numCache>
            </c:numRef>
          </c:val>
          <c:smooth val="0"/>
          <c:extLst>
            <c:ext xmlns:c16="http://schemas.microsoft.com/office/drawing/2014/chart" uri="{C3380CC4-5D6E-409C-BE32-E72D297353CC}">
              <c16:uniqueId val="{00000000-7E91-4EE6-94BF-8F968C5186E7}"/>
            </c:ext>
          </c:extLst>
        </c:ser>
        <c:ser>
          <c:idx val="1"/>
          <c:order val="1"/>
          <c:tx>
            <c:strRef>
              <c:f>'12-27-2022Trends Weekly'!$N$2</c:f>
              <c:strCache>
                <c:ptCount val="1"/>
                <c:pt idx="0">
                  <c:v>Wait times Bad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'12-27-2022Trends Weekly'!$A$3:$A$5</c:f>
              <c:strCache>
                <c:ptCount val="3"/>
                <c:pt idx="0">
                  <c:v>11/28/2022 - 12/13/2022</c:v>
                </c:pt>
                <c:pt idx="1">
                  <c:v>12/14/2022 - 12/20/2022</c:v>
                </c:pt>
                <c:pt idx="2">
                  <c:v>12/21/2022 - 12/27/2022</c:v>
                </c:pt>
              </c:strCache>
            </c:strRef>
          </c:cat>
          <c:val>
            <c:numRef>
              <c:f>'12-27-2022Trends Weekly'!$N$3:$N$5</c:f>
              <c:numCache>
                <c:formatCode>0.00</c:formatCode>
                <c:ptCount val="3"/>
                <c:pt idx="0">
                  <c:v>6.9327731092436977</c:v>
                </c:pt>
                <c:pt idx="1">
                  <c:v>13.551401869158877</c:v>
                </c:pt>
                <c:pt idx="2">
                  <c:v>9.4736842105263168</c:v>
                </c:pt>
              </c:numCache>
            </c:numRef>
          </c:val>
          <c:smooth val="0"/>
          <c:extLst>
            <c:ext xmlns:c16="http://schemas.microsoft.com/office/drawing/2014/chart" uri="{C3380CC4-5D6E-409C-BE32-E72D297353CC}">
              <c16:uniqueId val="{00000001-7E91-4EE6-94BF-8F968C5186E7}"/>
            </c:ext>
          </c:extLst>
        </c:ser>
        <c:dLbls>
          <c:dLblPos val="t"/>
          <c:showLegendKey val="0"/>
          <c:showVal val="1"/>
          <c:showCatName val="0"/>
          <c:showSerName val="0"/>
          <c:showPercent val="0"/>
          <c:showBubbleSize val="0"/>
        </c:dLbls>
        <c:marker val="1"/>
        <c:smooth val="0"/>
        <c:axId val="702911072"/>
        <c:axId val="702903856"/>
      </c:lineChart>
      <c:catAx>
        <c:axId val="70291107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Reporting Period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2903856"/>
        <c:crosses val="autoZero"/>
        <c:auto val="1"/>
        <c:lblAlgn val="ctr"/>
        <c:lblOffset val="100"/>
        <c:noMultiLvlLbl val="0"/>
      </c:catAx>
      <c:valAx>
        <c:axId val="7029038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Percentage of All Comments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29110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General Check-in Comments</a:t>
            </a:r>
            <a:br>
              <a:rPr lang="en-US"/>
            </a:br>
            <a:r>
              <a:rPr lang="en-US"/>
              <a:t>(Total Comments Over 2 Weeks)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'Outpatient (Old)'!$O$1</c:f>
              <c:strCache>
                <c:ptCount val="1"/>
                <c:pt idx="0">
                  <c:v>General Check-in - Good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cat>
            <c:numRef>
              <c:f>'Outpatient (Old)'!$I$3408:$I$3421</c:f>
              <c:numCache>
                <c:formatCode>m/d/yyyy</c:formatCode>
                <c:ptCount val="14"/>
                <c:pt idx="0">
                  <c:v>44909</c:v>
                </c:pt>
                <c:pt idx="1">
                  <c:v>44910</c:v>
                </c:pt>
                <c:pt idx="2">
                  <c:v>44911</c:v>
                </c:pt>
                <c:pt idx="3">
                  <c:v>44912</c:v>
                </c:pt>
                <c:pt idx="4">
                  <c:v>44913</c:v>
                </c:pt>
                <c:pt idx="5">
                  <c:v>44914</c:v>
                </c:pt>
                <c:pt idx="6">
                  <c:v>44915</c:v>
                </c:pt>
                <c:pt idx="7">
                  <c:v>44916</c:v>
                </c:pt>
                <c:pt idx="8">
                  <c:v>44917</c:v>
                </c:pt>
                <c:pt idx="9">
                  <c:v>44918</c:v>
                </c:pt>
                <c:pt idx="10">
                  <c:v>44919</c:v>
                </c:pt>
                <c:pt idx="11">
                  <c:v>44920</c:v>
                </c:pt>
                <c:pt idx="12">
                  <c:v>44921</c:v>
                </c:pt>
                <c:pt idx="13">
                  <c:v>44922</c:v>
                </c:pt>
              </c:numCache>
            </c:numRef>
          </c:cat>
          <c:val>
            <c:numRef>
              <c:f>'Outpatient (Old)'!$O$3408:$O$3421</c:f>
              <c:numCache>
                <c:formatCode>General</c:formatCode>
                <c:ptCount val="14"/>
                <c:pt idx="0">
                  <c:v>2</c:v>
                </c:pt>
                <c:pt idx="1">
                  <c:v>1</c:v>
                </c:pt>
                <c:pt idx="2">
                  <c:v>8</c:v>
                </c:pt>
                <c:pt idx="3">
                  <c:v>6</c:v>
                </c:pt>
                <c:pt idx="4">
                  <c:v>2</c:v>
                </c:pt>
                <c:pt idx="5">
                  <c:v>0</c:v>
                </c:pt>
                <c:pt idx="6">
                  <c:v>6</c:v>
                </c:pt>
                <c:pt idx="7">
                  <c:v>5</c:v>
                </c:pt>
                <c:pt idx="8">
                  <c:v>4</c:v>
                </c:pt>
                <c:pt idx="9">
                  <c:v>13</c:v>
                </c:pt>
                <c:pt idx="10">
                  <c:v>4</c:v>
                </c:pt>
                <c:pt idx="11">
                  <c:v>3</c:v>
                </c:pt>
                <c:pt idx="12">
                  <c:v>3</c:v>
                </c:pt>
                <c:pt idx="13">
                  <c:v>2</c:v>
                </c:pt>
              </c:numCache>
            </c:numRef>
          </c:val>
          <c:smooth val="0"/>
          <c:extLst>
            <c:ext xmlns:c16="http://schemas.microsoft.com/office/drawing/2014/chart" uri="{C3380CC4-5D6E-409C-BE32-E72D297353CC}">
              <c16:uniqueId val="{00000003-CA64-4F69-B2F9-5457B814E64C}"/>
            </c:ext>
          </c:extLst>
        </c:ser>
        <c:ser>
          <c:idx val="1"/>
          <c:order val="1"/>
          <c:tx>
            <c:strRef>
              <c:f>'Outpatient (Old)'!$P$1</c:f>
              <c:strCache>
                <c:ptCount val="1"/>
                <c:pt idx="0">
                  <c:v>General Check-in - Bad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linear"/>
            <c:dispRSqr val="0"/>
            <c:dispEq val="0"/>
          </c:trendline>
          <c:cat>
            <c:numRef>
              <c:f>'Outpatient (Old)'!$I$3408:$I$3421</c:f>
              <c:numCache>
                <c:formatCode>m/d/yyyy</c:formatCode>
                <c:ptCount val="14"/>
                <c:pt idx="0">
                  <c:v>44909</c:v>
                </c:pt>
                <c:pt idx="1">
                  <c:v>44910</c:v>
                </c:pt>
                <c:pt idx="2">
                  <c:v>44911</c:v>
                </c:pt>
                <c:pt idx="3">
                  <c:v>44912</c:v>
                </c:pt>
                <c:pt idx="4">
                  <c:v>44913</c:v>
                </c:pt>
                <c:pt idx="5">
                  <c:v>44914</c:v>
                </c:pt>
                <c:pt idx="6">
                  <c:v>44915</c:v>
                </c:pt>
                <c:pt idx="7">
                  <c:v>44916</c:v>
                </c:pt>
                <c:pt idx="8">
                  <c:v>44917</c:v>
                </c:pt>
                <c:pt idx="9">
                  <c:v>44918</c:v>
                </c:pt>
                <c:pt idx="10">
                  <c:v>44919</c:v>
                </c:pt>
                <c:pt idx="11">
                  <c:v>44920</c:v>
                </c:pt>
                <c:pt idx="12">
                  <c:v>44921</c:v>
                </c:pt>
                <c:pt idx="13">
                  <c:v>44922</c:v>
                </c:pt>
              </c:numCache>
            </c:numRef>
          </c:cat>
          <c:val>
            <c:numRef>
              <c:f>'Outpatient (Old)'!$P$3408:$P$3421</c:f>
              <c:numCache>
                <c:formatCode>General</c:formatCode>
                <c:ptCount val="14"/>
                <c:pt idx="0">
                  <c:v>5</c:v>
                </c:pt>
                <c:pt idx="1">
                  <c:v>1</c:v>
                </c:pt>
                <c:pt idx="2">
                  <c:v>0</c:v>
                </c:pt>
                <c:pt idx="3">
                  <c:v>7</c:v>
                </c:pt>
                <c:pt idx="4">
                  <c:v>4</c:v>
                </c:pt>
                <c:pt idx="5">
                  <c:v>2</c:v>
                </c:pt>
                <c:pt idx="6">
                  <c:v>4</c:v>
                </c:pt>
                <c:pt idx="7">
                  <c:v>5</c:v>
                </c:pt>
                <c:pt idx="8">
                  <c:v>3</c:v>
                </c:pt>
                <c:pt idx="9">
                  <c:v>5</c:v>
                </c:pt>
                <c:pt idx="10">
                  <c:v>2</c:v>
                </c:pt>
                <c:pt idx="11">
                  <c:v>1</c:v>
                </c:pt>
                <c:pt idx="12">
                  <c:v>1</c:v>
                </c:pt>
                <c:pt idx="13">
                  <c:v>1</c:v>
                </c:pt>
              </c:numCache>
            </c:numRef>
          </c:val>
          <c:smooth val="0"/>
          <c:extLst>
            <c:ext xmlns:c16="http://schemas.microsoft.com/office/drawing/2014/chart" uri="{C3380CC4-5D6E-409C-BE32-E72D297353CC}">
              <c16:uniqueId val="{00000005-CA64-4F69-B2F9-5457B814E64C}"/>
            </c:ext>
          </c:extLst>
        </c:ser>
        <c:dLbls>
          <c:showLegendKey val="0"/>
          <c:showVal val="0"/>
          <c:showCatName val="0"/>
          <c:showSerName val="0"/>
          <c:showPercent val="0"/>
          <c:showBubbleSize val="0"/>
        </c:dLbls>
        <c:marker val="1"/>
        <c:smooth val="0"/>
        <c:axId val="871302824"/>
        <c:axId val="871306760"/>
      </c:lineChart>
      <c:dateAx>
        <c:axId val="8713028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1306760"/>
        <c:crosses val="autoZero"/>
        <c:auto val="1"/>
        <c:lblOffset val="100"/>
        <c:baseTimeUnit val="days"/>
      </c:dateAx>
      <c:valAx>
        <c:axId val="8713067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Number of Comments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1302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Kiosk Comments</a:t>
            </a:r>
            <a:br>
              <a:rPr lang="en-US"/>
            </a:br>
            <a:r>
              <a:rPr lang="en-US"/>
              <a:t>(Total Comments Over 2 Weeks)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'Outpatient (Old)'!$Q$1</c:f>
              <c:strCache>
                <c:ptCount val="1"/>
                <c:pt idx="0">
                  <c:v>Kiosk - Good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cat>
            <c:numRef>
              <c:f>'Outpatient (Old)'!$I$3408:$I$3421</c:f>
              <c:numCache>
                <c:formatCode>m/d/yyyy</c:formatCode>
                <c:ptCount val="14"/>
                <c:pt idx="0">
                  <c:v>44909</c:v>
                </c:pt>
                <c:pt idx="1">
                  <c:v>44910</c:v>
                </c:pt>
                <c:pt idx="2">
                  <c:v>44911</c:v>
                </c:pt>
                <c:pt idx="3">
                  <c:v>44912</c:v>
                </c:pt>
                <c:pt idx="4">
                  <c:v>44913</c:v>
                </c:pt>
                <c:pt idx="5">
                  <c:v>44914</c:v>
                </c:pt>
                <c:pt idx="6">
                  <c:v>44915</c:v>
                </c:pt>
                <c:pt idx="7">
                  <c:v>44916</c:v>
                </c:pt>
                <c:pt idx="8">
                  <c:v>44917</c:v>
                </c:pt>
                <c:pt idx="9">
                  <c:v>44918</c:v>
                </c:pt>
                <c:pt idx="10">
                  <c:v>44919</c:v>
                </c:pt>
                <c:pt idx="11">
                  <c:v>44920</c:v>
                </c:pt>
                <c:pt idx="12">
                  <c:v>44921</c:v>
                </c:pt>
                <c:pt idx="13">
                  <c:v>44922</c:v>
                </c:pt>
              </c:numCache>
            </c:numRef>
          </c:cat>
          <c:val>
            <c:numRef>
              <c:f>'Outpatient (Old)'!$Q$3408:$Q$3421</c:f>
              <c:numCache>
                <c:formatCode>General</c:formatCode>
                <c:ptCount val="14"/>
                <c:pt idx="0">
                  <c:v>5</c:v>
                </c:pt>
                <c:pt idx="1">
                  <c:v>2</c:v>
                </c:pt>
                <c:pt idx="2">
                  <c:v>7</c:v>
                </c:pt>
                <c:pt idx="3">
                  <c:v>10</c:v>
                </c:pt>
                <c:pt idx="4">
                  <c:v>5</c:v>
                </c:pt>
                <c:pt idx="5">
                  <c:v>3</c:v>
                </c:pt>
                <c:pt idx="6">
                  <c:v>7</c:v>
                </c:pt>
                <c:pt idx="7">
                  <c:v>7</c:v>
                </c:pt>
                <c:pt idx="8">
                  <c:v>1</c:v>
                </c:pt>
                <c:pt idx="9">
                  <c:v>3</c:v>
                </c:pt>
                <c:pt idx="10">
                  <c:v>8</c:v>
                </c:pt>
                <c:pt idx="11">
                  <c:v>1</c:v>
                </c:pt>
                <c:pt idx="12">
                  <c:v>2</c:v>
                </c:pt>
                <c:pt idx="13">
                  <c:v>4</c:v>
                </c:pt>
              </c:numCache>
            </c:numRef>
          </c:val>
          <c:smooth val="0"/>
          <c:extLst>
            <c:ext xmlns:c16="http://schemas.microsoft.com/office/drawing/2014/chart" uri="{C3380CC4-5D6E-409C-BE32-E72D297353CC}">
              <c16:uniqueId val="{00000003-EC34-4CC3-977C-17B3080A5E21}"/>
            </c:ext>
          </c:extLst>
        </c:ser>
        <c:ser>
          <c:idx val="1"/>
          <c:order val="1"/>
          <c:tx>
            <c:strRef>
              <c:f>'Outpatient (Old)'!$R$1</c:f>
              <c:strCache>
                <c:ptCount val="1"/>
                <c:pt idx="0">
                  <c:v>Kiosk - Bad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linear"/>
            <c:dispRSqr val="0"/>
            <c:dispEq val="0"/>
          </c:trendline>
          <c:cat>
            <c:numRef>
              <c:f>'Outpatient (Old)'!$I$3408:$I$3421</c:f>
              <c:numCache>
                <c:formatCode>m/d/yyyy</c:formatCode>
                <c:ptCount val="14"/>
                <c:pt idx="0">
                  <c:v>44909</c:v>
                </c:pt>
                <c:pt idx="1">
                  <c:v>44910</c:v>
                </c:pt>
                <c:pt idx="2">
                  <c:v>44911</c:v>
                </c:pt>
                <c:pt idx="3">
                  <c:v>44912</c:v>
                </c:pt>
                <c:pt idx="4">
                  <c:v>44913</c:v>
                </c:pt>
                <c:pt idx="5">
                  <c:v>44914</c:v>
                </c:pt>
                <c:pt idx="6">
                  <c:v>44915</c:v>
                </c:pt>
                <c:pt idx="7">
                  <c:v>44916</c:v>
                </c:pt>
                <c:pt idx="8">
                  <c:v>44917</c:v>
                </c:pt>
                <c:pt idx="9">
                  <c:v>44918</c:v>
                </c:pt>
                <c:pt idx="10">
                  <c:v>44919</c:v>
                </c:pt>
                <c:pt idx="11">
                  <c:v>44920</c:v>
                </c:pt>
                <c:pt idx="12">
                  <c:v>44921</c:v>
                </c:pt>
                <c:pt idx="13">
                  <c:v>44922</c:v>
                </c:pt>
              </c:numCache>
            </c:numRef>
          </c:cat>
          <c:val>
            <c:numRef>
              <c:f>'Outpatient (Old)'!$R$3408:$R$3421</c:f>
              <c:numCache>
                <c:formatCode>General</c:formatCode>
                <c:ptCount val="14"/>
                <c:pt idx="0">
                  <c:v>1</c:v>
                </c:pt>
                <c:pt idx="1">
                  <c:v>1</c:v>
                </c:pt>
                <c:pt idx="2">
                  <c:v>2</c:v>
                </c:pt>
                <c:pt idx="3">
                  <c:v>2</c:v>
                </c:pt>
                <c:pt idx="4">
                  <c:v>3</c:v>
                </c:pt>
                <c:pt idx="5">
                  <c:v>0</c:v>
                </c:pt>
                <c:pt idx="6">
                  <c:v>2</c:v>
                </c:pt>
                <c:pt idx="7">
                  <c:v>3</c:v>
                </c:pt>
                <c:pt idx="8">
                  <c:v>3</c:v>
                </c:pt>
                <c:pt idx="9">
                  <c:v>2</c:v>
                </c:pt>
                <c:pt idx="10">
                  <c:v>2</c:v>
                </c:pt>
                <c:pt idx="11">
                  <c:v>0</c:v>
                </c:pt>
                <c:pt idx="12">
                  <c:v>1</c:v>
                </c:pt>
                <c:pt idx="13">
                  <c:v>0</c:v>
                </c:pt>
              </c:numCache>
            </c:numRef>
          </c:val>
          <c:smooth val="0"/>
          <c:extLst>
            <c:ext xmlns:c16="http://schemas.microsoft.com/office/drawing/2014/chart" uri="{C3380CC4-5D6E-409C-BE32-E72D297353CC}">
              <c16:uniqueId val="{00000005-EC34-4CC3-977C-17B3080A5E21}"/>
            </c:ext>
          </c:extLst>
        </c:ser>
        <c:dLbls>
          <c:showLegendKey val="0"/>
          <c:showVal val="0"/>
          <c:showCatName val="0"/>
          <c:showSerName val="0"/>
          <c:showPercent val="0"/>
          <c:showBubbleSize val="0"/>
        </c:dLbls>
        <c:marker val="1"/>
        <c:smooth val="0"/>
        <c:axId val="765243320"/>
        <c:axId val="765243648"/>
      </c:lineChart>
      <c:dateAx>
        <c:axId val="76524332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5243648"/>
        <c:crosses val="autoZero"/>
        <c:auto val="1"/>
        <c:lblOffset val="100"/>
        <c:baseTimeUnit val="days"/>
      </c:dateAx>
      <c:valAx>
        <c:axId val="7652436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Number of Comments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52433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Staff Attitude Comments</a:t>
            </a:r>
            <a:br>
              <a:rPr lang="en-US"/>
            </a:br>
            <a:r>
              <a:rPr lang="en-US"/>
              <a:t>(Tota</a:t>
            </a:r>
            <a:r>
              <a:rPr lang="en-US" baseline="0"/>
              <a:t>l Comments Over 2 Weeks)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'Outpatient (Old)'!$S$1</c:f>
              <c:strCache>
                <c:ptCount val="1"/>
                <c:pt idx="0">
                  <c:v>Staff Attitude/ Interaction - Good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cat>
            <c:numRef>
              <c:f>'Outpatient (Old)'!$I$3408:$I$3421</c:f>
              <c:numCache>
                <c:formatCode>m/d/yyyy</c:formatCode>
                <c:ptCount val="14"/>
                <c:pt idx="0">
                  <c:v>44909</c:v>
                </c:pt>
                <c:pt idx="1">
                  <c:v>44910</c:v>
                </c:pt>
                <c:pt idx="2">
                  <c:v>44911</c:v>
                </c:pt>
                <c:pt idx="3">
                  <c:v>44912</c:v>
                </c:pt>
                <c:pt idx="4">
                  <c:v>44913</c:v>
                </c:pt>
                <c:pt idx="5">
                  <c:v>44914</c:v>
                </c:pt>
                <c:pt idx="6">
                  <c:v>44915</c:v>
                </c:pt>
                <c:pt idx="7">
                  <c:v>44916</c:v>
                </c:pt>
                <c:pt idx="8">
                  <c:v>44917</c:v>
                </c:pt>
                <c:pt idx="9">
                  <c:v>44918</c:v>
                </c:pt>
                <c:pt idx="10">
                  <c:v>44919</c:v>
                </c:pt>
                <c:pt idx="11">
                  <c:v>44920</c:v>
                </c:pt>
                <c:pt idx="12">
                  <c:v>44921</c:v>
                </c:pt>
                <c:pt idx="13">
                  <c:v>44922</c:v>
                </c:pt>
              </c:numCache>
            </c:numRef>
          </c:cat>
          <c:val>
            <c:numRef>
              <c:f>'Outpatient (Old)'!$S$3408:$S$3421</c:f>
              <c:numCache>
                <c:formatCode>General</c:formatCode>
                <c:ptCount val="14"/>
                <c:pt idx="0">
                  <c:v>11</c:v>
                </c:pt>
                <c:pt idx="1">
                  <c:v>5</c:v>
                </c:pt>
                <c:pt idx="2">
                  <c:v>13</c:v>
                </c:pt>
                <c:pt idx="3">
                  <c:v>18</c:v>
                </c:pt>
                <c:pt idx="4">
                  <c:v>5</c:v>
                </c:pt>
                <c:pt idx="5">
                  <c:v>2</c:v>
                </c:pt>
                <c:pt idx="6">
                  <c:v>13</c:v>
                </c:pt>
                <c:pt idx="7">
                  <c:v>13</c:v>
                </c:pt>
                <c:pt idx="8">
                  <c:v>11</c:v>
                </c:pt>
                <c:pt idx="9">
                  <c:v>21</c:v>
                </c:pt>
                <c:pt idx="10">
                  <c:v>6</c:v>
                </c:pt>
                <c:pt idx="11">
                  <c:v>4</c:v>
                </c:pt>
                <c:pt idx="12">
                  <c:v>3</c:v>
                </c:pt>
                <c:pt idx="13">
                  <c:v>6</c:v>
                </c:pt>
              </c:numCache>
            </c:numRef>
          </c:val>
          <c:smooth val="0"/>
          <c:extLst>
            <c:ext xmlns:c16="http://schemas.microsoft.com/office/drawing/2014/chart" uri="{C3380CC4-5D6E-409C-BE32-E72D297353CC}">
              <c16:uniqueId val="{00000001-3B25-4ED7-8000-583405638F12}"/>
            </c:ext>
          </c:extLst>
        </c:ser>
        <c:ser>
          <c:idx val="1"/>
          <c:order val="1"/>
          <c:tx>
            <c:strRef>
              <c:f>'Outpatient (Old)'!$T$1</c:f>
              <c:strCache>
                <c:ptCount val="1"/>
                <c:pt idx="0">
                  <c:v>Staff Attitude/ Interaction - Bad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linear"/>
            <c:dispRSqr val="0"/>
            <c:dispEq val="0"/>
          </c:trendline>
          <c:cat>
            <c:numRef>
              <c:f>'Outpatient (Old)'!$I$3408:$I$3421</c:f>
              <c:numCache>
                <c:formatCode>m/d/yyyy</c:formatCode>
                <c:ptCount val="14"/>
                <c:pt idx="0">
                  <c:v>44909</c:v>
                </c:pt>
                <c:pt idx="1">
                  <c:v>44910</c:v>
                </c:pt>
                <c:pt idx="2">
                  <c:v>44911</c:v>
                </c:pt>
                <c:pt idx="3">
                  <c:v>44912</c:v>
                </c:pt>
                <c:pt idx="4">
                  <c:v>44913</c:v>
                </c:pt>
                <c:pt idx="5">
                  <c:v>44914</c:v>
                </c:pt>
                <c:pt idx="6">
                  <c:v>44915</c:v>
                </c:pt>
                <c:pt idx="7">
                  <c:v>44916</c:v>
                </c:pt>
                <c:pt idx="8">
                  <c:v>44917</c:v>
                </c:pt>
                <c:pt idx="9">
                  <c:v>44918</c:v>
                </c:pt>
                <c:pt idx="10">
                  <c:v>44919</c:v>
                </c:pt>
                <c:pt idx="11">
                  <c:v>44920</c:v>
                </c:pt>
                <c:pt idx="12">
                  <c:v>44921</c:v>
                </c:pt>
                <c:pt idx="13">
                  <c:v>44922</c:v>
                </c:pt>
              </c:numCache>
            </c:numRef>
          </c:cat>
          <c:val>
            <c:numRef>
              <c:f>'Outpatient (Old)'!$T$3408:$T$3421</c:f>
              <c:numCache>
                <c:formatCode>General</c:formatCode>
                <c:ptCount val="14"/>
                <c:pt idx="0">
                  <c:v>3</c:v>
                </c:pt>
                <c:pt idx="1">
                  <c:v>3</c:v>
                </c:pt>
                <c:pt idx="2">
                  <c:v>6</c:v>
                </c:pt>
                <c:pt idx="3">
                  <c:v>9</c:v>
                </c:pt>
                <c:pt idx="4">
                  <c:v>3</c:v>
                </c:pt>
                <c:pt idx="5">
                  <c:v>2</c:v>
                </c:pt>
                <c:pt idx="6">
                  <c:v>4</c:v>
                </c:pt>
                <c:pt idx="7">
                  <c:v>10</c:v>
                </c:pt>
                <c:pt idx="8">
                  <c:v>3</c:v>
                </c:pt>
                <c:pt idx="9">
                  <c:v>8</c:v>
                </c:pt>
                <c:pt idx="10">
                  <c:v>3</c:v>
                </c:pt>
                <c:pt idx="11">
                  <c:v>0</c:v>
                </c:pt>
                <c:pt idx="12">
                  <c:v>1</c:v>
                </c:pt>
                <c:pt idx="13">
                  <c:v>1</c:v>
                </c:pt>
              </c:numCache>
            </c:numRef>
          </c:val>
          <c:smooth val="0"/>
          <c:extLst>
            <c:ext xmlns:c16="http://schemas.microsoft.com/office/drawing/2014/chart" uri="{C3380CC4-5D6E-409C-BE32-E72D297353CC}">
              <c16:uniqueId val="{00000003-1C79-4A56-9A78-1A2796B4A76B}"/>
            </c:ext>
          </c:extLst>
        </c:ser>
        <c:dLbls>
          <c:showLegendKey val="0"/>
          <c:showVal val="0"/>
          <c:showCatName val="0"/>
          <c:showSerName val="0"/>
          <c:showPercent val="0"/>
          <c:showBubbleSize val="0"/>
        </c:dLbls>
        <c:marker val="1"/>
        <c:smooth val="0"/>
        <c:axId val="821536912"/>
        <c:axId val="821534288"/>
      </c:lineChart>
      <c:dateAx>
        <c:axId val="82153691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1534288"/>
        <c:crosses val="autoZero"/>
        <c:auto val="1"/>
        <c:lblOffset val="100"/>
        <c:baseTimeUnit val="days"/>
      </c:dateAx>
      <c:valAx>
        <c:axId val="821534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Number of Comments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15369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Travel Pay Comments</a:t>
            </a:r>
            <a:br>
              <a:rPr lang="en-US"/>
            </a:br>
            <a:r>
              <a:rPr lang="en-US"/>
              <a:t>(Total Comments Over 2 Weeks)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'Outpatient (Old)'!$U$1</c:f>
              <c:strCache>
                <c:ptCount val="1"/>
                <c:pt idx="0">
                  <c:v>Travel Pay - Good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cat>
            <c:numRef>
              <c:f>'Outpatient (Old)'!$I$3408:$I$3421</c:f>
              <c:numCache>
                <c:formatCode>m/d/yyyy</c:formatCode>
                <c:ptCount val="14"/>
                <c:pt idx="0">
                  <c:v>44909</c:v>
                </c:pt>
                <c:pt idx="1">
                  <c:v>44910</c:v>
                </c:pt>
                <c:pt idx="2">
                  <c:v>44911</c:v>
                </c:pt>
                <c:pt idx="3">
                  <c:v>44912</c:v>
                </c:pt>
                <c:pt idx="4">
                  <c:v>44913</c:v>
                </c:pt>
                <c:pt idx="5">
                  <c:v>44914</c:v>
                </c:pt>
                <c:pt idx="6">
                  <c:v>44915</c:v>
                </c:pt>
                <c:pt idx="7">
                  <c:v>44916</c:v>
                </c:pt>
                <c:pt idx="8">
                  <c:v>44917</c:v>
                </c:pt>
                <c:pt idx="9">
                  <c:v>44918</c:v>
                </c:pt>
                <c:pt idx="10">
                  <c:v>44919</c:v>
                </c:pt>
                <c:pt idx="11">
                  <c:v>44920</c:v>
                </c:pt>
                <c:pt idx="12">
                  <c:v>44921</c:v>
                </c:pt>
                <c:pt idx="13">
                  <c:v>44922</c:v>
                </c:pt>
              </c:numCache>
            </c:numRef>
          </c:cat>
          <c:val>
            <c:numRef>
              <c:f>'Outpatient (Old)'!$U$3408:$U$3421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mooth val="0"/>
          <c:extLst>
            <c:ext xmlns:c16="http://schemas.microsoft.com/office/drawing/2014/chart" uri="{C3380CC4-5D6E-409C-BE32-E72D297353CC}">
              <c16:uniqueId val="{00000001-494E-4D33-BC95-BBA7FE90F6F3}"/>
            </c:ext>
          </c:extLst>
        </c:ser>
        <c:ser>
          <c:idx val="1"/>
          <c:order val="1"/>
          <c:tx>
            <c:strRef>
              <c:f>'Outpatient (Old)'!$V$1</c:f>
              <c:strCache>
                <c:ptCount val="1"/>
                <c:pt idx="0">
                  <c:v>Travel Pay - Bad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linear"/>
            <c:dispRSqr val="0"/>
            <c:dispEq val="0"/>
          </c:trendline>
          <c:cat>
            <c:numRef>
              <c:f>'Outpatient (Old)'!$I$3408:$I$3421</c:f>
              <c:numCache>
                <c:formatCode>m/d/yyyy</c:formatCode>
                <c:ptCount val="14"/>
                <c:pt idx="0">
                  <c:v>44909</c:v>
                </c:pt>
                <c:pt idx="1">
                  <c:v>44910</c:v>
                </c:pt>
                <c:pt idx="2">
                  <c:v>44911</c:v>
                </c:pt>
                <c:pt idx="3">
                  <c:v>44912</c:v>
                </c:pt>
                <c:pt idx="4">
                  <c:v>44913</c:v>
                </c:pt>
                <c:pt idx="5">
                  <c:v>44914</c:v>
                </c:pt>
                <c:pt idx="6">
                  <c:v>44915</c:v>
                </c:pt>
                <c:pt idx="7">
                  <c:v>44916</c:v>
                </c:pt>
                <c:pt idx="8">
                  <c:v>44917</c:v>
                </c:pt>
                <c:pt idx="9">
                  <c:v>44918</c:v>
                </c:pt>
                <c:pt idx="10">
                  <c:v>44919</c:v>
                </c:pt>
                <c:pt idx="11">
                  <c:v>44920</c:v>
                </c:pt>
                <c:pt idx="12">
                  <c:v>44921</c:v>
                </c:pt>
                <c:pt idx="13">
                  <c:v>44922</c:v>
                </c:pt>
              </c:numCache>
            </c:numRef>
          </c:cat>
          <c:val>
            <c:numRef>
              <c:f>'Outpatient (Old)'!$V$3408:$V$3421</c:f>
              <c:numCache>
                <c:formatCode>General</c:formatCode>
                <c:ptCount val="14"/>
                <c:pt idx="0">
                  <c:v>3</c:v>
                </c:pt>
                <c:pt idx="1">
                  <c:v>0</c:v>
                </c:pt>
                <c:pt idx="2">
                  <c:v>7</c:v>
                </c:pt>
                <c:pt idx="3">
                  <c:v>5</c:v>
                </c:pt>
                <c:pt idx="4">
                  <c:v>5</c:v>
                </c:pt>
                <c:pt idx="5">
                  <c:v>2</c:v>
                </c:pt>
                <c:pt idx="6">
                  <c:v>3</c:v>
                </c:pt>
                <c:pt idx="7">
                  <c:v>2</c:v>
                </c:pt>
                <c:pt idx="8">
                  <c:v>1</c:v>
                </c:pt>
                <c:pt idx="9">
                  <c:v>1</c:v>
                </c:pt>
                <c:pt idx="10">
                  <c:v>2</c:v>
                </c:pt>
                <c:pt idx="11">
                  <c:v>0</c:v>
                </c:pt>
                <c:pt idx="12">
                  <c:v>1</c:v>
                </c:pt>
                <c:pt idx="13">
                  <c:v>1</c:v>
                </c:pt>
              </c:numCache>
            </c:numRef>
          </c:val>
          <c:smooth val="0"/>
          <c:extLst>
            <c:ext xmlns:c16="http://schemas.microsoft.com/office/drawing/2014/chart" uri="{C3380CC4-5D6E-409C-BE32-E72D297353CC}">
              <c16:uniqueId val="{00000003-416F-40D8-A7EF-6A924FCC6527}"/>
            </c:ext>
          </c:extLst>
        </c:ser>
        <c:dLbls>
          <c:showLegendKey val="0"/>
          <c:showVal val="0"/>
          <c:showCatName val="0"/>
          <c:showSerName val="0"/>
          <c:showPercent val="0"/>
          <c:showBubbleSize val="0"/>
        </c:dLbls>
        <c:marker val="1"/>
        <c:smooth val="0"/>
        <c:axId val="821533304"/>
        <c:axId val="821538880"/>
      </c:lineChart>
      <c:dateAx>
        <c:axId val="82153330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1538880"/>
        <c:crosses val="autoZero"/>
        <c:auto val="1"/>
        <c:lblOffset val="100"/>
        <c:baseTimeUnit val="days"/>
      </c:dateAx>
      <c:valAx>
        <c:axId val="8215388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Number of Comments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15333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Wait Time (Arrival</a:t>
            </a:r>
            <a:r>
              <a:rPr lang="en-US" baseline="0"/>
              <a:t> to Checkout) Comments</a:t>
            </a:r>
            <a:br>
              <a:rPr lang="en-US" baseline="0"/>
            </a:br>
            <a:r>
              <a:rPr lang="en-US" baseline="0"/>
              <a:t>(Total Comments Over 2 Weeks)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'Outpatient (Old)'!$X$1</c:f>
              <c:strCache>
                <c:ptCount val="1"/>
                <c:pt idx="0">
                  <c:v>Wait times - Good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cat>
            <c:numRef>
              <c:f>'Outpatient (Old)'!$I$3408:$I$3421</c:f>
              <c:numCache>
                <c:formatCode>m/d/yyyy</c:formatCode>
                <c:ptCount val="14"/>
                <c:pt idx="0">
                  <c:v>44909</c:v>
                </c:pt>
                <c:pt idx="1">
                  <c:v>44910</c:v>
                </c:pt>
                <c:pt idx="2">
                  <c:v>44911</c:v>
                </c:pt>
                <c:pt idx="3">
                  <c:v>44912</c:v>
                </c:pt>
                <c:pt idx="4">
                  <c:v>44913</c:v>
                </c:pt>
                <c:pt idx="5">
                  <c:v>44914</c:v>
                </c:pt>
                <c:pt idx="6">
                  <c:v>44915</c:v>
                </c:pt>
                <c:pt idx="7">
                  <c:v>44916</c:v>
                </c:pt>
                <c:pt idx="8">
                  <c:v>44917</c:v>
                </c:pt>
                <c:pt idx="9">
                  <c:v>44918</c:v>
                </c:pt>
                <c:pt idx="10">
                  <c:v>44919</c:v>
                </c:pt>
                <c:pt idx="11">
                  <c:v>44920</c:v>
                </c:pt>
                <c:pt idx="12">
                  <c:v>44921</c:v>
                </c:pt>
                <c:pt idx="13">
                  <c:v>44922</c:v>
                </c:pt>
              </c:numCache>
            </c:numRef>
          </c:cat>
          <c:val>
            <c:numRef>
              <c:f>'Outpatient (Old)'!$X$3408:$X$3421</c:f>
              <c:numCache>
                <c:formatCode>General</c:formatCode>
                <c:ptCount val="14"/>
                <c:pt idx="0">
                  <c:v>1</c:v>
                </c:pt>
                <c:pt idx="1">
                  <c:v>0</c:v>
                </c:pt>
                <c:pt idx="2">
                  <c:v>4</c:v>
                </c:pt>
                <c:pt idx="3">
                  <c:v>1</c:v>
                </c:pt>
                <c:pt idx="4">
                  <c:v>1</c:v>
                </c:pt>
                <c:pt idx="5">
                  <c:v>0</c:v>
                </c:pt>
                <c:pt idx="6">
                  <c:v>1</c:v>
                </c:pt>
                <c:pt idx="7">
                  <c:v>1</c:v>
                </c:pt>
                <c:pt idx="8">
                  <c:v>2</c:v>
                </c:pt>
                <c:pt idx="9">
                  <c:v>5</c:v>
                </c:pt>
                <c:pt idx="10">
                  <c:v>3</c:v>
                </c:pt>
                <c:pt idx="11">
                  <c:v>0</c:v>
                </c:pt>
                <c:pt idx="12">
                  <c:v>0</c:v>
                </c:pt>
                <c:pt idx="13">
                  <c:v>0</c:v>
                </c:pt>
              </c:numCache>
            </c:numRef>
          </c:val>
          <c:smooth val="0"/>
          <c:extLst>
            <c:ext xmlns:c16="http://schemas.microsoft.com/office/drawing/2014/chart" uri="{C3380CC4-5D6E-409C-BE32-E72D297353CC}">
              <c16:uniqueId val="{00000001-2CD4-4B3C-BC77-0A50A215815C}"/>
            </c:ext>
          </c:extLst>
        </c:ser>
        <c:ser>
          <c:idx val="1"/>
          <c:order val="1"/>
          <c:tx>
            <c:strRef>
              <c:f>'Outpatient (Old)'!$Y$1</c:f>
              <c:strCache>
                <c:ptCount val="1"/>
                <c:pt idx="0">
                  <c:v>Wait times - Bad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linear"/>
            <c:dispRSqr val="0"/>
            <c:dispEq val="0"/>
          </c:trendline>
          <c:cat>
            <c:numRef>
              <c:f>'Outpatient (Old)'!$I$3408:$I$3421</c:f>
              <c:numCache>
                <c:formatCode>m/d/yyyy</c:formatCode>
                <c:ptCount val="14"/>
                <c:pt idx="0">
                  <c:v>44909</c:v>
                </c:pt>
                <c:pt idx="1">
                  <c:v>44910</c:v>
                </c:pt>
                <c:pt idx="2">
                  <c:v>44911</c:v>
                </c:pt>
                <c:pt idx="3">
                  <c:v>44912</c:v>
                </c:pt>
                <c:pt idx="4">
                  <c:v>44913</c:v>
                </c:pt>
                <c:pt idx="5">
                  <c:v>44914</c:v>
                </c:pt>
                <c:pt idx="6">
                  <c:v>44915</c:v>
                </c:pt>
                <c:pt idx="7">
                  <c:v>44916</c:v>
                </c:pt>
                <c:pt idx="8">
                  <c:v>44917</c:v>
                </c:pt>
                <c:pt idx="9">
                  <c:v>44918</c:v>
                </c:pt>
                <c:pt idx="10">
                  <c:v>44919</c:v>
                </c:pt>
                <c:pt idx="11">
                  <c:v>44920</c:v>
                </c:pt>
                <c:pt idx="12">
                  <c:v>44921</c:v>
                </c:pt>
                <c:pt idx="13">
                  <c:v>44922</c:v>
                </c:pt>
              </c:numCache>
            </c:numRef>
          </c:cat>
          <c:val>
            <c:numRef>
              <c:f>'Outpatient (Old)'!$Y$3408:$Y$3421</c:f>
              <c:numCache>
                <c:formatCode>General</c:formatCode>
                <c:ptCount val="14"/>
                <c:pt idx="0">
                  <c:v>6</c:v>
                </c:pt>
                <c:pt idx="1">
                  <c:v>1</c:v>
                </c:pt>
                <c:pt idx="2">
                  <c:v>7</c:v>
                </c:pt>
                <c:pt idx="3">
                  <c:v>4</c:v>
                </c:pt>
                <c:pt idx="4">
                  <c:v>2</c:v>
                </c:pt>
                <c:pt idx="5">
                  <c:v>1</c:v>
                </c:pt>
                <c:pt idx="6">
                  <c:v>8</c:v>
                </c:pt>
                <c:pt idx="7">
                  <c:v>4</c:v>
                </c:pt>
                <c:pt idx="8">
                  <c:v>3</c:v>
                </c:pt>
                <c:pt idx="9">
                  <c:v>4</c:v>
                </c:pt>
                <c:pt idx="10">
                  <c:v>4</c:v>
                </c:pt>
                <c:pt idx="11">
                  <c:v>0</c:v>
                </c:pt>
                <c:pt idx="12">
                  <c:v>0</c:v>
                </c:pt>
                <c:pt idx="13">
                  <c:v>3</c:v>
                </c:pt>
              </c:numCache>
            </c:numRef>
          </c:val>
          <c:smooth val="0"/>
          <c:extLst>
            <c:ext xmlns:c16="http://schemas.microsoft.com/office/drawing/2014/chart" uri="{C3380CC4-5D6E-409C-BE32-E72D297353CC}">
              <c16:uniqueId val="{00000012-13E1-4725-A6BD-15CE89277D06}"/>
            </c:ext>
          </c:extLst>
        </c:ser>
        <c:dLbls>
          <c:showLegendKey val="0"/>
          <c:showVal val="0"/>
          <c:showCatName val="0"/>
          <c:showSerName val="0"/>
          <c:showPercent val="0"/>
          <c:showBubbleSize val="0"/>
        </c:dLbls>
        <c:marker val="1"/>
        <c:smooth val="0"/>
        <c:axId val="625909968"/>
        <c:axId val="625906688"/>
      </c:lineChart>
      <c:dateAx>
        <c:axId val="62590996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5906688"/>
        <c:crosses val="autoZero"/>
        <c:auto val="1"/>
        <c:lblOffset val="100"/>
        <c:baseTimeUnit val="days"/>
      </c:dateAx>
      <c:valAx>
        <c:axId val="6259066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Number of</a:t>
                </a:r>
                <a:r>
                  <a:rPr lang="en-US" baseline="0"/>
                  <a:t> Comments</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59099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Travel Pay Comments</a:t>
            </a:r>
            <a:br>
              <a:rPr lang="en-US"/>
            </a:br>
            <a:r>
              <a:rPr lang="en-US"/>
              <a:t>(Percentage Across Reporting Periods)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'12-27-2022Trends Weekly'!$J$2</c:f>
              <c:strCache>
                <c:ptCount val="1"/>
                <c:pt idx="0">
                  <c:v>Travel Pay Good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'12-27-2022Trends Weekly'!$A$3:$A$5</c:f>
              <c:strCache>
                <c:ptCount val="3"/>
                <c:pt idx="0">
                  <c:v>11/28/2022 - 12/13/2022</c:v>
                </c:pt>
                <c:pt idx="1">
                  <c:v>12/14/2022 - 12/20/2022</c:v>
                </c:pt>
                <c:pt idx="2">
                  <c:v>12/21/2022 - 12/27/2022</c:v>
                </c:pt>
              </c:strCache>
            </c:strRef>
          </c:cat>
          <c:val>
            <c:numRef>
              <c:f>'12-27-2022Trends Weekly'!$J$3:$J$5</c:f>
              <c:numCache>
                <c:formatCode>0.00</c:formatCode>
                <c:ptCount val="3"/>
                <c:pt idx="0">
                  <c:v>0.21008403361344538</c:v>
                </c:pt>
                <c:pt idx="1">
                  <c:v>0</c:v>
                </c:pt>
                <c:pt idx="2">
                  <c:v>0</c:v>
                </c:pt>
              </c:numCache>
            </c:numRef>
          </c:val>
          <c:smooth val="0"/>
          <c:extLst>
            <c:ext xmlns:c16="http://schemas.microsoft.com/office/drawing/2014/chart" uri="{C3380CC4-5D6E-409C-BE32-E72D297353CC}">
              <c16:uniqueId val="{00000000-AEE7-4A5E-89B8-DCF059DCC05A}"/>
            </c:ext>
          </c:extLst>
        </c:ser>
        <c:ser>
          <c:idx val="1"/>
          <c:order val="1"/>
          <c:tx>
            <c:strRef>
              <c:f>'12-27-2022Trends Weekly'!$K$2</c:f>
              <c:strCache>
                <c:ptCount val="1"/>
                <c:pt idx="0">
                  <c:v>Travel Pay Bad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'12-27-2022Trends Weekly'!$A$3:$A$5</c:f>
              <c:strCache>
                <c:ptCount val="3"/>
                <c:pt idx="0">
                  <c:v>11/28/2022 - 12/13/2022</c:v>
                </c:pt>
                <c:pt idx="1">
                  <c:v>12/14/2022 - 12/20/2022</c:v>
                </c:pt>
                <c:pt idx="2">
                  <c:v>12/21/2022 - 12/27/2022</c:v>
                </c:pt>
              </c:strCache>
            </c:strRef>
          </c:cat>
          <c:val>
            <c:numRef>
              <c:f>'12-27-2022Trends Weekly'!$K$3:$K$5</c:f>
              <c:numCache>
                <c:formatCode>0.00</c:formatCode>
                <c:ptCount val="3"/>
                <c:pt idx="0">
                  <c:v>8.1932773109243691</c:v>
                </c:pt>
                <c:pt idx="1">
                  <c:v>11.682242990654206</c:v>
                </c:pt>
                <c:pt idx="2">
                  <c:v>4.2105263157894735</c:v>
                </c:pt>
              </c:numCache>
            </c:numRef>
          </c:val>
          <c:smooth val="0"/>
          <c:extLst>
            <c:ext xmlns:c16="http://schemas.microsoft.com/office/drawing/2014/chart" uri="{C3380CC4-5D6E-409C-BE32-E72D297353CC}">
              <c16:uniqueId val="{00000001-AEE7-4A5E-89B8-DCF059DCC05A}"/>
            </c:ext>
          </c:extLst>
        </c:ser>
        <c:dLbls>
          <c:dLblPos val="t"/>
          <c:showLegendKey val="0"/>
          <c:showVal val="1"/>
          <c:showCatName val="0"/>
          <c:showSerName val="0"/>
          <c:showPercent val="0"/>
          <c:showBubbleSize val="0"/>
        </c:dLbls>
        <c:marker val="1"/>
        <c:smooth val="0"/>
        <c:axId val="813312592"/>
        <c:axId val="813312920"/>
      </c:lineChart>
      <c:catAx>
        <c:axId val="8133125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Reporting Period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3312920"/>
        <c:crosses val="autoZero"/>
        <c:auto val="1"/>
        <c:lblAlgn val="ctr"/>
        <c:lblOffset val="100"/>
        <c:noMultiLvlLbl val="0"/>
      </c:catAx>
      <c:valAx>
        <c:axId val="8133129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Percentage of All Comments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3312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Mobile Check-in</a:t>
            </a:r>
            <a:r>
              <a:rPr lang="en-US" baseline="0"/>
              <a:t> Feedback </a:t>
            </a:r>
            <a:br>
              <a:rPr lang="en-US" baseline="0"/>
            </a:br>
            <a:r>
              <a:rPr lang="en-US" baseline="0"/>
              <a:t>(Total Comments Over 2 Weeks)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'Outpatient (Old)'!$I$3408:$I$3421</c:f>
              <c:numCache>
                <c:formatCode>m/d/yyyy</c:formatCode>
                <c:ptCount val="14"/>
                <c:pt idx="0">
                  <c:v>44909</c:v>
                </c:pt>
                <c:pt idx="1">
                  <c:v>44910</c:v>
                </c:pt>
                <c:pt idx="2">
                  <c:v>44911</c:v>
                </c:pt>
                <c:pt idx="3">
                  <c:v>44912</c:v>
                </c:pt>
                <c:pt idx="4">
                  <c:v>44913</c:v>
                </c:pt>
                <c:pt idx="5">
                  <c:v>44914</c:v>
                </c:pt>
                <c:pt idx="6">
                  <c:v>44915</c:v>
                </c:pt>
                <c:pt idx="7">
                  <c:v>44916</c:v>
                </c:pt>
                <c:pt idx="8">
                  <c:v>44917</c:v>
                </c:pt>
                <c:pt idx="9">
                  <c:v>44918</c:v>
                </c:pt>
                <c:pt idx="10">
                  <c:v>44919</c:v>
                </c:pt>
                <c:pt idx="11">
                  <c:v>44920</c:v>
                </c:pt>
                <c:pt idx="12">
                  <c:v>44921</c:v>
                </c:pt>
                <c:pt idx="13">
                  <c:v>44922</c:v>
                </c:pt>
              </c:numCache>
            </c:numRef>
          </c:cat>
          <c:val>
            <c:numRef>
              <c:f>'Outpatient (Old)'!$J$3408:$J$3421</c:f>
            </c:numRef>
          </c:val>
          <c:smooth val="0"/>
          <c:extLst>
            <c:ext xmlns:c16="http://schemas.microsoft.com/office/drawing/2014/chart" uri="{C3380CC4-5D6E-409C-BE32-E72D297353CC}">
              <c16:uniqueId val="{00000000-7918-47AC-9B03-8CB481BF2AF8}"/>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f>'Outpatient (Old)'!$I$3408:$I$3421</c:f>
              <c:numCache>
                <c:formatCode>m/d/yyyy</c:formatCode>
                <c:ptCount val="14"/>
                <c:pt idx="0">
                  <c:v>44909</c:v>
                </c:pt>
                <c:pt idx="1">
                  <c:v>44910</c:v>
                </c:pt>
                <c:pt idx="2">
                  <c:v>44911</c:v>
                </c:pt>
                <c:pt idx="3">
                  <c:v>44912</c:v>
                </c:pt>
                <c:pt idx="4">
                  <c:v>44913</c:v>
                </c:pt>
                <c:pt idx="5">
                  <c:v>44914</c:v>
                </c:pt>
                <c:pt idx="6">
                  <c:v>44915</c:v>
                </c:pt>
                <c:pt idx="7">
                  <c:v>44916</c:v>
                </c:pt>
                <c:pt idx="8">
                  <c:v>44917</c:v>
                </c:pt>
                <c:pt idx="9">
                  <c:v>44918</c:v>
                </c:pt>
                <c:pt idx="10">
                  <c:v>44919</c:v>
                </c:pt>
                <c:pt idx="11">
                  <c:v>44920</c:v>
                </c:pt>
                <c:pt idx="12">
                  <c:v>44921</c:v>
                </c:pt>
                <c:pt idx="13">
                  <c:v>44922</c:v>
                </c:pt>
              </c:numCache>
            </c:numRef>
          </c:cat>
          <c:val>
            <c:numRef>
              <c:f>'Outpatient (Old)'!$K$3408:$K$3421</c:f>
            </c:numRef>
          </c:val>
          <c:smooth val="0"/>
          <c:extLst>
            <c:ext xmlns:c16="http://schemas.microsoft.com/office/drawing/2014/chart" uri="{C3380CC4-5D6E-409C-BE32-E72D297353CC}">
              <c16:uniqueId val="{00000001-7918-47AC-9B03-8CB481BF2AF8}"/>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cat>
            <c:numRef>
              <c:f>'Outpatient (Old)'!$I$3408:$I$3421</c:f>
              <c:numCache>
                <c:formatCode>m/d/yyyy</c:formatCode>
                <c:ptCount val="14"/>
                <c:pt idx="0">
                  <c:v>44909</c:v>
                </c:pt>
                <c:pt idx="1">
                  <c:v>44910</c:v>
                </c:pt>
                <c:pt idx="2">
                  <c:v>44911</c:v>
                </c:pt>
                <c:pt idx="3">
                  <c:v>44912</c:v>
                </c:pt>
                <c:pt idx="4">
                  <c:v>44913</c:v>
                </c:pt>
                <c:pt idx="5">
                  <c:v>44914</c:v>
                </c:pt>
                <c:pt idx="6">
                  <c:v>44915</c:v>
                </c:pt>
                <c:pt idx="7">
                  <c:v>44916</c:v>
                </c:pt>
                <c:pt idx="8">
                  <c:v>44917</c:v>
                </c:pt>
                <c:pt idx="9">
                  <c:v>44918</c:v>
                </c:pt>
                <c:pt idx="10">
                  <c:v>44919</c:v>
                </c:pt>
                <c:pt idx="11">
                  <c:v>44920</c:v>
                </c:pt>
                <c:pt idx="12">
                  <c:v>44921</c:v>
                </c:pt>
                <c:pt idx="13">
                  <c:v>44922</c:v>
                </c:pt>
              </c:numCache>
            </c:numRef>
          </c:cat>
          <c:val>
            <c:numRef>
              <c:f>'Outpatient (Old)'!$L$3408:$L$3421</c:f>
            </c:numRef>
          </c:val>
          <c:smooth val="0"/>
          <c:extLst>
            <c:ext xmlns:c16="http://schemas.microsoft.com/office/drawing/2014/chart" uri="{C3380CC4-5D6E-409C-BE32-E72D297353CC}">
              <c16:uniqueId val="{00000002-7918-47AC-9B03-8CB481BF2AF8}"/>
            </c:ext>
          </c:extLst>
        </c:ser>
        <c:ser>
          <c:idx val="3"/>
          <c:order val="3"/>
          <c:tx>
            <c:strRef>
              <c:f>'Outpatient (Old)'!$M$1</c:f>
              <c:strCache>
                <c:ptCount val="1"/>
                <c:pt idx="0">
                  <c:v>Mobile CI - Good</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trendline>
            <c:spPr>
              <a:ln w="19050" cap="rnd">
                <a:solidFill>
                  <a:schemeClr val="accent4"/>
                </a:solidFill>
                <a:prstDash val="sysDot"/>
              </a:ln>
              <a:effectLst/>
            </c:spPr>
            <c:trendlineType val="linear"/>
            <c:dispRSqr val="0"/>
            <c:dispEq val="0"/>
          </c:trendline>
          <c:cat>
            <c:numRef>
              <c:f>'Outpatient (Old)'!$I$3408:$I$3421</c:f>
              <c:numCache>
                <c:formatCode>m/d/yyyy</c:formatCode>
                <c:ptCount val="14"/>
                <c:pt idx="0">
                  <c:v>44909</c:v>
                </c:pt>
                <c:pt idx="1">
                  <c:v>44910</c:v>
                </c:pt>
                <c:pt idx="2">
                  <c:v>44911</c:v>
                </c:pt>
                <c:pt idx="3">
                  <c:v>44912</c:v>
                </c:pt>
                <c:pt idx="4">
                  <c:v>44913</c:v>
                </c:pt>
                <c:pt idx="5">
                  <c:v>44914</c:v>
                </c:pt>
                <c:pt idx="6">
                  <c:v>44915</c:v>
                </c:pt>
                <c:pt idx="7">
                  <c:v>44916</c:v>
                </c:pt>
                <c:pt idx="8">
                  <c:v>44917</c:v>
                </c:pt>
                <c:pt idx="9">
                  <c:v>44918</c:v>
                </c:pt>
                <c:pt idx="10">
                  <c:v>44919</c:v>
                </c:pt>
                <c:pt idx="11">
                  <c:v>44920</c:v>
                </c:pt>
                <c:pt idx="12">
                  <c:v>44921</c:v>
                </c:pt>
                <c:pt idx="13">
                  <c:v>44922</c:v>
                </c:pt>
              </c:numCache>
            </c:numRef>
          </c:cat>
          <c:val>
            <c:numRef>
              <c:f>'Outpatient (Old)'!$M$3408:$M$3421</c:f>
              <c:numCache>
                <c:formatCode>General</c:formatCode>
                <c:ptCount val="14"/>
                <c:pt idx="0">
                  <c:v>0</c:v>
                </c:pt>
                <c:pt idx="1">
                  <c:v>0</c:v>
                </c:pt>
                <c:pt idx="2">
                  <c:v>1</c:v>
                </c:pt>
                <c:pt idx="3">
                  <c:v>0</c:v>
                </c:pt>
                <c:pt idx="4">
                  <c:v>0</c:v>
                </c:pt>
                <c:pt idx="5">
                  <c:v>0</c:v>
                </c:pt>
                <c:pt idx="6">
                  <c:v>0</c:v>
                </c:pt>
                <c:pt idx="7">
                  <c:v>1</c:v>
                </c:pt>
                <c:pt idx="8">
                  <c:v>0</c:v>
                </c:pt>
                <c:pt idx="9">
                  <c:v>0</c:v>
                </c:pt>
                <c:pt idx="10">
                  <c:v>0</c:v>
                </c:pt>
                <c:pt idx="11">
                  <c:v>0</c:v>
                </c:pt>
                <c:pt idx="12">
                  <c:v>0</c:v>
                </c:pt>
                <c:pt idx="13">
                  <c:v>0</c:v>
                </c:pt>
              </c:numCache>
            </c:numRef>
          </c:val>
          <c:smooth val="0"/>
          <c:extLst>
            <c:ext xmlns:c16="http://schemas.microsoft.com/office/drawing/2014/chart" uri="{C3380CC4-5D6E-409C-BE32-E72D297353CC}">
              <c16:uniqueId val="{00000004-7918-47AC-9B03-8CB481BF2AF8}"/>
            </c:ext>
          </c:extLst>
        </c:ser>
        <c:ser>
          <c:idx val="4"/>
          <c:order val="4"/>
          <c:tx>
            <c:strRef>
              <c:f>'Outpatient (Old)'!$N$1</c:f>
              <c:strCache>
                <c:ptCount val="1"/>
                <c:pt idx="0">
                  <c:v>Mobile CI - Bad</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trendline>
            <c:spPr>
              <a:ln w="19050" cap="rnd">
                <a:solidFill>
                  <a:schemeClr val="accent5"/>
                </a:solidFill>
                <a:prstDash val="sysDot"/>
              </a:ln>
              <a:effectLst/>
            </c:spPr>
            <c:trendlineType val="linear"/>
            <c:dispRSqr val="0"/>
            <c:dispEq val="0"/>
          </c:trendline>
          <c:cat>
            <c:numRef>
              <c:f>'Outpatient (Old)'!$I$3408:$I$3421</c:f>
              <c:numCache>
                <c:formatCode>m/d/yyyy</c:formatCode>
                <c:ptCount val="14"/>
                <c:pt idx="0">
                  <c:v>44909</c:v>
                </c:pt>
                <c:pt idx="1">
                  <c:v>44910</c:v>
                </c:pt>
                <c:pt idx="2">
                  <c:v>44911</c:v>
                </c:pt>
                <c:pt idx="3">
                  <c:v>44912</c:v>
                </c:pt>
                <c:pt idx="4">
                  <c:v>44913</c:v>
                </c:pt>
                <c:pt idx="5">
                  <c:v>44914</c:v>
                </c:pt>
                <c:pt idx="6">
                  <c:v>44915</c:v>
                </c:pt>
                <c:pt idx="7">
                  <c:v>44916</c:v>
                </c:pt>
                <c:pt idx="8">
                  <c:v>44917</c:v>
                </c:pt>
                <c:pt idx="9">
                  <c:v>44918</c:v>
                </c:pt>
                <c:pt idx="10">
                  <c:v>44919</c:v>
                </c:pt>
                <c:pt idx="11">
                  <c:v>44920</c:v>
                </c:pt>
                <c:pt idx="12">
                  <c:v>44921</c:v>
                </c:pt>
                <c:pt idx="13">
                  <c:v>44922</c:v>
                </c:pt>
              </c:numCache>
            </c:numRef>
          </c:cat>
          <c:val>
            <c:numRef>
              <c:f>'Outpatient (Old)'!$N$3408:$N$3421</c:f>
              <c:numCache>
                <c:formatCode>General</c:formatCode>
                <c:ptCount val="14"/>
                <c:pt idx="0">
                  <c:v>4</c:v>
                </c:pt>
                <c:pt idx="1">
                  <c:v>2</c:v>
                </c:pt>
                <c:pt idx="2">
                  <c:v>3</c:v>
                </c:pt>
                <c:pt idx="3">
                  <c:v>6</c:v>
                </c:pt>
                <c:pt idx="4">
                  <c:v>1</c:v>
                </c:pt>
                <c:pt idx="5">
                  <c:v>2</c:v>
                </c:pt>
                <c:pt idx="6">
                  <c:v>0</c:v>
                </c:pt>
                <c:pt idx="7">
                  <c:v>2</c:v>
                </c:pt>
                <c:pt idx="8">
                  <c:v>0</c:v>
                </c:pt>
                <c:pt idx="9">
                  <c:v>2</c:v>
                </c:pt>
                <c:pt idx="10">
                  <c:v>2</c:v>
                </c:pt>
                <c:pt idx="11">
                  <c:v>0</c:v>
                </c:pt>
                <c:pt idx="12">
                  <c:v>0</c:v>
                </c:pt>
                <c:pt idx="13">
                  <c:v>0</c:v>
                </c:pt>
              </c:numCache>
            </c:numRef>
          </c:val>
          <c:smooth val="0"/>
          <c:extLst>
            <c:ext xmlns:c16="http://schemas.microsoft.com/office/drawing/2014/chart" uri="{C3380CC4-5D6E-409C-BE32-E72D297353CC}">
              <c16:uniqueId val="{00000006-7918-47AC-9B03-8CB481BF2AF8}"/>
            </c:ext>
          </c:extLst>
        </c:ser>
        <c:dLbls>
          <c:showLegendKey val="0"/>
          <c:showVal val="0"/>
          <c:showCatName val="0"/>
          <c:showSerName val="0"/>
          <c:showPercent val="0"/>
          <c:showBubbleSize val="0"/>
        </c:dLbls>
        <c:marker val="1"/>
        <c:smooth val="0"/>
        <c:axId val="702934360"/>
        <c:axId val="702938296"/>
      </c:lineChart>
      <c:dateAx>
        <c:axId val="70293436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2938296"/>
        <c:crosses val="autoZero"/>
        <c:auto val="1"/>
        <c:lblOffset val="100"/>
        <c:baseTimeUnit val="days"/>
      </c:dateAx>
      <c:valAx>
        <c:axId val="7029382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Number of Comments</a:t>
                </a:r>
              </a:p>
              <a:p>
                <a:pPr>
                  <a:defRPr/>
                </a:pP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2934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Mobile Check-in</a:t>
            </a:r>
            <a:r>
              <a:rPr lang="en-US" baseline="0"/>
              <a:t> </a:t>
            </a:r>
            <a:r>
              <a:rPr lang="en-US"/>
              <a:t>Comments </a:t>
            </a:r>
            <a:br>
              <a:rPr lang="en-US"/>
            </a:br>
            <a:r>
              <a:rPr lang="en-US"/>
              <a:t>(Percentage</a:t>
            </a:r>
            <a:r>
              <a:rPr lang="en-US" baseline="0"/>
              <a:t> Across Reporting Periods)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'1-16-2023 Trends Weekly'!$B$2</c:f>
              <c:strCache>
                <c:ptCount val="1"/>
                <c:pt idx="0">
                  <c:v>Mobile Check-in Good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solidFill>
                <a:prstDash val="sysDot"/>
              </a:ln>
              <a:effectLst/>
            </c:spPr>
            <c:trendlineType val="linear"/>
            <c:dispRSqr val="0"/>
            <c:dispEq val="0"/>
          </c:trendline>
          <c:cat>
            <c:strRef>
              <c:f>'1-16-2023 Trends Weekly'!$A$3:$A$6</c:f>
              <c:strCache>
                <c:ptCount val="4"/>
                <c:pt idx="0">
                  <c:v>11/14/2022 - 11/29/2022</c:v>
                </c:pt>
                <c:pt idx="1">
                  <c:v>11/28/2022 - 12/13/2022</c:v>
                </c:pt>
                <c:pt idx="2">
                  <c:v>12/14/2022 - 12/27/2022</c:v>
                </c:pt>
                <c:pt idx="3">
                  <c:v>12/28/2022 - 1/16/2023</c:v>
                </c:pt>
              </c:strCache>
            </c:strRef>
          </c:cat>
          <c:val>
            <c:numRef>
              <c:f>'1-16-2023 Trends Weekly'!$B$3:$B$6</c:f>
              <c:numCache>
                <c:formatCode>0.00</c:formatCode>
                <c:ptCount val="4"/>
                <c:pt idx="0">
                  <c:v>2.1786492374727668</c:v>
                </c:pt>
                <c:pt idx="1">
                  <c:v>1.2605042016806722</c:v>
                </c:pt>
                <c:pt idx="2">
                  <c:v>0.49504950495049505</c:v>
                </c:pt>
                <c:pt idx="3">
                  <c:v>0.55555555555555558</c:v>
                </c:pt>
              </c:numCache>
            </c:numRef>
          </c:val>
          <c:smooth val="0"/>
          <c:extLst>
            <c:ext xmlns:c16="http://schemas.microsoft.com/office/drawing/2014/chart" uri="{C3380CC4-5D6E-409C-BE32-E72D297353CC}">
              <c16:uniqueId val="{00000000-0FE8-4218-A0F6-CC5DB901B1ED}"/>
            </c:ext>
          </c:extLst>
        </c:ser>
        <c:ser>
          <c:idx val="1"/>
          <c:order val="1"/>
          <c:tx>
            <c:strRef>
              <c:f>'1-16-2023 Trends Weekly'!$C$2</c:f>
              <c:strCache>
                <c:ptCount val="1"/>
                <c:pt idx="0">
                  <c:v>Mobile Check-in Bad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2"/>
                </a:solidFill>
                <a:prstDash val="sysDot"/>
              </a:ln>
              <a:effectLst/>
            </c:spPr>
            <c:trendlineType val="linear"/>
            <c:dispRSqr val="0"/>
            <c:dispEq val="0"/>
          </c:trendline>
          <c:cat>
            <c:strRef>
              <c:f>'1-16-2023 Trends Weekly'!$A$3:$A$6</c:f>
              <c:strCache>
                <c:ptCount val="4"/>
                <c:pt idx="0">
                  <c:v>11/14/2022 - 11/29/2022</c:v>
                </c:pt>
                <c:pt idx="1">
                  <c:v>11/28/2022 - 12/13/2022</c:v>
                </c:pt>
                <c:pt idx="2">
                  <c:v>12/14/2022 - 12/27/2022</c:v>
                </c:pt>
                <c:pt idx="3">
                  <c:v>12/28/2022 - 1/16/2023</c:v>
                </c:pt>
              </c:strCache>
            </c:strRef>
          </c:cat>
          <c:val>
            <c:numRef>
              <c:f>'1-16-2023 Trends Weekly'!$C$3:$C$6</c:f>
              <c:numCache>
                <c:formatCode>0.00</c:formatCode>
                <c:ptCount val="4"/>
                <c:pt idx="0">
                  <c:v>9.1503267973856204</c:v>
                </c:pt>
                <c:pt idx="1">
                  <c:v>9.4537815126050422</c:v>
                </c:pt>
                <c:pt idx="2">
                  <c:v>5.9405940594059405</c:v>
                </c:pt>
                <c:pt idx="3">
                  <c:v>6.666666666666667</c:v>
                </c:pt>
              </c:numCache>
            </c:numRef>
          </c:val>
          <c:smooth val="0"/>
          <c:extLst>
            <c:ext xmlns:c16="http://schemas.microsoft.com/office/drawing/2014/chart" uri="{C3380CC4-5D6E-409C-BE32-E72D297353CC}">
              <c16:uniqueId val="{00000001-0FE8-4218-A0F6-CC5DB901B1ED}"/>
            </c:ext>
          </c:extLst>
        </c:ser>
        <c:dLbls>
          <c:dLblPos val="t"/>
          <c:showLegendKey val="0"/>
          <c:showVal val="1"/>
          <c:showCatName val="0"/>
          <c:showSerName val="0"/>
          <c:showPercent val="0"/>
          <c:showBubbleSize val="0"/>
        </c:dLbls>
        <c:marker val="1"/>
        <c:smooth val="0"/>
        <c:axId val="690993824"/>
        <c:axId val="690994480"/>
      </c:lineChart>
      <c:catAx>
        <c:axId val="6909938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Reporting Period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0994480"/>
        <c:crosses val="autoZero"/>
        <c:auto val="1"/>
        <c:lblAlgn val="ctr"/>
        <c:lblOffset val="100"/>
        <c:noMultiLvlLbl val="0"/>
      </c:catAx>
      <c:valAx>
        <c:axId val="6909944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Percentage of All Comments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0993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General Check-in Comments</a:t>
            </a:r>
            <a:br>
              <a:rPr lang="en-US"/>
            </a:br>
            <a:r>
              <a:rPr lang="en-US"/>
              <a:t>(Percentage Across Reporting</a:t>
            </a:r>
            <a:r>
              <a:rPr lang="en-US" baseline="0"/>
              <a:t> Periods)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'1-16-2023 Trends Weekly'!$D$2</c:f>
              <c:strCache>
                <c:ptCount val="1"/>
                <c:pt idx="0">
                  <c:v>General Check-in Good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solidFill>
                <a:prstDash val="sysDot"/>
              </a:ln>
              <a:effectLst/>
            </c:spPr>
            <c:trendlineType val="linear"/>
            <c:dispRSqr val="0"/>
            <c:dispEq val="0"/>
          </c:trendline>
          <c:cat>
            <c:strRef>
              <c:f>'1-16-2023 Trends Weekly'!$A$3:$A$6</c:f>
              <c:strCache>
                <c:ptCount val="4"/>
                <c:pt idx="0">
                  <c:v>11/14/2022 - 11/29/2022</c:v>
                </c:pt>
                <c:pt idx="1">
                  <c:v>11/28/2022 - 12/13/2022</c:v>
                </c:pt>
                <c:pt idx="2">
                  <c:v>12/14/2022 - 12/27/2022</c:v>
                </c:pt>
                <c:pt idx="3">
                  <c:v>12/28/2022 - 1/16/2023</c:v>
                </c:pt>
              </c:strCache>
            </c:strRef>
          </c:cat>
          <c:val>
            <c:numRef>
              <c:f>'1-16-2023 Trends Weekly'!$D$3:$D$6</c:f>
              <c:numCache>
                <c:formatCode>0.00</c:formatCode>
                <c:ptCount val="4"/>
                <c:pt idx="0">
                  <c:v>6.318082788671024</c:v>
                </c:pt>
                <c:pt idx="1">
                  <c:v>6.3025210084033612</c:v>
                </c:pt>
                <c:pt idx="2">
                  <c:v>14.603960396039604</c:v>
                </c:pt>
                <c:pt idx="3">
                  <c:v>16.388888888888889</c:v>
                </c:pt>
              </c:numCache>
            </c:numRef>
          </c:val>
          <c:smooth val="0"/>
          <c:extLst>
            <c:ext xmlns:c16="http://schemas.microsoft.com/office/drawing/2014/chart" uri="{C3380CC4-5D6E-409C-BE32-E72D297353CC}">
              <c16:uniqueId val="{00000000-5353-4F5C-B6D7-DC6876B56E02}"/>
            </c:ext>
          </c:extLst>
        </c:ser>
        <c:ser>
          <c:idx val="1"/>
          <c:order val="1"/>
          <c:tx>
            <c:strRef>
              <c:f>'1-16-2023 Trends Weekly'!$E$2</c:f>
              <c:strCache>
                <c:ptCount val="1"/>
                <c:pt idx="0">
                  <c:v>General Check-in Bad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2"/>
                </a:solidFill>
                <a:prstDash val="sysDot"/>
              </a:ln>
              <a:effectLst/>
            </c:spPr>
            <c:trendlineType val="linear"/>
            <c:dispRSqr val="0"/>
            <c:dispEq val="0"/>
          </c:trendline>
          <c:cat>
            <c:strRef>
              <c:f>'1-16-2023 Trends Weekly'!$A$3:$A$6</c:f>
              <c:strCache>
                <c:ptCount val="4"/>
                <c:pt idx="0">
                  <c:v>11/14/2022 - 11/29/2022</c:v>
                </c:pt>
                <c:pt idx="1">
                  <c:v>11/28/2022 - 12/13/2022</c:v>
                </c:pt>
                <c:pt idx="2">
                  <c:v>12/14/2022 - 12/27/2022</c:v>
                </c:pt>
                <c:pt idx="3">
                  <c:v>12/28/2022 - 1/16/2023</c:v>
                </c:pt>
              </c:strCache>
            </c:strRef>
          </c:cat>
          <c:val>
            <c:numRef>
              <c:f>'1-16-2023 Trends Weekly'!$E$3:$E$6</c:f>
              <c:numCache>
                <c:formatCode>0.00</c:formatCode>
                <c:ptCount val="4"/>
                <c:pt idx="0">
                  <c:v>12.854030501089325</c:v>
                </c:pt>
                <c:pt idx="1">
                  <c:v>13.445378151260504</c:v>
                </c:pt>
                <c:pt idx="2">
                  <c:v>10.14851485148515</c:v>
                </c:pt>
                <c:pt idx="3">
                  <c:v>11.388888888888889</c:v>
                </c:pt>
              </c:numCache>
            </c:numRef>
          </c:val>
          <c:smooth val="0"/>
          <c:extLst>
            <c:ext xmlns:c16="http://schemas.microsoft.com/office/drawing/2014/chart" uri="{C3380CC4-5D6E-409C-BE32-E72D297353CC}">
              <c16:uniqueId val="{00000001-5353-4F5C-B6D7-DC6876B56E02}"/>
            </c:ext>
          </c:extLst>
        </c:ser>
        <c:dLbls>
          <c:dLblPos val="t"/>
          <c:showLegendKey val="0"/>
          <c:showVal val="1"/>
          <c:showCatName val="0"/>
          <c:showSerName val="0"/>
          <c:showPercent val="0"/>
          <c:showBubbleSize val="0"/>
        </c:dLbls>
        <c:marker val="1"/>
        <c:smooth val="0"/>
        <c:axId val="808175008"/>
        <c:axId val="808172712"/>
      </c:lineChart>
      <c:catAx>
        <c:axId val="8081750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Reporting Period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8172712"/>
        <c:crosses val="autoZero"/>
        <c:auto val="1"/>
        <c:lblAlgn val="ctr"/>
        <c:lblOffset val="100"/>
        <c:noMultiLvlLbl val="0"/>
      </c:catAx>
      <c:valAx>
        <c:axId val="8081727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Percentag e of All Comments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81750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Kiosk Comments</a:t>
            </a:r>
            <a:br>
              <a:rPr lang="en-US"/>
            </a:br>
            <a:r>
              <a:rPr lang="en-US"/>
              <a:t>(Percentage Across</a:t>
            </a:r>
            <a:r>
              <a:rPr lang="en-US" baseline="0"/>
              <a:t> Reporting Periods)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'1-16-2023 Trends Weekly'!$F$2</c:f>
              <c:strCache>
                <c:ptCount val="1"/>
                <c:pt idx="0">
                  <c:v>Kiosk Good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solidFill>
                <a:prstDash val="sysDot"/>
              </a:ln>
              <a:effectLst/>
            </c:spPr>
            <c:trendlineType val="linear"/>
            <c:dispRSqr val="0"/>
            <c:dispEq val="0"/>
          </c:trendline>
          <c:cat>
            <c:strRef>
              <c:f>'1-16-2023 Trends Weekly'!$A$3:$A$6</c:f>
              <c:strCache>
                <c:ptCount val="4"/>
                <c:pt idx="0">
                  <c:v>11/14/2022 - 11/29/2022</c:v>
                </c:pt>
                <c:pt idx="1">
                  <c:v>11/28/2022 - 12/13/2022</c:v>
                </c:pt>
                <c:pt idx="2">
                  <c:v>12/14/2022 - 12/27/2022</c:v>
                </c:pt>
                <c:pt idx="3">
                  <c:v>12/28/2022 - 1/16/2023</c:v>
                </c:pt>
              </c:strCache>
            </c:strRef>
          </c:cat>
          <c:val>
            <c:numRef>
              <c:f>'1-16-2023 Trends Weekly'!$F$3:$F$6</c:f>
              <c:numCache>
                <c:formatCode>0.00</c:formatCode>
                <c:ptCount val="4"/>
                <c:pt idx="0">
                  <c:v>20.043572984749456</c:v>
                </c:pt>
                <c:pt idx="1">
                  <c:v>16.596638655462183</c:v>
                </c:pt>
                <c:pt idx="2">
                  <c:v>16.089108910891088</c:v>
                </c:pt>
                <c:pt idx="3">
                  <c:v>11.944444444444445</c:v>
                </c:pt>
              </c:numCache>
            </c:numRef>
          </c:val>
          <c:smooth val="0"/>
          <c:extLst>
            <c:ext xmlns:c16="http://schemas.microsoft.com/office/drawing/2014/chart" uri="{C3380CC4-5D6E-409C-BE32-E72D297353CC}">
              <c16:uniqueId val="{00000000-97DD-4A85-972E-2B56ABDDE1F2}"/>
            </c:ext>
          </c:extLst>
        </c:ser>
        <c:ser>
          <c:idx val="1"/>
          <c:order val="1"/>
          <c:tx>
            <c:strRef>
              <c:f>'1-16-2023 Trends Weekly'!$G$2</c:f>
              <c:strCache>
                <c:ptCount val="1"/>
                <c:pt idx="0">
                  <c:v>Kiosk Bad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2"/>
                </a:solidFill>
                <a:prstDash val="sysDot"/>
              </a:ln>
              <a:effectLst/>
            </c:spPr>
            <c:trendlineType val="linear"/>
            <c:dispRSqr val="0"/>
            <c:dispEq val="0"/>
          </c:trendline>
          <c:cat>
            <c:strRef>
              <c:f>'1-16-2023 Trends Weekly'!$A$3:$A$6</c:f>
              <c:strCache>
                <c:ptCount val="4"/>
                <c:pt idx="0">
                  <c:v>11/14/2022 - 11/29/2022</c:v>
                </c:pt>
                <c:pt idx="1">
                  <c:v>11/28/2022 - 12/13/2022</c:v>
                </c:pt>
                <c:pt idx="2">
                  <c:v>12/14/2022 - 12/27/2022</c:v>
                </c:pt>
                <c:pt idx="3">
                  <c:v>12/28/2022 - 1/16/2023</c:v>
                </c:pt>
              </c:strCache>
            </c:strRef>
          </c:cat>
          <c:val>
            <c:numRef>
              <c:f>'1-16-2023 Trends Weekly'!$G$3:$G$6</c:f>
              <c:numCache>
                <c:formatCode>0.00</c:formatCode>
                <c:ptCount val="4"/>
                <c:pt idx="0">
                  <c:v>5.0108932461873641</c:v>
                </c:pt>
                <c:pt idx="1">
                  <c:v>4.2016806722689077</c:v>
                </c:pt>
                <c:pt idx="2">
                  <c:v>5.4455445544554459</c:v>
                </c:pt>
                <c:pt idx="3">
                  <c:v>2.7777777777777777</c:v>
                </c:pt>
              </c:numCache>
            </c:numRef>
          </c:val>
          <c:smooth val="0"/>
          <c:extLst>
            <c:ext xmlns:c16="http://schemas.microsoft.com/office/drawing/2014/chart" uri="{C3380CC4-5D6E-409C-BE32-E72D297353CC}">
              <c16:uniqueId val="{00000001-97DD-4A85-972E-2B56ABDDE1F2}"/>
            </c:ext>
          </c:extLst>
        </c:ser>
        <c:dLbls>
          <c:dLblPos val="t"/>
          <c:showLegendKey val="0"/>
          <c:showVal val="1"/>
          <c:showCatName val="0"/>
          <c:showSerName val="0"/>
          <c:showPercent val="0"/>
          <c:showBubbleSize val="0"/>
        </c:dLbls>
        <c:marker val="1"/>
        <c:smooth val="0"/>
        <c:axId val="813312592"/>
        <c:axId val="813312920"/>
      </c:lineChart>
      <c:catAx>
        <c:axId val="8133125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Reporting Period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3312920"/>
        <c:crosses val="autoZero"/>
        <c:auto val="1"/>
        <c:lblAlgn val="ctr"/>
        <c:lblOffset val="100"/>
        <c:noMultiLvlLbl val="0"/>
      </c:catAx>
      <c:valAx>
        <c:axId val="8133129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Percentage of All Comments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3312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Staff</a:t>
            </a:r>
            <a:r>
              <a:rPr lang="en-US" baseline="0"/>
              <a:t> Attitude Comments</a:t>
            </a:r>
            <a:br>
              <a:rPr lang="en-US" baseline="0"/>
            </a:br>
            <a:r>
              <a:rPr lang="en-US" baseline="0"/>
              <a:t>(Percentage Across Reporting Periods)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'1-16-2023 Trends Weekly'!$H$2</c:f>
              <c:strCache>
                <c:ptCount val="1"/>
                <c:pt idx="0">
                  <c:v>Staff Attitude Good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solidFill>
                <a:prstDash val="sysDot"/>
              </a:ln>
              <a:effectLst/>
            </c:spPr>
            <c:trendlineType val="linear"/>
            <c:dispRSqr val="0"/>
            <c:dispEq val="0"/>
          </c:trendline>
          <c:cat>
            <c:strRef>
              <c:f>'1-16-2023 Trends Weekly'!$A$3:$A$6</c:f>
              <c:strCache>
                <c:ptCount val="4"/>
                <c:pt idx="0">
                  <c:v>11/14/2022 - 11/29/2022</c:v>
                </c:pt>
                <c:pt idx="1">
                  <c:v>11/28/2022 - 12/13/2022</c:v>
                </c:pt>
                <c:pt idx="2">
                  <c:v>12/14/2022 - 12/27/2022</c:v>
                </c:pt>
                <c:pt idx="3">
                  <c:v>12/28/2022 - 1/16/2023</c:v>
                </c:pt>
              </c:strCache>
            </c:strRef>
          </c:cat>
          <c:val>
            <c:numRef>
              <c:f>'1-16-2023 Trends Weekly'!$H$3:$H$6</c:f>
              <c:numCache>
                <c:formatCode>0.00</c:formatCode>
                <c:ptCount val="4"/>
                <c:pt idx="0">
                  <c:v>32.461873638344223</c:v>
                </c:pt>
                <c:pt idx="1">
                  <c:v>38.02521008403361</c:v>
                </c:pt>
                <c:pt idx="2">
                  <c:v>32.425742574257427</c:v>
                </c:pt>
                <c:pt idx="3">
                  <c:v>37.5</c:v>
                </c:pt>
              </c:numCache>
            </c:numRef>
          </c:val>
          <c:smooth val="0"/>
          <c:extLst>
            <c:ext xmlns:c16="http://schemas.microsoft.com/office/drawing/2014/chart" uri="{C3380CC4-5D6E-409C-BE32-E72D297353CC}">
              <c16:uniqueId val="{00000000-E6C1-48A1-828C-C7A8CB39F96E}"/>
            </c:ext>
          </c:extLst>
        </c:ser>
        <c:ser>
          <c:idx val="1"/>
          <c:order val="1"/>
          <c:tx>
            <c:strRef>
              <c:f>'1-16-2023 Trends Weekly'!$I$2</c:f>
              <c:strCache>
                <c:ptCount val="1"/>
                <c:pt idx="0">
                  <c:v>Staff Attitude Bad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2"/>
                </a:solidFill>
                <a:prstDash val="sysDot"/>
              </a:ln>
              <a:effectLst/>
            </c:spPr>
            <c:trendlineType val="linear"/>
            <c:dispRSqr val="0"/>
            <c:dispEq val="0"/>
          </c:trendline>
          <c:cat>
            <c:strRef>
              <c:f>'1-16-2023 Trends Weekly'!$A$3:$A$6</c:f>
              <c:strCache>
                <c:ptCount val="4"/>
                <c:pt idx="0">
                  <c:v>11/14/2022 - 11/29/2022</c:v>
                </c:pt>
                <c:pt idx="1">
                  <c:v>11/28/2022 - 12/13/2022</c:v>
                </c:pt>
                <c:pt idx="2">
                  <c:v>12/14/2022 - 12/27/2022</c:v>
                </c:pt>
                <c:pt idx="3">
                  <c:v>12/28/2022 - 1/16/2023</c:v>
                </c:pt>
              </c:strCache>
            </c:strRef>
          </c:cat>
          <c:val>
            <c:numRef>
              <c:f>'1-16-2023 Trends Weekly'!$I$3:$I$6</c:f>
              <c:numCache>
                <c:formatCode>0.00</c:formatCode>
                <c:ptCount val="4"/>
                <c:pt idx="0">
                  <c:v>9.5860566448801734</c:v>
                </c:pt>
                <c:pt idx="1">
                  <c:v>11.344537815126051</c:v>
                </c:pt>
                <c:pt idx="2">
                  <c:v>13.861386138613863</c:v>
                </c:pt>
                <c:pt idx="3">
                  <c:v>14.166666666666666</c:v>
                </c:pt>
              </c:numCache>
            </c:numRef>
          </c:val>
          <c:smooth val="0"/>
          <c:extLst>
            <c:ext xmlns:c16="http://schemas.microsoft.com/office/drawing/2014/chart" uri="{C3380CC4-5D6E-409C-BE32-E72D297353CC}">
              <c16:uniqueId val="{00000001-E6C1-48A1-828C-C7A8CB39F96E}"/>
            </c:ext>
          </c:extLst>
        </c:ser>
        <c:dLbls>
          <c:dLblPos val="t"/>
          <c:showLegendKey val="0"/>
          <c:showVal val="1"/>
          <c:showCatName val="0"/>
          <c:showSerName val="0"/>
          <c:showPercent val="0"/>
          <c:showBubbleSize val="0"/>
        </c:dLbls>
        <c:marker val="1"/>
        <c:smooth val="0"/>
        <c:axId val="395659888"/>
        <c:axId val="395661200"/>
      </c:lineChart>
      <c:catAx>
        <c:axId val="39565988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Reporting Period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5661200"/>
        <c:crosses val="autoZero"/>
        <c:auto val="1"/>
        <c:lblAlgn val="ctr"/>
        <c:lblOffset val="100"/>
        <c:noMultiLvlLbl val="0"/>
      </c:catAx>
      <c:valAx>
        <c:axId val="3956612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Percentage of All Comments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56598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Wait Time (</a:t>
            </a:r>
            <a:r>
              <a:rPr lang="en-US" baseline="0"/>
              <a:t>Arrival to Checkout) Comments</a:t>
            </a:r>
            <a:br>
              <a:rPr lang="en-US" baseline="0"/>
            </a:br>
            <a:r>
              <a:rPr lang="en-US" baseline="0"/>
              <a:t>(Percentage Across Reporting Periods)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'1-16-2023 Trends Weekly'!$M$2</c:f>
              <c:strCache>
                <c:ptCount val="1"/>
                <c:pt idx="0">
                  <c:v>Wait times Good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solidFill>
                <a:prstDash val="sysDot"/>
              </a:ln>
              <a:effectLst/>
            </c:spPr>
            <c:trendlineType val="linear"/>
            <c:dispRSqr val="0"/>
            <c:dispEq val="0"/>
          </c:trendline>
          <c:cat>
            <c:strRef>
              <c:f>'1-16-2023 Trends Weekly'!$A$3:$A$6</c:f>
              <c:strCache>
                <c:ptCount val="4"/>
                <c:pt idx="0">
                  <c:v>11/14/2022 - 11/29/2022</c:v>
                </c:pt>
                <c:pt idx="1">
                  <c:v>11/28/2022 - 12/13/2022</c:v>
                </c:pt>
                <c:pt idx="2">
                  <c:v>12/14/2022 - 12/27/2022</c:v>
                </c:pt>
                <c:pt idx="3">
                  <c:v>12/28/2022 - 1/16/2023</c:v>
                </c:pt>
              </c:strCache>
            </c:strRef>
          </c:cat>
          <c:val>
            <c:numRef>
              <c:f>'1-16-2023 Trends Weekly'!$M$3:$M$6</c:f>
              <c:numCache>
                <c:formatCode>0.00</c:formatCode>
                <c:ptCount val="4"/>
                <c:pt idx="0">
                  <c:v>4.3572984749455337</c:v>
                </c:pt>
                <c:pt idx="1">
                  <c:v>3.3613445378151261</c:v>
                </c:pt>
                <c:pt idx="2">
                  <c:v>4.7029702970297027</c:v>
                </c:pt>
                <c:pt idx="3">
                  <c:v>6.3888888888888884</c:v>
                </c:pt>
              </c:numCache>
            </c:numRef>
          </c:val>
          <c:smooth val="0"/>
          <c:extLst>
            <c:ext xmlns:c16="http://schemas.microsoft.com/office/drawing/2014/chart" uri="{C3380CC4-5D6E-409C-BE32-E72D297353CC}">
              <c16:uniqueId val="{00000000-84A7-484E-AFC7-AFBD6BE12330}"/>
            </c:ext>
          </c:extLst>
        </c:ser>
        <c:ser>
          <c:idx val="1"/>
          <c:order val="1"/>
          <c:tx>
            <c:strRef>
              <c:f>'1-16-2023 Trends Weekly'!$N$2</c:f>
              <c:strCache>
                <c:ptCount val="1"/>
                <c:pt idx="0">
                  <c:v>Wait times Bad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2"/>
                </a:solidFill>
                <a:prstDash val="sysDot"/>
              </a:ln>
              <a:effectLst/>
            </c:spPr>
            <c:trendlineType val="linear"/>
            <c:dispRSqr val="0"/>
            <c:dispEq val="0"/>
          </c:trendline>
          <c:cat>
            <c:strRef>
              <c:f>'1-16-2023 Trends Weekly'!$A$3:$A$6</c:f>
              <c:strCache>
                <c:ptCount val="4"/>
                <c:pt idx="0">
                  <c:v>11/14/2022 - 11/29/2022</c:v>
                </c:pt>
                <c:pt idx="1">
                  <c:v>11/28/2022 - 12/13/2022</c:v>
                </c:pt>
                <c:pt idx="2">
                  <c:v>12/14/2022 - 12/27/2022</c:v>
                </c:pt>
                <c:pt idx="3">
                  <c:v>12/28/2022 - 1/16/2023</c:v>
                </c:pt>
              </c:strCache>
            </c:strRef>
          </c:cat>
          <c:val>
            <c:numRef>
              <c:f>'1-16-2023 Trends Weekly'!$N$3:$N$6</c:f>
              <c:numCache>
                <c:formatCode>0.00</c:formatCode>
                <c:ptCount val="4"/>
                <c:pt idx="0">
                  <c:v>12.418300653594772</c:v>
                </c:pt>
                <c:pt idx="1">
                  <c:v>6.9327731092436977</c:v>
                </c:pt>
                <c:pt idx="2">
                  <c:v>11.633663366336634</c:v>
                </c:pt>
                <c:pt idx="3">
                  <c:v>15</c:v>
                </c:pt>
              </c:numCache>
            </c:numRef>
          </c:val>
          <c:smooth val="0"/>
          <c:extLst>
            <c:ext xmlns:c16="http://schemas.microsoft.com/office/drawing/2014/chart" uri="{C3380CC4-5D6E-409C-BE32-E72D297353CC}">
              <c16:uniqueId val="{00000001-84A7-484E-AFC7-AFBD6BE12330}"/>
            </c:ext>
          </c:extLst>
        </c:ser>
        <c:dLbls>
          <c:dLblPos val="t"/>
          <c:showLegendKey val="0"/>
          <c:showVal val="1"/>
          <c:showCatName val="0"/>
          <c:showSerName val="0"/>
          <c:showPercent val="0"/>
          <c:showBubbleSize val="0"/>
        </c:dLbls>
        <c:marker val="1"/>
        <c:smooth val="0"/>
        <c:axId val="702911072"/>
        <c:axId val="702903856"/>
      </c:lineChart>
      <c:catAx>
        <c:axId val="70291107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Reporting Period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2903856"/>
        <c:crosses val="autoZero"/>
        <c:auto val="1"/>
        <c:lblAlgn val="ctr"/>
        <c:lblOffset val="100"/>
        <c:noMultiLvlLbl val="0"/>
      </c:catAx>
      <c:valAx>
        <c:axId val="7029038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Percentage of All Comments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29110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General Check-in Comments</a:t>
            </a:r>
            <a:br>
              <a:rPr lang="en-US"/>
            </a:br>
            <a:r>
              <a:rPr lang="en-US"/>
              <a:t>(Total Comments Over 2 Weeks)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'Outpatient (Old)'!$O$1</c:f>
              <c:strCache>
                <c:ptCount val="1"/>
                <c:pt idx="0">
                  <c:v>General Check-in - Good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cat>
            <c:numRef>
              <c:f>'Outpatient (Old)'!$I$3408:$I$3421</c:f>
              <c:numCache>
                <c:formatCode>m/d/yyyy</c:formatCode>
                <c:ptCount val="14"/>
                <c:pt idx="0">
                  <c:v>44909</c:v>
                </c:pt>
                <c:pt idx="1">
                  <c:v>44910</c:v>
                </c:pt>
                <c:pt idx="2">
                  <c:v>44911</c:v>
                </c:pt>
                <c:pt idx="3">
                  <c:v>44912</c:v>
                </c:pt>
                <c:pt idx="4">
                  <c:v>44913</c:v>
                </c:pt>
                <c:pt idx="5">
                  <c:v>44914</c:v>
                </c:pt>
                <c:pt idx="6">
                  <c:v>44915</c:v>
                </c:pt>
                <c:pt idx="7">
                  <c:v>44916</c:v>
                </c:pt>
                <c:pt idx="8">
                  <c:v>44917</c:v>
                </c:pt>
                <c:pt idx="9">
                  <c:v>44918</c:v>
                </c:pt>
                <c:pt idx="10">
                  <c:v>44919</c:v>
                </c:pt>
                <c:pt idx="11">
                  <c:v>44920</c:v>
                </c:pt>
                <c:pt idx="12">
                  <c:v>44921</c:v>
                </c:pt>
                <c:pt idx="13">
                  <c:v>44922</c:v>
                </c:pt>
              </c:numCache>
            </c:numRef>
          </c:cat>
          <c:val>
            <c:numRef>
              <c:f>'Outpatient (Old)'!$O$3408:$O$3421</c:f>
              <c:numCache>
                <c:formatCode>General</c:formatCode>
                <c:ptCount val="14"/>
                <c:pt idx="0">
                  <c:v>2</c:v>
                </c:pt>
                <c:pt idx="1">
                  <c:v>1</c:v>
                </c:pt>
                <c:pt idx="2">
                  <c:v>8</c:v>
                </c:pt>
                <c:pt idx="3">
                  <c:v>6</c:v>
                </c:pt>
                <c:pt idx="4">
                  <c:v>2</c:v>
                </c:pt>
                <c:pt idx="5">
                  <c:v>0</c:v>
                </c:pt>
                <c:pt idx="6">
                  <c:v>6</c:v>
                </c:pt>
                <c:pt idx="7">
                  <c:v>5</c:v>
                </c:pt>
                <c:pt idx="8">
                  <c:v>4</c:v>
                </c:pt>
                <c:pt idx="9">
                  <c:v>13</c:v>
                </c:pt>
                <c:pt idx="10">
                  <c:v>4</c:v>
                </c:pt>
                <c:pt idx="11">
                  <c:v>3</c:v>
                </c:pt>
                <c:pt idx="12">
                  <c:v>3</c:v>
                </c:pt>
                <c:pt idx="13">
                  <c:v>2</c:v>
                </c:pt>
              </c:numCache>
            </c:numRef>
          </c:val>
          <c:smooth val="0"/>
          <c:extLst>
            <c:ext xmlns:c16="http://schemas.microsoft.com/office/drawing/2014/chart" uri="{C3380CC4-5D6E-409C-BE32-E72D297353CC}">
              <c16:uniqueId val="{00000001-B846-46E2-9ECA-7ACCAB63C1C3}"/>
            </c:ext>
          </c:extLst>
        </c:ser>
        <c:ser>
          <c:idx val="1"/>
          <c:order val="1"/>
          <c:tx>
            <c:strRef>
              <c:f>'Outpatient (Old)'!$P$1</c:f>
              <c:strCache>
                <c:ptCount val="1"/>
                <c:pt idx="0">
                  <c:v>General Check-in - Bad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linear"/>
            <c:dispRSqr val="0"/>
            <c:dispEq val="0"/>
          </c:trendline>
          <c:cat>
            <c:numRef>
              <c:f>'Outpatient (Old)'!$I$3408:$I$3421</c:f>
              <c:numCache>
                <c:formatCode>m/d/yyyy</c:formatCode>
                <c:ptCount val="14"/>
                <c:pt idx="0">
                  <c:v>44909</c:v>
                </c:pt>
                <c:pt idx="1">
                  <c:v>44910</c:v>
                </c:pt>
                <c:pt idx="2">
                  <c:v>44911</c:v>
                </c:pt>
                <c:pt idx="3">
                  <c:v>44912</c:v>
                </c:pt>
                <c:pt idx="4">
                  <c:v>44913</c:v>
                </c:pt>
                <c:pt idx="5">
                  <c:v>44914</c:v>
                </c:pt>
                <c:pt idx="6">
                  <c:v>44915</c:v>
                </c:pt>
                <c:pt idx="7">
                  <c:v>44916</c:v>
                </c:pt>
                <c:pt idx="8">
                  <c:v>44917</c:v>
                </c:pt>
                <c:pt idx="9">
                  <c:v>44918</c:v>
                </c:pt>
                <c:pt idx="10">
                  <c:v>44919</c:v>
                </c:pt>
                <c:pt idx="11">
                  <c:v>44920</c:v>
                </c:pt>
                <c:pt idx="12">
                  <c:v>44921</c:v>
                </c:pt>
                <c:pt idx="13">
                  <c:v>44922</c:v>
                </c:pt>
              </c:numCache>
            </c:numRef>
          </c:cat>
          <c:val>
            <c:numRef>
              <c:f>'Outpatient (Old)'!$P$3408:$P$3421</c:f>
              <c:numCache>
                <c:formatCode>General</c:formatCode>
                <c:ptCount val="14"/>
                <c:pt idx="0">
                  <c:v>5</c:v>
                </c:pt>
                <c:pt idx="1">
                  <c:v>1</c:v>
                </c:pt>
                <c:pt idx="2">
                  <c:v>0</c:v>
                </c:pt>
                <c:pt idx="3">
                  <c:v>7</c:v>
                </c:pt>
                <c:pt idx="4">
                  <c:v>4</c:v>
                </c:pt>
                <c:pt idx="5">
                  <c:v>2</c:v>
                </c:pt>
                <c:pt idx="6">
                  <c:v>4</c:v>
                </c:pt>
                <c:pt idx="7">
                  <c:v>5</c:v>
                </c:pt>
                <c:pt idx="8">
                  <c:v>3</c:v>
                </c:pt>
                <c:pt idx="9">
                  <c:v>5</c:v>
                </c:pt>
                <c:pt idx="10">
                  <c:v>2</c:v>
                </c:pt>
                <c:pt idx="11">
                  <c:v>1</c:v>
                </c:pt>
                <c:pt idx="12">
                  <c:v>1</c:v>
                </c:pt>
                <c:pt idx="13">
                  <c:v>1</c:v>
                </c:pt>
              </c:numCache>
            </c:numRef>
          </c:val>
          <c:smooth val="0"/>
          <c:extLst>
            <c:ext xmlns:c16="http://schemas.microsoft.com/office/drawing/2014/chart" uri="{C3380CC4-5D6E-409C-BE32-E72D297353CC}">
              <c16:uniqueId val="{00000003-B846-46E2-9ECA-7ACCAB63C1C3}"/>
            </c:ext>
          </c:extLst>
        </c:ser>
        <c:dLbls>
          <c:showLegendKey val="0"/>
          <c:showVal val="0"/>
          <c:showCatName val="0"/>
          <c:showSerName val="0"/>
          <c:showPercent val="0"/>
          <c:showBubbleSize val="0"/>
        </c:dLbls>
        <c:marker val="1"/>
        <c:smooth val="0"/>
        <c:axId val="871302824"/>
        <c:axId val="871306760"/>
      </c:lineChart>
      <c:dateAx>
        <c:axId val="8713028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1306760"/>
        <c:crosses val="autoZero"/>
        <c:auto val="1"/>
        <c:lblOffset val="100"/>
        <c:baseTimeUnit val="days"/>
      </c:dateAx>
      <c:valAx>
        <c:axId val="8713067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Number of Comments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1302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Kiosk Comments</a:t>
            </a:r>
            <a:br>
              <a:rPr lang="en-US"/>
            </a:br>
            <a:r>
              <a:rPr lang="en-US"/>
              <a:t>(Total Comments Over 2 Weeks)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'Outpatient (Old)'!$Q$1</c:f>
              <c:strCache>
                <c:ptCount val="1"/>
                <c:pt idx="0">
                  <c:v>Kiosk - Good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cat>
            <c:numRef>
              <c:f>'Outpatient (Old)'!$I$3408:$I$3421</c:f>
              <c:numCache>
                <c:formatCode>m/d/yyyy</c:formatCode>
                <c:ptCount val="14"/>
                <c:pt idx="0">
                  <c:v>44909</c:v>
                </c:pt>
                <c:pt idx="1">
                  <c:v>44910</c:v>
                </c:pt>
                <c:pt idx="2">
                  <c:v>44911</c:v>
                </c:pt>
                <c:pt idx="3">
                  <c:v>44912</c:v>
                </c:pt>
                <c:pt idx="4">
                  <c:v>44913</c:v>
                </c:pt>
                <c:pt idx="5">
                  <c:v>44914</c:v>
                </c:pt>
                <c:pt idx="6">
                  <c:v>44915</c:v>
                </c:pt>
                <c:pt idx="7">
                  <c:v>44916</c:v>
                </c:pt>
                <c:pt idx="8">
                  <c:v>44917</c:v>
                </c:pt>
                <c:pt idx="9">
                  <c:v>44918</c:v>
                </c:pt>
                <c:pt idx="10">
                  <c:v>44919</c:v>
                </c:pt>
                <c:pt idx="11">
                  <c:v>44920</c:v>
                </c:pt>
                <c:pt idx="12">
                  <c:v>44921</c:v>
                </c:pt>
                <c:pt idx="13">
                  <c:v>44922</c:v>
                </c:pt>
              </c:numCache>
            </c:numRef>
          </c:cat>
          <c:val>
            <c:numRef>
              <c:f>'Outpatient (Old)'!$Q$3408:$Q$3421</c:f>
              <c:numCache>
                <c:formatCode>General</c:formatCode>
                <c:ptCount val="14"/>
                <c:pt idx="0">
                  <c:v>5</c:v>
                </c:pt>
                <c:pt idx="1">
                  <c:v>2</c:v>
                </c:pt>
                <c:pt idx="2">
                  <c:v>7</c:v>
                </c:pt>
                <c:pt idx="3">
                  <c:v>10</c:v>
                </c:pt>
                <c:pt idx="4">
                  <c:v>5</c:v>
                </c:pt>
                <c:pt idx="5">
                  <c:v>3</c:v>
                </c:pt>
                <c:pt idx="6">
                  <c:v>7</c:v>
                </c:pt>
                <c:pt idx="7">
                  <c:v>7</c:v>
                </c:pt>
                <c:pt idx="8">
                  <c:v>1</c:v>
                </c:pt>
                <c:pt idx="9">
                  <c:v>3</c:v>
                </c:pt>
                <c:pt idx="10">
                  <c:v>8</c:v>
                </c:pt>
                <c:pt idx="11">
                  <c:v>1</c:v>
                </c:pt>
                <c:pt idx="12">
                  <c:v>2</c:v>
                </c:pt>
                <c:pt idx="13">
                  <c:v>4</c:v>
                </c:pt>
              </c:numCache>
            </c:numRef>
          </c:val>
          <c:smooth val="0"/>
          <c:extLst>
            <c:ext xmlns:c16="http://schemas.microsoft.com/office/drawing/2014/chart" uri="{C3380CC4-5D6E-409C-BE32-E72D297353CC}">
              <c16:uniqueId val="{00000001-AD66-427A-ABC4-2F3EAA57D617}"/>
            </c:ext>
          </c:extLst>
        </c:ser>
        <c:ser>
          <c:idx val="1"/>
          <c:order val="1"/>
          <c:tx>
            <c:strRef>
              <c:f>'Outpatient (Old)'!$R$1</c:f>
              <c:strCache>
                <c:ptCount val="1"/>
                <c:pt idx="0">
                  <c:v>Kiosk - Bad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linear"/>
            <c:dispRSqr val="0"/>
            <c:dispEq val="0"/>
          </c:trendline>
          <c:cat>
            <c:numRef>
              <c:f>'Outpatient (Old)'!$I$3408:$I$3421</c:f>
              <c:numCache>
                <c:formatCode>m/d/yyyy</c:formatCode>
                <c:ptCount val="14"/>
                <c:pt idx="0">
                  <c:v>44909</c:v>
                </c:pt>
                <c:pt idx="1">
                  <c:v>44910</c:v>
                </c:pt>
                <c:pt idx="2">
                  <c:v>44911</c:v>
                </c:pt>
                <c:pt idx="3">
                  <c:v>44912</c:v>
                </c:pt>
                <c:pt idx="4">
                  <c:v>44913</c:v>
                </c:pt>
                <c:pt idx="5">
                  <c:v>44914</c:v>
                </c:pt>
                <c:pt idx="6">
                  <c:v>44915</c:v>
                </c:pt>
                <c:pt idx="7">
                  <c:v>44916</c:v>
                </c:pt>
                <c:pt idx="8">
                  <c:v>44917</c:v>
                </c:pt>
                <c:pt idx="9">
                  <c:v>44918</c:v>
                </c:pt>
                <c:pt idx="10">
                  <c:v>44919</c:v>
                </c:pt>
                <c:pt idx="11">
                  <c:v>44920</c:v>
                </c:pt>
                <c:pt idx="12">
                  <c:v>44921</c:v>
                </c:pt>
                <c:pt idx="13">
                  <c:v>44922</c:v>
                </c:pt>
              </c:numCache>
            </c:numRef>
          </c:cat>
          <c:val>
            <c:numRef>
              <c:f>'Outpatient (Old)'!$R$3408:$R$3421</c:f>
              <c:numCache>
                <c:formatCode>General</c:formatCode>
                <c:ptCount val="14"/>
                <c:pt idx="0">
                  <c:v>1</c:v>
                </c:pt>
                <c:pt idx="1">
                  <c:v>1</c:v>
                </c:pt>
                <c:pt idx="2">
                  <c:v>2</c:v>
                </c:pt>
                <c:pt idx="3">
                  <c:v>2</c:v>
                </c:pt>
                <c:pt idx="4">
                  <c:v>3</c:v>
                </c:pt>
                <c:pt idx="5">
                  <c:v>0</c:v>
                </c:pt>
                <c:pt idx="6">
                  <c:v>2</c:v>
                </c:pt>
                <c:pt idx="7">
                  <c:v>3</c:v>
                </c:pt>
                <c:pt idx="8">
                  <c:v>3</c:v>
                </c:pt>
                <c:pt idx="9">
                  <c:v>2</c:v>
                </c:pt>
                <c:pt idx="10">
                  <c:v>2</c:v>
                </c:pt>
                <c:pt idx="11">
                  <c:v>0</c:v>
                </c:pt>
                <c:pt idx="12">
                  <c:v>1</c:v>
                </c:pt>
                <c:pt idx="13">
                  <c:v>0</c:v>
                </c:pt>
              </c:numCache>
            </c:numRef>
          </c:val>
          <c:smooth val="0"/>
          <c:extLst>
            <c:ext xmlns:c16="http://schemas.microsoft.com/office/drawing/2014/chart" uri="{C3380CC4-5D6E-409C-BE32-E72D297353CC}">
              <c16:uniqueId val="{00000003-AD66-427A-ABC4-2F3EAA57D617}"/>
            </c:ext>
          </c:extLst>
        </c:ser>
        <c:dLbls>
          <c:showLegendKey val="0"/>
          <c:showVal val="0"/>
          <c:showCatName val="0"/>
          <c:showSerName val="0"/>
          <c:showPercent val="0"/>
          <c:showBubbleSize val="0"/>
        </c:dLbls>
        <c:marker val="1"/>
        <c:smooth val="0"/>
        <c:axId val="765243320"/>
        <c:axId val="765243648"/>
      </c:lineChart>
      <c:dateAx>
        <c:axId val="76524332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5243648"/>
        <c:crosses val="autoZero"/>
        <c:auto val="1"/>
        <c:lblOffset val="100"/>
        <c:baseTimeUnit val="days"/>
      </c:dateAx>
      <c:valAx>
        <c:axId val="7652436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Number of Comments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52433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Staff Attitude Comments</a:t>
            </a:r>
            <a:br>
              <a:rPr lang="en-US"/>
            </a:br>
            <a:r>
              <a:rPr lang="en-US"/>
              <a:t>(Tota</a:t>
            </a:r>
            <a:r>
              <a:rPr lang="en-US" baseline="0"/>
              <a:t>l Comments Over 2 Weeks)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'Outpatient (Old)'!$S$1</c:f>
              <c:strCache>
                <c:ptCount val="1"/>
                <c:pt idx="0">
                  <c:v>Staff Attitude/ Interaction - Good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cat>
            <c:numRef>
              <c:f>'Outpatient (Old)'!$I$3408:$I$3421</c:f>
              <c:numCache>
                <c:formatCode>m/d/yyyy</c:formatCode>
                <c:ptCount val="14"/>
                <c:pt idx="0">
                  <c:v>44909</c:v>
                </c:pt>
                <c:pt idx="1">
                  <c:v>44910</c:v>
                </c:pt>
                <c:pt idx="2">
                  <c:v>44911</c:v>
                </c:pt>
                <c:pt idx="3">
                  <c:v>44912</c:v>
                </c:pt>
                <c:pt idx="4">
                  <c:v>44913</c:v>
                </c:pt>
                <c:pt idx="5">
                  <c:v>44914</c:v>
                </c:pt>
                <c:pt idx="6">
                  <c:v>44915</c:v>
                </c:pt>
                <c:pt idx="7">
                  <c:v>44916</c:v>
                </c:pt>
                <c:pt idx="8">
                  <c:v>44917</c:v>
                </c:pt>
                <c:pt idx="9">
                  <c:v>44918</c:v>
                </c:pt>
                <c:pt idx="10">
                  <c:v>44919</c:v>
                </c:pt>
                <c:pt idx="11">
                  <c:v>44920</c:v>
                </c:pt>
                <c:pt idx="12">
                  <c:v>44921</c:v>
                </c:pt>
                <c:pt idx="13">
                  <c:v>44922</c:v>
                </c:pt>
              </c:numCache>
            </c:numRef>
          </c:cat>
          <c:val>
            <c:numRef>
              <c:f>'Outpatient (Old)'!$S$3408:$S$3421</c:f>
              <c:numCache>
                <c:formatCode>General</c:formatCode>
                <c:ptCount val="14"/>
                <c:pt idx="0">
                  <c:v>11</c:v>
                </c:pt>
                <c:pt idx="1">
                  <c:v>5</c:v>
                </c:pt>
                <c:pt idx="2">
                  <c:v>13</c:v>
                </c:pt>
                <c:pt idx="3">
                  <c:v>18</c:v>
                </c:pt>
                <c:pt idx="4">
                  <c:v>5</c:v>
                </c:pt>
                <c:pt idx="5">
                  <c:v>2</c:v>
                </c:pt>
                <c:pt idx="6">
                  <c:v>13</c:v>
                </c:pt>
                <c:pt idx="7">
                  <c:v>13</c:v>
                </c:pt>
                <c:pt idx="8">
                  <c:v>11</c:v>
                </c:pt>
                <c:pt idx="9">
                  <c:v>21</c:v>
                </c:pt>
                <c:pt idx="10">
                  <c:v>6</c:v>
                </c:pt>
                <c:pt idx="11">
                  <c:v>4</c:v>
                </c:pt>
                <c:pt idx="12">
                  <c:v>3</c:v>
                </c:pt>
                <c:pt idx="13">
                  <c:v>6</c:v>
                </c:pt>
              </c:numCache>
            </c:numRef>
          </c:val>
          <c:smooth val="0"/>
          <c:extLst>
            <c:ext xmlns:c16="http://schemas.microsoft.com/office/drawing/2014/chart" uri="{C3380CC4-5D6E-409C-BE32-E72D297353CC}">
              <c16:uniqueId val="{00000001-B56B-43C1-A43A-D86E0CF03BA5}"/>
            </c:ext>
          </c:extLst>
        </c:ser>
        <c:ser>
          <c:idx val="1"/>
          <c:order val="1"/>
          <c:tx>
            <c:strRef>
              <c:f>'Outpatient (Old)'!$T$1</c:f>
              <c:strCache>
                <c:ptCount val="1"/>
                <c:pt idx="0">
                  <c:v>Staff Attitude/ Interaction - Bad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linear"/>
            <c:dispRSqr val="0"/>
            <c:dispEq val="0"/>
          </c:trendline>
          <c:cat>
            <c:numRef>
              <c:f>'Outpatient (Old)'!$I$3408:$I$3421</c:f>
              <c:numCache>
                <c:formatCode>m/d/yyyy</c:formatCode>
                <c:ptCount val="14"/>
                <c:pt idx="0">
                  <c:v>44909</c:v>
                </c:pt>
                <c:pt idx="1">
                  <c:v>44910</c:v>
                </c:pt>
                <c:pt idx="2">
                  <c:v>44911</c:v>
                </c:pt>
                <c:pt idx="3">
                  <c:v>44912</c:v>
                </c:pt>
                <c:pt idx="4">
                  <c:v>44913</c:v>
                </c:pt>
                <c:pt idx="5">
                  <c:v>44914</c:v>
                </c:pt>
                <c:pt idx="6">
                  <c:v>44915</c:v>
                </c:pt>
                <c:pt idx="7">
                  <c:v>44916</c:v>
                </c:pt>
                <c:pt idx="8">
                  <c:v>44917</c:v>
                </c:pt>
                <c:pt idx="9">
                  <c:v>44918</c:v>
                </c:pt>
                <c:pt idx="10">
                  <c:v>44919</c:v>
                </c:pt>
                <c:pt idx="11">
                  <c:v>44920</c:v>
                </c:pt>
                <c:pt idx="12">
                  <c:v>44921</c:v>
                </c:pt>
                <c:pt idx="13">
                  <c:v>44922</c:v>
                </c:pt>
              </c:numCache>
            </c:numRef>
          </c:cat>
          <c:val>
            <c:numRef>
              <c:f>'Outpatient (Old)'!$T$3408:$T$3421</c:f>
              <c:numCache>
                <c:formatCode>General</c:formatCode>
                <c:ptCount val="14"/>
                <c:pt idx="0">
                  <c:v>3</c:v>
                </c:pt>
                <c:pt idx="1">
                  <c:v>3</c:v>
                </c:pt>
                <c:pt idx="2">
                  <c:v>6</c:v>
                </c:pt>
                <c:pt idx="3">
                  <c:v>9</c:v>
                </c:pt>
                <c:pt idx="4">
                  <c:v>3</c:v>
                </c:pt>
                <c:pt idx="5">
                  <c:v>2</c:v>
                </c:pt>
                <c:pt idx="6">
                  <c:v>4</c:v>
                </c:pt>
                <c:pt idx="7">
                  <c:v>10</c:v>
                </c:pt>
                <c:pt idx="8">
                  <c:v>3</c:v>
                </c:pt>
                <c:pt idx="9">
                  <c:v>8</c:v>
                </c:pt>
                <c:pt idx="10">
                  <c:v>3</c:v>
                </c:pt>
                <c:pt idx="11">
                  <c:v>0</c:v>
                </c:pt>
                <c:pt idx="12">
                  <c:v>1</c:v>
                </c:pt>
                <c:pt idx="13">
                  <c:v>1</c:v>
                </c:pt>
              </c:numCache>
            </c:numRef>
          </c:val>
          <c:smooth val="0"/>
          <c:extLst>
            <c:ext xmlns:c16="http://schemas.microsoft.com/office/drawing/2014/chart" uri="{C3380CC4-5D6E-409C-BE32-E72D297353CC}">
              <c16:uniqueId val="{00000003-B56B-43C1-A43A-D86E0CF03BA5}"/>
            </c:ext>
          </c:extLst>
        </c:ser>
        <c:dLbls>
          <c:showLegendKey val="0"/>
          <c:showVal val="0"/>
          <c:showCatName val="0"/>
          <c:showSerName val="0"/>
          <c:showPercent val="0"/>
          <c:showBubbleSize val="0"/>
        </c:dLbls>
        <c:marker val="1"/>
        <c:smooth val="0"/>
        <c:axId val="821536912"/>
        <c:axId val="821534288"/>
      </c:lineChart>
      <c:dateAx>
        <c:axId val="82153691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1534288"/>
        <c:crosses val="autoZero"/>
        <c:auto val="1"/>
        <c:lblOffset val="100"/>
        <c:baseTimeUnit val="days"/>
      </c:dateAx>
      <c:valAx>
        <c:axId val="821534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Number of Comments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15369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Travel Pay Comments</a:t>
            </a:r>
            <a:br>
              <a:rPr lang="en-US"/>
            </a:br>
            <a:r>
              <a:rPr lang="en-US"/>
              <a:t>(Total Comments Over 2 Weeks)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'Outpatient (Old)'!$U$1</c:f>
              <c:strCache>
                <c:ptCount val="1"/>
                <c:pt idx="0">
                  <c:v>Travel Pay - Good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cat>
            <c:numRef>
              <c:f>'Outpatient (Old)'!$I$3408:$I$3421</c:f>
              <c:numCache>
                <c:formatCode>m/d/yyyy</c:formatCode>
                <c:ptCount val="14"/>
                <c:pt idx="0">
                  <c:v>44909</c:v>
                </c:pt>
                <c:pt idx="1">
                  <c:v>44910</c:v>
                </c:pt>
                <c:pt idx="2">
                  <c:v>44911</c:v>
                </c:pt>
                <c:pt idx="3">
                  <c:v>44912</c:v>
                </c:pt>
                <c:pt idx="4">
                  <c:v>44913</c:v>
                </c:pt>
                <c:pt idx="5">
                  <c:v>44914</c:v>
                </c:pt>
                <c:pt idx="6">
                  <c:v>44915</c:v>
                </c:pt>
                <c:pt idx="7">
                  <c:v>44916</c:v>
                </c:pt>
                <c:pt idx="8">
                  <c:v>44917</c:v>
                </c:pt>
                <c:pt idx="9">
                  <c:v>44918</c:v>
                </c:pt>
                <c:pt idx="10">
                  <c:v>44919</c:v>
                </c:pt>
                <c:pt idx="11">
                  <c:v>44920</c:v>
                </c:pt>
                <c:pt idx="12">
                  <c:v>44921</c:v>
                </c:pt>
                <c:pt idx="13">
                  <c:v>44922</c:v>
                </c:pt>
              </c:numCache>
            </c:numRef>
          </c:cat>
          <c:val>
            <c:numRef>
              <c:f>'Outpatient (Old)'!$U$3408:$U$3421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mooth val="0"/>
          <c:extLst>
            <c:ext xmlns:c16="http://schemas.microsoft.com/office/drawing/2014/chart" uri="{C3380CC4-5D6E-409C-BE32-E72D297353CC}">
              <c16:uniqueId val="{00000001-4D07-40F1-99D4-3AA5C8146D22}"/>
            </c:ext>
          </c:extLst>
        </c:ser>
        <c:ser>
          <c:idx val="1"/>
          <c:order val="1"/>
          <c:tx>
            <c:strRef>
              <c:f>'Outpatient (Old)'!$V$1</c:f>
              <c:strCache>
                <c:ptCount val="1"/>
                <c:pt idx="0">
                  <c:v>Travel Pay - Bad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linear"/>
            <c:dispRSqr val="0"/>
            <c:dispEq val="0"/>
          </c:trendline>
          <c:cat>
            <c:numRef>
              <c:f>'Outpatient (Old)'!$I$3408:$I$3421</c:f>
              <c:numCache>
                <c:formatCode>m/d/yyyy</c:formatCode>
                <c:ptCount val="14"/>
                <c:pt idx="0">
                  <c:v>44909</c:v>
                </c:pt>
                <c:pt idx="1">
                  <c:v>44910</c:v>
                </c:pt>
                <c:pt idx="2">
                  <c:v>44911</c:v>
                </c:pt>
                <c:pt idx="3">
                  <c:v>44912</c:v>
                </c:pt>
                <c:pt idx="4">
                  <c:v>44913</c:v>
                </c:pt>
                <c:pt idx="5">
                  <c:v>44914</c:v>
                </c:pt>
                <c:pt idx="6">
                  <c:v>44915</c:v>
                </c:pt>
                <c:pt idx="7">
                  <c:v>44916</c:v>
                </c:pt>
                <c:pt idx="8">
                  <c:v>44917</c:v>
                </c:pt>
                <c:pt idx="9">
                  <c:v>44918</c:v>
                </c:pt>
                <c:pt idx="10">
                  <c:v>44919</c:v>
                </c:pt>
                <c:pt idx="11">
                  <c:v>44920</c:v>
                </c:pt>
                <c:pt idx="12">
                  <c:v>44921</c:v>
                </c:pt>
                <c:pt idx="13">
                  <c:v>44922</c:v>
                </c:pt>
              </c:numCache>
            </c:numRef>
          </c:cat>
          <c:val>
            <c:numRef>
              <c:f>'Outpatient (Old)'!$V$3408:$V$3421</c:f>
              <c:numCache>
                <c:formatCode>General</c:formatCode>
                <c:ptCount val="14"/>
                <c:pt idx="0">
                  <c:v>3</c:v>
                </c:pt>
                <c:pt idx="1">
                  <c:v>0</c:v>
                </c:pt>
                <c:pt idx="2">
                  <c:v>7</c:v>
                </c:pt>
                <c:pt idx="3">
                  <c:v>5</c:v>
                </c:pt>
                <c:pt idx="4">
                  <c:v>5</c:v>
                </c:pt>
                <c:pt idx="5">
                  <c:v>2</c:v>
                </c:pt>
                <c:pt idx="6">
                  <c:v>3</c:v>
                </c:pt>
                <c:pt idx="7">
                  <c:v>2</c:v>
                </c:pt>
                <c:pt idx="8">
                  <c:v>1</c:v>
                </c:pt>
                <c:pt idx="9">
                  <c:v>1</c:v>
                </c:pt>
                <c:pt idx="10">
                  <c:v>2</c:v>
                </c:pt>
                <c:pt idx="11">
                  <c:v>0</c:v>
                </c:pt>
                <c:pt idx="12">
                  <c:v>1</c:v>
                </c:pt>
                <c:pt idx="13">
                  <c:v>1</c:v>
                </c:pt>
              </c:numCache>
            </c:numRef>
          </c:val>
          <c:smooth val="0"/>
          <c:extLst>
            <c:ext xmlns:c16="http://schemas.microsoft.com/office/drawing/2014/chart" uri="{C3380CC4-5D6E-409C-BE32-E72D297353CC}">
              <c16:uniqueId val="{00000003-4D07-40F1-99D4-3AA5C8146D22}"/>
            </c:ext>
          </c:extLst>
        </c:ser>
        <c:dLbls>
          <c:showLegendKey val="0"/>
          <c:showVal val="0"/>
          <c:showCatName val="0"/>
          <c:showSerName val="0"/>
          <c:showPercent val="0"/>
          <c:showBubbleSize val="0"/>
        </c:dLbls>
        <c:marker val="1"/>
        <c:smooth val="0"/>
        <c:axId val="821533304"/>
        <c:axId val="821538880"/>
      </c:lineChart>
      <c:dateAx>
        <c:axId val="82153330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1538880"/>
        <c:crosses val="autoZero"/>
        <c:auto val="1"/>
        <c:lblOffset val="100"/>
        <c:baseTimeUnit val="days"/>
      </c:dateAx>
      <c:valAx>
        <c:axId val="8215388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Number of Comments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15333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Wait Time (Arrival</a:t>
            </a:r>
            <a:r>
              <a:rPr lang="en-US" baseline="0"/>
              <a:t> to Checkout) Comments</a:t>
            </a:r>
            <a:br>
              <a:rPr lang="en-US" baseline="0"/>
            </a:br>
            <a:r>
              <a:rPr lang="en-US" baseline="0"/>
              <a:t>(Total Comments Over 2 Weeks)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'Outpatient (Old)'!$X$1</c:f>
              <c:strCache>
                <c:ptCount val="1"/>
                <c:pt idx="0">
                  <c:v>Wait times - Good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cat>
            <c:numRef>
              <c:f>'Outpatient (Old)'!$I$3408:$I$3421</c:f>
              <c:numCache>
                <c:formatCode>m/d/yyyy</c:formatCode>
                <c:ptCount val="14"/>
                <c:pt idx="0">
                  <c:v>44909</c:v>
                </c:pt>
                <c:pt idx="1">
                  <c:v>44910</c:v>
                </c:pt>
                <c:pt idx="2">
                  <c:v>44911</c:v>
                </c:pt>
                <c:pt idx="3">
                  <c:v>44912</c:v>
                </c:pt>
                <c:pt idx="4">
                  <c:v>44913</c:v>
                </c:pt>
                <c:pt idx="5">
                  <c:v>44914</c:v>
                </c:pt>
                <c:pt idx="6">
                  <c:v>44915</c:v>
                </c:pt>
                <c:pt idx="7">
                  <c:v>44916</c:v>
                </c:pt>
                <c:pt idx="8">
                  <c:v>44917</c:v>
                </c:pt>
                <c:pt idx="9">
                  <c:v>44918</c:v>
                </c:pt>
                <c:pt idx="10">
                  <c:v>44919</c:v>
                </c:pt>
                <c:pt idx="11">
                  <c:v>44920</c:v>
                </c:pt>
                <c:pt idx="12">
                  <c:v>44921</c:v>
                </c:pt>
                <c:pt idx="13">
                  <c:v>44922</c:v>
                </c:pt>
              </c:numCache>
            </c:numRef>
          </c:cat>
          <c:val>
            <c:numRef>
              <c:f>'Outpatient (Old)'!$X$3408:$X$3421</c:f>
              <c:numCache>
                <c:formatCode>General</c:formatCode>
                <c:ptCount val="14"/>
                <c:pt idx="0">
                  <c:v>1</c:v>
                </c:pt>
                <c:pt idx="1">
                  <c:v>0</c:v>
                </c:pt>
                <c:pt idx="2">
                  <c:v>4</c:v>
                </c:pt>
                <c:pt idx="3">
                  <c:v>1</c:v>
                </c:pt>
                <c:pt idx="4">
                  <c:v>1</c:v>
                </c:pt>
                <c:pt idx="5">
                  <c:v>0</c:v>
                </c:pt>
                <c:pt idx="6">
                  <c:v>1</c:v>
                </c:pt>
                <c:pt idx="7">
                  <c:v>1</c:v>
                </c:pt>
                <c:pt idx="8">
                  <c:v>2</c:v>
                </c:pt>
                <c:pt idx="9">
                  <c:v>5</c:v>
                </c:pt>
                <c:pt idx="10">
                  <c:v>3</c:v>
                </c:pt>
                <c:pt idx="11">
                  <c:v>0</c:v>
                </c:pt>
                <c:pt idx="12">
                  <c:v>0</c:v>
                </c:pt>
                <c:pt idx="13">
                  <c:v>0</c:v>
                </c:pt>
              </c:numCache>
            </c:numRef>
          </c:val>
          <c:smooth val="0"/>
          <c:extLst>
            <c:ext xmlns:c16="http://schemas.microsoft.com/office/drawing/2014/chart" uri="{C3380CC4-5D6E-409C-BE32-E72D297353CC}">
              <c16:uniqueId val="{00000001-9BC0-4652-8228-6562E8CFB221}"/>
            </c:ext>
          </c:extLst>
        </c:ser>
        <c:ser>
          <c:idx val="1"/>
          <c:order val="1"/>
          <c:tx>
            <c:strRef>
              <c:f>'Outpatient (Old)'!$Y$1</c:f>
              <c:strCache>
                <c:ptCount val="1"/>
                <c:pt idx="0">
                  <c:v>Wait times - Bad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linear"/>
            <c:dispRSqr val="0"/>
            <c:dispEq val="0"/>
          </c:trendline>
          <c:cat>
            <c:numRef>
              <c:f>'Outpatient (Old)'!$I$3408:$I$3421</c:f>
              <c:numCache>
                <c:formatCode>m/d/yyyy</c:formatCode>
                <c:ptCount val="14"/>
                <c:pt idx="0">
                  <c:v>44909</c:v>
                </c:pt>
                <c:pt idx="1">
                  <c:v>44910</c:v>
                </c:pt>
                <c:pt idx="2">
                  <c:v>44911</c:v>
                </c:pt>
                <c:pt idx="3">
                  <c:v>44912</c:v>
                </c:pt>
                <c:pt idx="4">
                  <c:v>44913</c:v>
                </c:pt>
                <c:pt idx="5">
                  <c:v>44914</c:v>
                </c:pt>
                <c:pt idx="6">
                  <c:v>44915</c:v>
                </c:pt>
                <c:pt idx="7">
                  <c:v>44916</c:v>
                </c:pt>
                <c:pt idx="8">
                  <c:v>44917</c:v>
                </c:pt>
                <c:pt idx="9">
                  <c:v>44918</c:v>
                </c:pt>
                <c:pt idx="10">
                  <c:v>44919</c:v>
                </c:pt>
                <c:pt idx="11">
                  <c:v>44920</c:v>
                </c:pt>
                <c:pt idx="12">
                  <c:v>44921</c:v>
                </c:pt>
                <c:pt idx="13">
                  <c:v>44922</c:v>
                </c:pt>
              </c:numCache>
            </c:numRef>
          </c:cat>
          <c:val>
            <c:numRef>
              <c:f>'Outpatient (Old)'!$Y$3408:$Y$3421</c:f>
              <c:numCache>
                <c:formatCode>General</c:formatCode>
                <c:ptCount val="14"/>
                <c:pt idx="0">
                  <c:v>6</c:v>
                </c:pt>
                <c:pt idx="1">
                  <c:v>1</c:v>
                </c:pt>
                <c:pt idx="2">
                  <c:v>7</c:v>
                </c:pt>
                <c:pt idx="3">
                  <c:v>4</c:v>
                </c:pt>
                <c:pt idx="4">
                  <c:v>2</c:v>
                </c:pt>
                <c:pt idx="5">
                  <c:v>1</c:v>
                </c:pt>
                <c:pt idx="6">
                  <c:v>8</c:v>
                </c:pt>
                <c:pt idx="7">
                  <c:v>4</c:v>
                </c:pt>
                <c:pt idx="8">
                  <c:v>3</c:v>
                </c:pt>
                <c:pt idx="9">
                  <c:v>4</c:v>
                </c:pt>
                <c:pt idx="10">
                  <c:v>4</c:v>
                </c:pt>
                <c:pt idx="11">
                  <c:v>0</c:v>
                </c:pt>
                <c:pt idx="12">
                  <c:v>0</c:v>
                </c:pt>
                <c:pt idx="13">
                  <c:v>3</c:v>
                </c:pt>
              </c:numCache>
            </c:numRef>
          </c:val>
          <c:smooth val="0"/>
          <c:extLst>
            <c:ext xmlns:c16="http://schemas.microsoft.com/office/drawing/2014/chart" uri="{C3380CC4-5D6E-409C-BE32-E72D297353CC}">
              <c16:uniqueId val="{00000003-9BC0-4652-8228-6562E8CFB221}"/>
            </c:ext>
          </c:extLst>
        </c:ser>
        <c:dLbls>
          <c:showLegendKey val="0"/>
          <c:showVal val="0"/>
          <c:showCatName val="0"/>
          <c:showSerName val="0"/>
          <c:showPercent val="0"/>
          <c:showBubbleSize val="0"/>
        </c:dLbls>
        <c:marker val="1"/>
        <c:smooth val="0"/>
        <c:axId val="625909968"/>
        <c:axId val="625906688"/>
      </c:lineChart>
      <c:dateAx>
        <c:axId val="62590996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5906688"/>
        <c:crosses val="autoZero"/>
        <c:auto val="1"/>
        <c:lblOffset val="100"/>
        <c:baseTimeUnit val="days"/>
      </c:dateAx>
      <c:valAx>
        <c:axId val="6259066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Number of</a:t>
                </a:r>
                <a:r>
                  <a:rPr lang="en-US" baseline="0"/>
                  <a:t> Comments</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59099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Travel Pay Comments</a:t>
            </a:r>
            <a:br>
              <a:rPr lang="en-US"/>
            </a:br>
            <a:r>
              <a:rPr lang="en-US"/>
              <a:t>(Percentage Across Reporting Periods)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'1-16-2023 Trends Weekly'!$J$2</c:f>
              <c:strCache>
                <c:ptCount val="1"/>
                <c:pt idx="0">
                  <c:v>Travel Pay Good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solidFill>
                <a:prstDash val="sysDot"/>
              </a:ln>
              <a:effectLst/>
            </c:spPr>
            <c:trendlineType val="linear"/>
            <c:dispRSqr val="0"/>
            <c:dispEq val="0"/>
          </c:trendline>
          <c:cat>
            <c:strRef>
              <c:f>'1-16-2023 Trends Weekly'!$A$3:$A$6</c:f>
              <c:strCache>
                <c:ptCount val="4"/>
                <c:pt idx="0">
                  <c:v>11/14/2022 - 11/29/2022</c:v>
                </c:pt>
                <c:pt idx="1">
                  <c:v>11/28/2022 - 12/13/2022</c:v>
                </c:pt>
                <c:pt idx="2">
                  <c:v>12/14/2022 - 12/27/2022</c:v>
                </c:pt>
                <c:pt idx="3">
                  <c:v>12/28/2022 - 1/16/2023</c:v>
                </c:pt>
              </c:strCache>
            </c:strRef>
          </c:cat>
          <c:val>
            <c:numRef>
              <c:f>'1-16-2023 Trends Weekly'!$J$3:$J$6</c:f>
              <c:numCache>
                <c:formatCode>0.00</c:formatCode>
                <c:ptCount val="4"/>
                <c:pt idx="0">
                  <c:v>0</c:v>
                </c:pt>
                <c:pt idx="1">
                  <c:v>0.21008403361344538</c:v>
                </c:pt>
                <c:pt idx="2">
                  <c:v>0</c:v>
                </c:pt>
                <c:pt idx="3">
                  <c:v>0</c:v>
                </c:pt>
              </c:numCache>
            </c:numRef>
          </c:val>
          <c:smooth val="0"/>
          <c:extLst>
            <c:ext xmlns:c16="http://schemas.microsoft.com/office/drawing/2014/chart" uri="{C3380CC4-5D6E-409C-BE32-E72D297353CC}">
              <c16:uniqueId val="{00000000-127A-4B89-9BCA-4B6BDC12B178}"/>
            </c:ext>
          </c:extLst>
        </c:ser>
        <c:ser>
          <c:idx val="1"/>
          <c:order val="1"/>
          <c:tx>
            <c:strRef>
              <c:f>'1-16-2023 Trends Weekly'!$K$2</c:f>
              <c:strCache>
                <c:ptCount val="1"/>
                <c:pt idx="0">
                  <c:v>Travel Pay Bad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2"/>
                </a:solidFill>
                <a:prstDash val="sysDot"/>
              </a:ln>
              <a:effectLst/>
            </c:spPr>
            <c:trendlineType val="linear"/>
            <c:dispRSqr val="0"/>
            <c:dispEq val="0"/>
          </c:trendline>
          <c:cat>
            <c:strRef>
              <c:f>'1-16-2023 Trends Weekly'!$A$3:$A$6</c:f>
              <c:strCache>
                <c:ptCount val="4"/>
                <c:pt idx="0">
                  <c:v>11/14/2022 - 11/29/2022</c:v>
                </c:pt>
                <c:pt idx="1">
                  <c:v>11/28/2022 - 12/13/2022</c:v>
                </c:pt>
                <c:pt idx="2">
                  <c:v>12/14/2022 - 12/27/2022</c:v>
                </c:pt>
                <c:pt idx="3">
                  <c:v>12/28/2022 - 1/16/2023</c:v>
                </c:pt>
              </c:strCache>
            </c:strRef>
          </c:cat>
          <c:val>
            <c:numRef>
              <c:f>'1-16-2023 Trends Weekly'!$K$3:$K$6</c:f>
              <c:numCache>
                <c:formatCode>0.00</c:formatCode>
                <c:ptCount val="4"/>
                <c:pt idx="0">
                  <c:v>9.8039215686274517</c:v>
                </c:pt>
                <c:pt idx="1">
                  <c:v>8.1932773109243691</c:v>
                </c:pt>
                <c:pt idx="2">
                  <c:v>8.1683168316831694</c:v>
                </c:pt>
                <c:pt idx="3">
                  <c:v>8.3333333333333321</c:v>
                </c:pt>
              </c:numCache>
            </c:numRef>
          </c:val>
          <c:smooth val="0"/>
          <c:extLst>
            <c:ext xmlns:c16="http://schemas.microsoft.com/office/drawing/2014/chart" uri="{C3380CC4-5D6E-409C-BE32-E72D297353CC}">
              <c16:uniqueId val="{00000001-127A-4B89-9BCA-4B6BDC12B178}"/>
            </c:ext>
          </c:extLst>
        </c:ser>
        <c:dLbls>
          <c:dLblPos val="t"/>
          <c:showLegendKey val="0"/>
          <c:showVal val="1"/>
          <c:showCatName val="0"/>
          <c:showSerName val="0"/>
          <c:showPercent val="0"/>
          <c:showBubbleSize val="0"/>
        </c:dLbls>
        <c:marker val="1"/>
        <c:smooth val="0"/>
        <c:axId val="813312592"/>
        <c:axId val="813312920"/>
      </c:lineChart>
      <c:catAx>
        <c:axId val="8133125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Reporting Period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3312920"/>
        <c:crosses val="autoZero"/>
        <c:auto val="1"/>
        <c:lblAlgn val="ctr"/>
        <c:lblOffset val="100"/>
        <c:noMultiLvlLbl val="0"/>
      </c:catAx>
      <c:valAx>
        <c:axId val="8133129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Percentage of All Comments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3312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Mobile Check-in</a:t>
            </a:r>
            <a:r>
              <a:rPr lang="en-US" baseline="0"/>
              <a:t> </a:t>
            </a:r>
            <a:r>
              <a:rPr lang="en-US"/>
              <a:t>Comments </a:t>
            </a:r>
            <a:br>
              <a:rPr lang="en-US"/>
            </a:br>
            <a:r>
              <a:rPr lang="en-US"/>
              <a:t>(Percentage</a:t>
            </a:r>
            <a:r>
              <a:rPr lang="en-US" baseline="0"/>
              <a:t> Across Reporting Periods)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15791436427297E-2"/>
          <c:y val="0.17449275362318842"/>
          <c:w val="0.92105978676406031"/>
          <c:h val="0.56767012819049789"/>
        </c:manualLayout>
      </c:layout>
      <c:lineChart>
        <c:grouping val="standard"/>
        <c:varyColors val="0"/>
        <c:ser>
          <c:idx val="0"/>
          <c:order val="0"/>
          <c:tx>
            <c:strRef>
              <c:f>'Mobile-General Trends Weekly'!$B$2</c:f>
              <c:strCache>
                <c:ptCount val="1"/>
                <c:pt idx="0">
                  <c:v>Mobile Check-in Good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solidFill>
                <a:prstDash val="sysDot"/>
              </a:ln>
              <a:effectLst/>
            </c:spPr>
            <c:trendlineType val="linear"/>
            <c:dispRSqr val="0"/>
            <c:dispEq val="0"/>
          </c:trendline>
          <c:cat>
            <c:strRef>
              <c:extLst>
                <c:ext xmlns:c15="http://schemas.microsoft.com/office/drawing/2012/chart" uri="{02D57815-91ED-43cb-92C2-25804820EDAC}">
                  <c15:fullRef>
                    <c15:sqref>'Mobile-General Trends Weekly'!$A$3:$A$43</c15:sqref>
                  </c15:fullRef>
                </c:ext>
              </c:extLst>
              <c:f>('Mobile-General Trends Weekly'!$A$3:$A$4,'Mobile-General Trends Weekly'!$A$17:$A$43)</c:f>
              <c:strCache>
                <c:ptCount val="29"/>
                <c:pt idx="0">
                  <c:v>11/28/2022 - 12/13/2022</c:v>
                </c:pt>
                <c:pt idx="1">
                  <c:v>12/14/2022 - 12/27/2022</c:v>
                </c:pt>
                <c:pt idx="2">
                  <c:v>09/05/2023 - 09/26/2023</c:v>
                </c:pt>
                <c:pt idx="3">
                  <c:v>09/29/2023 - 10/15/2023</c:v>
                </c:pt>
                <c:pt idx="4">
                  <c:v>11/07/2023 - 11/27/2023</c:v>
                </c:pt>
                <c:pt idx="5">
                  <c:v>11/28/2023 - 12/12/2023</c:v>
                </c:pt>
                <c:pt idx="6">
                  <c:v>12/20/2023 - 1/2/2024</c:v>
                </c:pt>
                <c:pt idx="7">
                  <c:v>1/2/2024 - 1/16/2024</c:v>
                </c:pt>
                <c:pt idx="8">
                  <c:v>01/17/2024 - 02/01/2024</c:v>
                </c:pt>
                <c:pt idx="9">
                  <c:v>2/02/2024 - 2/25/2024</c:v>
                </c:pt>
                <c:pt idx="10">
                  <c:v>2/28/2024 - 3/12/2024</c:v>
                </c:pt>
                <c:pt idx="11">
                  <c:v>3/12/2024 - 3/26/2024</c:v>
                </c:pt>
                <c:pt idx="12">
                  <c:v>3/26/2024 - 4/9/2024</c:v>
                </c:pt>
                <c:pt idx="13">
                  <c:v>4/10/2024 - 4/23/2024</c:v>
                </c:pt>
                <c:pt idx="14">
                  <c:v>4/24/2024 - 5/7/2024</c:v>
                </c:pt>
                <c:pt idx="15">
                  <c:v>5/8/2024-5/21/2024</c:v>
                </c:pt>
                <c:pt idx="16">
                  <c:v>5/21/2024-6/4/2024</c:v>
                </c:pt>
                <c:pt idx="17">
                  <c:v>6/6/2024 - 6/19/2024</c:v>
                </c:pt>
                <c:pt idx="18">
                  <c:v>620/2024 - 7/2/2024</c:v>
                </c:pt>
                <c:pt idx="19">
                  <c:v>7/3/2024-7/31/2024</c:v>
                </c:pt>
                <c:pt idx="20">
                  <c:v>8/1/2024-8/14/2024</c:v>
                </c:pt>
                <c:pt idx="21">
                  <c:v>8/15/2024-8/30/2024</c:v>
                </c:pt>
                <c:pt idx="22">
                  <c:v>9/1/2024-9/15/2024</c:v>
                </c:pt>
                <c:pt idx="23">
                  <c:v>9/16/2024-9/30/2024</c:v>
                </c:pt>
                <c:pt idx="24">
                  <c:v>10/1/2024-10/15/2024</c:v>
                </c:pt>
                <c:pt idx="25">
                  <c:v>10/16/2024-10/31/2024</c:v>
                </c:pt>
                <c:pt idx="26">
                  <c:v>11/1/2024-11/15/2024</c:v>
                </c:pt>
                <c:pt idx="27">
                  <c:v>11/16/2024-11/30/2024</c:v>
                </c:pt>
                <c:pt idx="28">
                  <c:v>12/1/2024-12/15/2024</c:v>
                </c:pt>
              </c:strCache>
            </c:strRef>
          </c:cat>
          <c:val>
            <c:numRef>
              <c:extLst>
                <c:ext xmlns:c15="http://schemas.microsoft.com/office/drawing/2012/chart" uri="{02D57815-91ED-43cb-92C2-25804820EDAC}">
                  <c15:fullRef>
                    <c15:sqref>'Mobile-General Trends Weekly'!$B$3:$B$43</c15:sqref>
                  </c15:fullRef>
                </c:ext>
              </c:extLst>
              <c:f>('Mobile-General Trends Weekly'!$B$3:$B$4,'Mobile-General Trends Weekly'!$B$17:$B$43)</c:f>
              <c:numCache>
                <c:formatCode>0.00</c:formatCode>
                <c:ptCount val="29"/>
                <c:pt idx="0">
                  <c:v>1.2605042016806722</c:v>
                </c:pt>
                <c:pt idx="1">
                  <c:v>0.49504950495049505</c:v>
                </c:pt>
                <c:pt idx="2" formatCode="General">
                  <c:v>1.34</c:v>
                </c:pt>
                <c:pt idx="3" formatCode="General">
                  <c:v>0.6</c:v>
                </c:pt>
                <c:pt idx="4" formatCode="General">
                  <c:v>1.57</c:v>
                </c:pt>
                <c:pt idx="5" formatCode="General">
                  <c:v>2.46</c:v>
                </c:pt>
                <c:pt idx="6" formatCode="General">
                  <c:v>2.73</c:v>
                </c:pt>
                <c:pt idx="7" formatCode="General">
                  <c:v>3.49</c:v>
                </c:pt>
                <c:pt idx="8" formatCode="General">
                  <c:v>4.53</c:v>
                </c:pt>
                <c:pt idx="9" formatCode="General">
                  <c:v>4.9000000000000004</c:v>
                </c:pt>
                <c:pt idx="10" formatCode="General">
                  <c:v>3.56</c:v>
                </c:pt>
                <c:pt idx="11">
                  <c:v>3.9513677811550152</c:v>
                </c:pt>
                <c:pt idx="12" formatCode="General">
                  <c:v>3.73</c:v>
                </c:pt>
                <c:pt idx="13" formatCode="General">
                  <c:v>4.03</c:v>
                </c:pt>
                <c:pt idx="14">
                  <c:v>3.2640949554896146</c:v>
                </c:pt>
                <c:pt idx="15">
                  <c:v>3.4615384615384617</c:v>
                </c:pt>
                <c:pt idx="16">
                  <c:v>1.9446845289541919</c:v>
                </c:pt>
                <c:pt idx="17">
                  <c:v>3.9800995024875623</c:v>
                </c:pt>
                <c:pt idx="18">
                  <c:v>0.05</c:v>
                </c:pt>
                <c:pt idx="19">
                  <c:v>9.0016366612111296E-3</c:v>
                </c:pt>
                <c:pt idx="20">
                  <c:v>0.72</c:v>
                </c:pt>
                <c:pt idx="21">
                  <c:v>0.2</c:v>
                </c:pt>
                <c:pt idx="22">
                  <c:v>0.27548209366391185</c:v>
                </c:pt>
                <c:pt idx="23" formatCode="General">
                  <c:v>0.01</c:v>
                </c:pt>
                <c:pt idx="24">
                  <c:v>1.6203703703703703E-2</c:v>
                </c:pt>
                <c:pt idx="25">
                  <c:v>1.1655011655011656E-2</c:v>
                </c:pt>
                <c:pt idx="26" formatCode="General">
                  <c:v>0.01</c:v>
                </c:pt>
                <c:pt idx="27">
                  <c:v>2.3094688221709007E-3</c:v>
                </c:pt>
                <c:pt idx="28" formatCode="0.000">
                  <c:v>2.3858148989368809E-4</c:v>
                </c:pt>
              </c:numCache>
            </c:numRef>
          </c:val>
          <c:smooth val="0"/>
          <c:extLst>
            <c:ext xmlns:c16="http://schemas.microsoft.com/office/drawing/2014/chart" uri="{C3380CC4-5D6E-409C-BE32-E72D297353CC}">
              <c16:uniqueId val="{00000001-8322-4CE7-996D-398E6B2578AE}"/>
            </c:ext>
          </c:extLst>
        </c:ser>
        <c:ser>
          <c:idx val="1"/>
          <c:order val="1"/>
          <c:tx>
            <c:strRef>
              <c:f>'Mobile-General Trends Weekly'!$C$2</c:f>
              <c:strCache>
                <c:ptCount val="1"/>
                <c:pt idx="0">
                  <c:v>Mobile Check-in Bad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2"/>
                </a:solidFill>
                <a:prstDash val="sysDot"/>
              </a:ln>
              <a:effectLst/>
            </c:spPr>
            <c:trendlineType val="linear"/>
            <c:dispRSqr val="0"/>
            <c:dispEq val="0"/>
          </c:trendline>
          <c:cat>
            <c:strRef>
              <c:extLst>
                <c:ext xmlns:c15="http://schemas.microsoft.com/office/drawing/2012/chart" uri="{02D57815-91ED-43cb-92C2-25804820EDAC}">
                  <c15:fullRef>
                    <c15:sqref>'Mobile-General Trends Weekly'!$A$3:$A$43</c15:sqref>
                  </c15:fullRef>
                </c:ext>
              </c:extLst>
              <c:f>('Mobile-General Trends Weekly'!$A$3:$A$4,'Mobile-General Trends Weekly'!$A$17:$A$43)</c:f>
              <c:strCache>
                <c:ptCount val="29"/>
                <c:pt idx="0">
                  <c:v>11/28/2022 - 12/13/2022</c:v>
                </c:pt>
                <c:pt idx="1">
                  <c:v>12/14/2022 - 12/27/2022</c:v>
                </c:pt>
                <c:pt idx="2">
                  <c:v>09/05/2023 - 09/26/2023</c:v>
                </c:pt>
                <c:pt idx="3">
                  <c:v>09/29/2023 - 10/15/2023</c:v>
                </c:pt>
                <c:pt idx="4">
                  <c:v>11/07/2023 - 11/27/2023</c:v>
                </c:pt>
                <c:pt idx="5">
                  <c:v>11/28/2023 - 12/12/2023</c:v>
                </c:pt>
                <c:pt idx="6">
                  <c:v>12/20/2023 - 1/2/2024</c:v>
                </c:pt>
                <c:pt idx="7">
                  <c:v>1/2/2024 - 1/16/2024</c:v>
                </c:pt>
                <c:pt idx="8">
                  <c:v>01/17/2024 - 02/01/2024</c:v>
                </c:pt>
                <c:pt idx="9">
                  <c:v>2/02/2024 - 2/25/2024</c:v>
                </c:pt>
                <c:pt idx="10">
                  <c:v>2/28/2024 - 3/12/2024</c:v>
                </c:pt>
                <c:pt idx="11">
                  <c:v>3/12/2024 - 3/26/2024</c:v>
                </c:pt>
                <c:pt idx="12">
                  <c:v>3/26/2024 - 4/9/2024</c:v>
                </c:pt>
                <c:pt idx="13">
                  <c:v>4/10/2024 - 4/23/2024</c:v>
                </c:pt>
                <c:pt idx="14">
                  <c:v>4/24/2024 - 5/7/2024</c:v>
                </c:pt>
                <c:pt idx="15">
                  <c:v>5/8/2024-5/21/2024</c:v>
                </c:pt>
                <c:pt idx="16">
                  <c:v>5/21/2024-6/4/2024</c:v>
                </c:pt>
                <c:pt idx="17">
                  <c:v>6/6/2024 - 6/19/2024</c:v>
                </c:pt>
                <c:pt idx="18">
                  <c:v>620/2024 - 7/2/2024</c:v>
                </c:pt>
                <c:pt idx="19">
                  <c:v>7/3/2024-7/31/2024</c:v>
                </c:pt>
                <c:pt idx="20">
                  <c:v>8/1/2024-8/14/2024</c:v>
                </c:pt>
                <c:pt idx="21">
                  <c:v>8/15/2024-8/30/2024</c:v>
                </c:pt>
                <c:pt idx="22">
                  <c:v>9/1/2024-9/15/2024</c:v>
                </c:pt>
                <c:pt idx="23">
                  <c:v>9/16/2024-9/30/2024</c:v>
                </c:pt>
                <c:pt idx="24">
                  <c:v>10/1/2024-10/15/2024</c:v>
                </c:pt>
                <c:pt idx="25">
                  <c:v>10/16/2024-10/31/2024</c:v>
                </c:pt>
                <c:pt idx="26">
                  <c:v>11/1/2024-11/15/2024</c:v>
                </c:pt>
                <c:pt idx="27">
                  <c:v>11/16/2024-11/30/2024</c:v>
                </c:pt>
                <c:pt idx="28">
                  <c:v>12/1/2024-12/15/2024</c:v>
                </c:pt>
              </c:strCache>
            </c:strRef>
          </c:cat>
          <c:val>
            <c:numRef>
              <c:extLst>
                <c:ext xmlns:c15="http://schemas.microsoft.com/office/drawing/2012/chart" uri="{02D57815-91ED-43cb-92C2-25804820EDAC}">
                  <c15:fullRef>
                    <c15:sqref>'Mobile-General Trends Weekly'!$C$3:$C$43</c15:sqref>
                  </c15:fullRef>
                </c:ext>
              </c:extLst>
              <c:f>('Mobile-General Trends Weekly'!$C$3:$C$4,'Mobile-General Trends Weekly'!$C$17:$C$43)</c:f>
              <c:numCache>
                <c:formatCode>0.00</c:formatCode>
                <c:ptCount val="29"/>
                <c:pt idx="0">
                  <c:v>9.4537815126050422</c:v>
                </c:pt>
                <c:pt idx="1">
                  <c:v>5.9405940594059405</c:v>
                </c:pt>
                <c:pt idx="2" formatCode="General">
                  <c:v>3.26</c:v>
                </c:pt>
                <c:pt idx="3" formatCode="General">
                  <c:v>1</c:v>
                </c:pt>
                <c:pt idx="4" formatCode="General">
                  <c:v>2.42</c:v>
                </c:pt>
                <c:pt idx="5" formatCode="General">
                  <c:v>3.45</c:v>
                </c:pt>
                <c:pt idx="6" formatCode="General">
                  <c:v>7.1</c:v>
                </c:pt>
                <c:pt idx="7" formatCode="General">
                  <c:v>5.24</c:v>
                </c:pt>
                <c:pt idx="8" formatCode="General">
                  <c:v>3.73</c:v>
                </c:pt>
                <c:pt idx="9" formatCode="General">
                  <c:v>4.2300000000000004</c:v>
                </c:pt>
                <c:pt idx="10" formatCode="General">
                  <c:v>2.14</c:v>
                </c:pt>
                <c:pt idx="11">
                  <c:v>4.5592705167173255</c:v>
                </c:pt>
                <c:pt idx="12" formatCode="General">
                  <c:v>4.5599999999999996</c:v>
                </c:pt>
                <c:pt idx="13" formatCode="General">
                  <c:v>3.23</c:v>
                </c:pt>
                <c:pt idx="14">
                  <c:v>2.0771513353115725</c:v>
                </c:pt>
                <c:pt idx="15">
                  <c:v>1.153846153846154</c:v>
                </c:pt>
                <c:pt idx="16">
                  <c:v>0.64822817631806406</c:v>
                </c:pt>
                <c:pt idx="17">
                  <c:v>0.99502487562189057</c:v>
                </c:pt>
                <c:pt idx="18">
                  <c:v>0</c:v>
                </c:pt>
                <c:pt idx="19">
                  <c:v>5.7283142389525366E-3</c:v>
                </c:pt>
                <c:pt idx="20">
                  <c:v>0</c:v>
                </c:pt>
                <c:pt idx="21">
                  <c:v>0.2</c:v>
                </c:pt>
                <c:pt idx="22">
                  <c:v>0.55096418732782371</c:v>
                </c:pt>
                <c:pt idx="23" formatCode="General">
                  <c:v>0.02</c:v>
                </c:pt>
                <c:pt idx="24">
                  <c:v>6.9444444444444441E-3</c:v>
                </c:pt>
                <c:pt idx="25">
                  <c:v>0</c:v>
                </c:pt>
                <c:pt idx="26" formatCode="General">
                  <c:v>0</c:v>
                </c:pt>
                <c:pt idx="27">
                  <c:v>0</c:v>
                </c:pt>
                <c:pt idx="28" formatCode="0.000">
                  <c:v>0</c:v>
                </c:pt>
              </c:numCache>
            </c:numRef>
          </c:val>
          <c:smooth val="0"/>
          <c:extLst>
            <c:ext xmlns:c16="http://schemas.microsoft.com/office/drawing/2014/chart" uri="{C3380CC4-5D6E-409C-BE32-E72D297353CC}">
              <c16:uniqueId val="{00000003-8322-4CE7-996D-398E6B2578AE}"/>
            </c:ext>
          </c:extLst>
        </c:ser>
        <c:dLbls>
          <c:dLblPos val="t"/>
          <c:showLegendKey val="0"/>
          <c:showVal val="1"/>
          <c:showCatName val="0"/>
          <c:showSerName val="0"/>
          <c:showPercent val="0"/>
          <c:showBubbleSize val="0"/>
        </c:dLbls>
        <c:marker val="1"/>
        <c:smooth val="0"/>
        <c:axId val="690993824"/>
        <c:axId val="690994480"/>
        <c:extLst>
          <c:ext xmlns:c15="http://schemas.microsoft.com/office/drawing/2012/chart" uri="{02D57815-91ED-43cb-92C2-25804820EDAC}">
            <c15:filteredLineSeries>
              <c15:ser>
                <c:idx val="2"/>
                <c:order val="2"/>
                <c:tx>
                  <c:strRef>
                    <c:extLst>
                      <c:ext uri="{02D57815-91ED-43cb-92C2-25804820EDAC}">
                        <c15:formulaRef>
                          <c15:sqref>'Mobile-General Trends Weekly'!$D$2</c15:sqref>
                        </c15:formulaRef>
                      </c:ext>
                    </c:extLst>
                    <c:strCache>
                      <c:ptCount val="1"/>
                      <c:pt idx="0">
                        <c:v>General Check-in Good</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ullRef>
                          <c15:sqref>'Mobile-General Trends Weekly'!$A$3:$A$43</c15:sqref>
                        </c15:fullRef>
                        <c15:formulaRef>
                          <c15:sqref>('Mobile-General Trends Weekly'!$A$3:$A$4,'Mobile-General Trends Weekly'!$A$17:$A$43)</c15:sqref>
                        </c15:formulaRef>
                      </c:ext>
                    </c:extLst>
                    <c:strCache>
                      <c:ptCount val="29"/>
                      <c:pt idx="0">
                        <c:v>11/28/2022 - 12/13/2022</c:v>
                      </c:pt>
                      <c:pt idx="1">
                        <c:v>12/14/2022 - 12/27/2022</c:v>
                      </c:pt>
                      <c:pt idx="2">
                        <c:v>09/05/2023 - 09/26/2023</c:v>
                      </c:pt>
                      <c:pt idx="3">
                        <c:v>09/29/2023 - 10/15/2023</c:v>
                      </c:pt>
                      <c:pt idx="4">
                        <c:v>11/07/2023 - 11/27/2023</c:v>
                      </c:pt>
                      <c:pt idx="5">
                        <c:v>11/28/2023 - 12/12/2023</c:v>
                      </c:pt>
                      <c:pt idx="6">
                        <c:v>12/20/2023 - 1/2/2024</c:v>
                      </c:pt>
                      <c:pt idx="7">
                        <c:v>1/2/2024 - 1/16/2024</c:v>
                      </c:pt>
                      <c:pt idx="8">
                        <c:v>01/17/2024 - 02/01/2024</c:v>
                      </c:pt>
                      <c:pt idx="9">
                        <c:v>2/02/2024 - 2/25/2024</c:v>
                      </c:pt>
                      <c:pt idx="10">
                        <c:v>2/28/2024 - 3/12/2024</c:v>
                      </c:pt>
                      <c:pt idx="11">
                        <c:v>3/12/2024 - 3/26/2024</c:v>
                      </c:pt>
                      <c:pt idx="12">
                        <c:v>3/26/2024 - 4/9/2024</c:v>
                      </c:pt>
                      <c:pt idx="13">
                        <c:v>4/10/2024 - 4/23/2024</c:v>
                      </c:pt>
                      <c:pt idx="14">
                        <c:v>4/24/2024 - 5/7/2024</c:v>
                      </c:pt>
                      <c:pt idx="15">
                        <c:v>5/8/2024-5/21/2024</c:v>
                      </c:pt>
                      <c:pt idx="16">
                        <c:v>5/21/2024-6/4/2024</c:v>
                      </c:pt>
                      <c:pt idx="17">
                        <c:v>6/6/2024 - 6/19/2024</c:v>
                      </c:pt>
                      <c:pt idx="18">
                        <c:v>620/2024 - 7/2/2024</c:v>
                      </c:pt>
                      <c:pt idx="19">
                        <c:v>7/3/2024-7/31/2024</c:v>
                      </c:pt>
                      <c:pt idx="20">
                        <c:v>8/1/2024-8/14/2024</c:v>
                      </c:pt>
                      <c:pt idx="21">
                        <c:v>8/15/2024-8/30/2024</c:v>
                      </c:pt>
                      <c:pt idx="22">
                        <c:v>9/1/2024-9/15/2024</c:v>
                      </c:pt>
                      <c:pt idx="23">
                        <c:v>9/16/2024-9/30/2024</c:v>
                      </c:pt>
                      <c:pt idx="24">
                        <c:v>10/1/2024-10/15/2024</c:v>
                      </c:pt>
                      <c:pt idx="25">
                        <c:v>10/16/2024-10/31/2024</c:v>
                      </c:pt>
                      <c:pt idx="26">
                        <c:v>11/1/2024-11/15/2024</c:v>
                      </c:pt>
                      <c:pt idx="27">
                        <c:v>11/16/2024-11/30/2024</c:v>
                      </c:pt>
                      <c:pt idx="28">
                        <c:v>12/1/2024-12/15/2024</c:v>
                      </c:pt>
                    </c:strCache>
                  </c:strRef>
                </c:cat>
                <c:val>
                  <c:numRef>
                    <c:extLst>
                      <c:ext uri="{02D57815-91ED-43cb-92C2-25804820EDAC}">
                        <c15:fullRef>
                          <c15:sqref>'Mobile-General Trends Weekly'!$D$3:$D$43</c15:sqref>
                        </c15:fullRef>
                        <c15:formulaRef>
                          <c15:sqref>('Mobile-General Trends Weekly'!$D$3:$D$4,'Mobile-General Trends Weekly'!$D$17:$D$43)</c15:sqref>
                        </c15:formulaRef>
                      </c:ext>
                    </c:extLst>
                    <c:numCache>
                      <c:formatCode>0.00</c:formatCode>
                      <c:ptCount val="29"/>
                      <c:pt idx="0">
                        <c:v>6.3025210084033612</c:v>
                      </c:pt>
                      <c:pt idx="1">
                        <c:v>14.603960396039604</c:v>
                      </c:pt>
                      <c:pt idx="2" formatCode="General">
                        <c:v>8.83</c:v>
                      </c:pt>
                      <c:pt idx="3" formatCode="General">
                        <c:v>6</c:v>
                      </c:pt>
                      <c:pt idx="4" formatCode="General">
                        <c:v>8.74</c:v>
                      </c:pt>
                      <c:pt idx="5" formatCode="General">
                        <c:v>8.8699999999999992</c:v>
                      </c:pt>
                      <c:pt idx="6" formatCode="General">
                        <c:v>34.42</c:v>
                      </c:pt>
                      <c:pt idx="7" formatCode="General">
                        <c:v>29.69</c:v>
                      </c:pt>
                      <c:pt idx="8" formatCode="General">
                        <c:v>14.93</c:v>
                      </c:pt>
                      <c:pt idx="9" formatCode="General">
                        <c:v>23.39</c:v>
                      </c:pt>
                      <c:pt idx="10" formatCode="General">
                        <c:v>19.93</c:v>
                      </c:pt>
                      <c:pt idx="11">
                        <c:v>49.848024316109424</c:v>
                      </c:pt>
                      <c:pt idx="12" formatCode="General">
                        <c:v>22.82</c:v>
                      </c:pt>
                      <c:pt idx="13" formatCode="General">
                        <c:v>8.06</c:v>
                      </c:pt>
                      <c:pt idx="14">
                        <c:v>18.100890207715135</c:v>
                      </c:pt>
                      <c:pt idx="15">
                        <c:v>15.769230769230768</c:v>
                      </c:pt>
                      <c:pt idx="16">
                        <c:v>8.8591184096802067</c:v>
                      </c:pt>
                      <c:pt idx="17">
                        <c:v>17.412935323383085</c:v>
                      </c:pt>
                      <c:pt idx="18">
                        <c:v>0.155</c:v>
                      </c:pt>
                      <c:pt idx="19">
                        <c:v>4.2553191489361701E-2</c:v>
                      </c:pt>
                      <c:pt idx="20">
                        <c:v>6.75</c:v>
                      </c:pt>
                      <c:pt idx="21">
                        <c:v>5.65</c:v>
                      </c:pt>
                      <c:pt idx="22">
                        <c:v>6.887052341597796</c:v>
                      </c:pt>
                      <c:pt idx="23" formatCode="General">
                        <c:v>0.08</c:v>
                      </c:pt>
                      <c:pt idx="24">
                        <c:v>6.25E-2</c:v>
                      </c:pt>
                      <c:pt idx="25">
                        <c:v>4.6620046620046623E-2</c:v>
                      </c:pt>
                      <c:pt idx="26" formatCode="General">
                        <c:v>0.01</c:v>
                      </c:pt>
                      <c:pt idx="27">
                        <c:v>1.3856812933025405E-2</c:v>
                      </c:pt>
                      <c:pt idx="28" formatCode="0.000">
                        <c:v>1.4314889393621287E-3</c:v>
                      </c:pt>
                    </c:numCache>
                  </c:numRef>
                </c:val>
                <c:smooth val="0"/>
                <c:extLst>
                  <c:ext xmlns:c16="http://schemas.microsoft.com/office/drawing/2014/chart" uri="{C3380CC4-5D6E-409C-BE32-E72D297353CC}">
                    <c16:uniqueId val="{00000003-96B3-407C-9E3F-4C4BCDEE632B}"/>
                  </c:ext>
                </c:extLst>
              </c15:ser>
            </c15:filteredLineSeries>
            <c15:filteredLineSeries>
              <c15:ser>
                <c:idx val="3"/>
                <c:order val="3"/>
                <c:tx>
                  <c:strRef>
                    <c:extLst xmlns:c15="http://schemas.microsoft.com/office/drawing/2012/chart">
                      <c:ext xmlns:c15="http://schemas.microsoft.com/office/drawing/2012/chart" uri="{02D57815-91ED-43cb-92C2-25804820EDAC}">
                        <c15:formulaRef>
                          <c15:sqref>'Mobile-General Trends Weekly'!$E$2</c15:sqref>
                        </c15:formulaRef>
                      </c:ext>
                    </c:extLst>
                    <c:strCache>
                      <c:ptCount val="1"/>
                      <c:pt idx="0">
                        <c:v>General Check-in Bad</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'Mobile-General Trends Weekly'!$A$3:$A$43</c15:sqref>
                        </c15:fullRef>
                        <c15:formulaRef>
                          <c15:sqref>('Mobile-General Trends Weekly'!$A$3:$A$4,'Mobile-General Trends Weekly'!$A$17:$A$43)</c15:sqref>
                        </c15:formulaRef>
                      </c:ext>
                    </c:extLst>
                    <c:strCache>
                      <c:ptCount val="29"/>
                      <c:pt idx="0">
                        <c:v>11/28/2022 - 12/13/2022</c:v>
                      </c:pt>
                      <c:pt idx="1">
                        <c:v>12/14/2022 - 12/27/2022</c:v>
                      </c:pt>
                      <c:pt idx="2">
                        <c:v>09/05/2023 - 09/26/2023</c:v>
                      </c:pt>
                      <c:pt idx="3">
                        <c:v>09/29/2023 - 10/15/2023</c:v>
                      </c:pt>
                      <c:pt idx="4">
                        <c:v>11/07/2023 - 11/27/2023</c:v>
                      </c:pt>
                      <c:pt idx="5">
                        <c:v>11/28/2023 - 12/12/2023</c:v>
                      </c:pt>
                      <c:pt idx="6">
                        <c:v>12/20/2023 - 1/2/2024</c:v>
                      </c:pt>
                      <c:pt idx="7">
                        <c:v>1/2/2024 - 1/16/2024</c:v>
                      </c:pt>
                      <c:pt idx="8">
                        <c:v>01/17/2024 - 02/01/2024</c:v>
                      </c:pt>
                      <c:pt idx="9">
                        <c:v>2/02/2024 - 2/25/2024</c:v>
                      </c:pt>
                      <c:pt idx="10">
                        <c:v>2/28/2024 - 3/12/2024</c:v>
                      </c:pt>
                      <c:pt idx="11">
                        <c:v>3/12/2024 - 3/26/2024</c:v>
                      </c:pt>
                      <c:pt idx="12">
                        <c:v>3/26/2024 - 4/9/2024</c:v>
                      </c:pt>
                      <c:pt idx="13">
                        <c:v>4/10/2024 - 4/23/2024</c:v>
                      </c:pt>
                      <c:pt idx="14">
                        <c:v>4/24/2024 - 5/7/2024</c:v>
                      </c:pt>
                      <c:pt idx="15">
                        <c:v>5/8/2024-5/21/2024</c:v>
                      </c:pt>
                      <c:pt idx="16">
                        <c:v>5/21/2024-6/4/2024</c:v>
                      </c:pt>
                      <c:pt idx="17">
                        <c:v>6/6/2024 - 6/19/2024</c:v>
                      </c:pt>
                      <c:pt idx="18">
                        <c:v>620/2024 - 7/2/2024</c:v>
                      </c:pt>
                      <c:pt idx="19">
                        <c:v>7/3/2024-7/31/2024</c:v>
                      </c:pt>
                      <c:pt idx="20">
                        <c:v>8/1/2024-8/14/2024</c:v>
                      </c:pt>
                      <c:pt idx="21">
                        <c:v>8/15/2024-8/30/2024</c:v>
                      </c:pt>
                      <c:pt idx="22">
                        <c:v>9/1/2024-9/15/2024</c:v>
                      </c:pt>
                      <c:pt idx="23">
                        <c:v>9/16/2024-9/30/2024</c:v>
                      </c:pt>
                      <c:pt idx="24">
                        <c:v>10/1/2024-10/15/2024</c:v>
                      </c:pt>
                      <c:pt idx="25">
                        <c:v>10/16/2024-10/31/2024</c:v>
                      </c:pt>
                      <c:pt idx="26">
                        <c:v>11/1/2024-11/15/2024</c:v>
                      </c:pt>
                      <c:pt idx="27">
                        <c:v>11/16/2024-11/30/2024</c:v>
                      </c:pt>
                      <c:pt idx="28">
                        <c:v>12/1/2024-12/15/2024</c:v>
                      </c:pt>
                    </c:strCache>
                  </c:strRef>
                </c:cat>
                <c:val>
                  <c:numRef>
                    <c:extLst>
                      <c:ext xmlns:c15="http://schemas.microsoft.com/office/drawing/2012/chart" uri="{02D57815-91ED-43cb-92C2-25804820EDAC}">
                        <c15:fullRef>
                          <c15:sqref>'Mobile-General Trends Weekly'!$E$3:$E$43</c15:sqref>
                        </c15:fullRef>
                        <c15:formulaRef>
                          <c15:sqref>('Mobile-General Trends Weekly'!$E$3:$E$4,'Mobile-General Trends Weekly'!$E$17:$E$43)</c15:sqref>
                        </c15:formulaRef>
                      </c:ext>
                    </c:extLst>
                    <c:numCache>
                      <c:formatCode>0.00</c:formatCode>
                      <c:ptCount val="29"/>
                      <c:pt idx="0">
                        <c:v>13.445378151260504</c:v>
                      </c:pt>
                      <c:pt idx="1">
                        <c:v>10.14851485148515</c:v>
                      </c:pt>
                      <c:pt idx="2" formatCode="General">
                        <c:v>4.99</c:v>
                      </c:pt>
                      <c:pt idx="3" formatCode="General">
                        <c:v>2.4</c:v>
                      </c:pt>
                      <c:pt idx="4" formatCode="General">
                        <c:v>9.19</c:v>
                      </c:pt>
                      <c:pt idx="5" formatCode="General">
                        <c:v>10.84</c:v>
                      </c:pt>
                      <c:pt idx="6" formatCode="General">
                        <c:v>19.12</c:v>
                      </c:pt>
                      <c:pt idx="7" formatCode="General">
                        <c:v>20.09</c:v>
                      </c:pt>
                      <c:pt idx="8" formatCode="General">
                        <c:v>13.07</c:v>
                      </c:pt>
                      <c:pt idx="9" formatCode="General">
                        <c:v>12.69</c:v>
                      </c:pt>
                      <c:pt idx="10" formatCode="General">
                        <c:v>13.17</c:v>
                      </c:pt>
                      <c:pt idx="11">
                        <c:v>24.012158054711247</c:v>
                      </c:pt>
                      <c:pt idx="12" formatCode="General">
                        <c:v>15.35</c:v>
                      </c:pt>
                      <c:pt idx="13" formatCode="General">
                        <c:v>14.52</c:v>
                      </c:pt>
                      <c:pt idx="14">
                        <c:v>7.1216617210682491</c:v>
                      </c:pt>
                      <c:pt idx="15">
                        <c:v>10</c:v>
                      </c:pt>
                      <c:pt idx="16">
                        <c:v>5.6179775280898872</c:v>
                      </c:pt>
                      <c:pt idx="17">
                        <c:v>7.9601990049751246</c:v>
                      </c:pt>
                      <c:pt idx="18">
                        <c:v>5.5E-2</c:v>
                      </c:pt>
                      <c:pt idx="19">
                        <c:v>1.2274959083469721E-2</c:v>
                      </c:pt>
                      <c:pt idx="20">
                        <c:v>0.48</c:v>
                      </c:pt>
                      <c:pt idx="21">
                        <c:v>2.02</c:v>
                      </c:pt>
                      <c:pt idx="22">
                        <c:v>1.9283746556473829</c:v>
                      </c:pt>
                      <c:pt idx="23" formatCode="General">
                        <c:v>0.03</c:v>
                      </c:pt>
                      <c:pt idx="24">
                        <c:v>6.9444444444444441E-3</c:v>
                      </c:pt>
                      <c:pt idx="25">
                        <c:v>3.4965034965034965E-3</c:v>
                      </c:pt>
                      <c:pt idx="26" formatCode="General">
                        <c:v>0.03</c:v>
                      </c:pt>
                      <c:pt idx="27">
                        <c:v>6.9284064665127024E-3</c:v>
                      </c:pt>
                      <c:pt idx="28" formatCode="0.000">
                        <c:v>7.1574446968106437E-4</c:v>
                      </c:pt>
                    </c:numCache>
                  </c:numRef>
                </c:val>
                <c:smooth val="0"/>
                <c:extLst xmlns:c15="http://schemas.microsoft.com/office/drawing/2012/chart">
                  <c:ext xmlns:c16="http://schemas.microsoft.com/office/drawing/2014/chart" uri="{C3380CC4-5D6E-409C-BE32-E72D297353CC}">
                    <c16:uniqueId val="{00000004-96B3-407C-9E3F-4C4BCDEE632B}"/>
                  </c:ext>
                </c:extLst>
              </c15:ser>
            </c15:filteredLineSeries>
          </c:ext>
        </c:extLst>
      </c:lineChart>
      <c:catAx>
        <c:axId val="6909938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0994480"/>
        <c:crosses val="autoZero"/>
        <c:auto val="1"/>
        <c:lblAlgn val="ctr"/>
        <c:lblOffset val="100"/>
        <c:noMultiLvlLbl val="0"/>
      </c:catAx>
      <c:valAx>
        <c:axId val="6909944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Percentage of All Comments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099382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General Check-in Comments</a:t>
            </a:r>
            <a:br>
              <a:rPr lang="en-US"/>
            </a:br>
            <a:r>
              <a:rPr lang="en-US"/>
              <a:t>(Percentage Across Reporting</a:t>
            </a:r>
            <a:r>
              <a:rPr lang="en-US" baseline="0"/>
              <a:t> Periods)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0771582807154135E-2"/>
          <c:y val="0.17724629701007652"/>
          <c:w val="0.91546553240119299"/>
          <c:h val="0.61182106473978903"/>
        </c:manualLayout>
      </c:layout>
      <c:lineChart>
        <c:grouping val="standard"/>
        <c:varyColors val="0"/>
        <c:ser>
          <c:idx val="2"/>
          <c:order val="2"/>
          <c:tx>
            <c:strRef>
              <c:f>'Mobile-General Trends Weekly'!$D$2</c:f>
              <c:strCache>
                <c:ptCount val="1"/>
                <c:pt idx="0">
                  <c:v>General Check-in Good</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3"/>
                </a:solidFill>
                <a:prstDash val="sysDot"/>
              </a:ln>
              <a:effectLst/>
            </c:spPr>
            <c:trendlineType val="linear"/>
            <c:dispRSqr val="0"/>
            <c:dispEq val="0"/>
          </c:trendline>
          <c:cat>
            <c:strRef>
              <c:extLst>
                <c:ext xmlns:c15="http://schemas.microsoft.com/office/drawing/2012/chart" uri="{02D57815-91ED-43cb-92C2-25804820EDAC}">
                  <c15:fullRef>
                    <c15:sqref>'Mobile-General Trends Weekly'!$A$4:$A$43</c15:sqref>
                  </c15:fullRef>
                </c:ext>
              </c:extLst>
              <c:f>'Mobile-General Trends Weekly'!$A$17:$A$43</c:f>
              <c:strCache>
                <c:ptCount val="27"/>
                <c:pt idx="0">
                  <c:v>09/05/2023 - 09/26/2023</c:v>
                </c:pt>
                <c:pt idx="1">
                  <c:v>09/29/2023 - 10/15/2023</c:v>
                </c:pt>
                <c:pt idx="2">
                  <c:v>11/07/2023 - 11/27/2023</c:v>
                </c:pt>
                <c:pt idx="3">
                  <c:v>11/28/2023 - 12/12/2023</c:v>
                </c:pt>
                <c:pt idx="4">
                  <c:v>12/20/2023 - 1/2/2024</c:v>
                </c:pt>
                <c:pt idx="5">
                  <c:v>1/2/2024 - 1/16/2024</c:v>
                </c:pt>
                <c:pt idx="6">
                  <c:v>01/17/2024 - 02/01/2024</c:v>
                </c:pt>
                <c:pt idx="7">
                  <c:v>2/02/2024 - 2/25/2024</c:v>
                </c:pt>
                <c:pt idx="8">
                  <c:v>2/28/2024 - 3/12/2024</c:v>
                </c:pt>
                <c:pt idx="9">
                  <c:v>3/12/2024 - 3/26/2024</c:v>
                </c:pt>
                <c:pt idx="10">
                  <c:v>3/26/2024 - 4/9/2024</c:v>
                </c:pt>
                <c:pt idx="11">
                  <c:v>4/10/2024 - 4/23/2024</c:v>
                </c:pt>
                <c:pt idx="12">
                  <c:v>4/24/2024 - 5/7/2024</c:v>
                </c:pt>
                <c:pt idx="13">
                  <c:v>5/8/2024-5/21/2024</c:v>
                </c:pt>
                <c:pt idx="14">
                  <c:v>5/21/2024-6/4/2024</c:v>
                </c:pt>
                <c:pt idx="15">
                  <c:v>6/6/2024 - 6/19/2024</c:v>
                </c:pt>
                <c:pt idx="16">
                  <c:v>620/2024 - 7/2/2024</c:v>
                </c:pt>
                <c:pt idx="17">
                  <c:v>7/3/2024-7/31/2024</c:v>
                </c:pt>
                <c:pt idx="18">
                  <c:v>8/1/2024-8/14/2024</c:v>
                </c:pt>
                <c:pt idx="19">
                  <c:v>8/15/2024-8/30/2024</c:v>
                </c:pt>
                <c:pt idx="20">
                  <c:v>9/1/2024-9/15/2024</c:v>
                </c:pt>
                <c:pt idx="21">
                  <c:v>9/16/2024-9/30/2024</c:v>
                </c:pt>
                <c:pt idx="22">
                  <c:v>10/1/2024-10/15/2024</c:v>
                </c:pt>
                <c:pt idx="23">
                  <c:v>10/16/2024-10/31/2024</c:v>
                </c:pt>
                <c:pt idx="24">
                  <c:v>11/1/2024-11/15/2024</c:v>
                </c:pt>
                <c:pt idx="25">
                  <c:v>11/16/2024-11/30/2024</c:v>
                </c:pt>
                <c:pt idx="26">
                  <c:v>12/1/2024-12/15/2024</c:v>
                </c:pt>
              </c:strCache>
            </c:strRef>
          </c:cat>
          <c:val>
            <c:numRef>
              <c:extLst>
                <c:ext xmlns:c15="http://schemas.microsoft.com/office/drawing/2012/chart" uri="{02D57815-91ED-43cb-92C2-25804820EDAC}">
                  <c15:fullRef>
                    <c15:sqref>'Mobile-General Trends Weekly'!$D$4:$D$43</c15:sqref>
                  </c15:fullRef>
                </c:ext>
              </c:extLst>
              <c:f>'Mobile-General Trends Weekly'!$D$17:$D$43</c:f>
              <c:numCache>
                <c:formatCode>0.00</c:formatCode>
                <c:ptCount val="27"/>
                <c:pt idx="0" formatCode="General">
                  <c:v>8.83</c:v>
                </c:pt>
                <c:pt idx="1" formatCode="General">
                  <c:v>6</c:v>
                </c:pt>
                <c:pt idx="2" formatCode="General">
                  <c:v>8.74</c:v>
                </c:pt>
                <c:pt idx="3" formatCode="General">
                  <c:v>8.8699999999999992</c:v>
                </c:pt>
                <c:pt idx="4" formatCode="General">
                  <c:v>34.42</c:v>
                </c:pt>
                <c:pt idx="5" formatCode="General">
                  <c:v>29.69</c:v>
                </c:pt>
                <c:pt idx="6" formatCode="General">
                  <c:v>14.93</c:v>
                </c:pt>
                <c:pt idx="7" formatCode="General">
                  <c:v>23.39</c:v>
                </c:pt>
                <c:pt idx="8" formatCode="General">
                  <c:v>19.93</c:v>
                </c:pt>
                <c:pt idx="9">
                  <c:v>49.848024316109424</c:v>
                </c:pt>
                <c:pt idx="10" formatCode="General">
                  <c:v>22.82</c:v>
                </c:pt>
                <c:pt idx="11" formatCode="General">
                  <c:v>8.06</c:v>
                </c:pt>
                <c:pt idx="12">
                  <c:v>18.100890207715135</c:v>
                </c:pt>
                <c:pt idx="13">
                  <c:v>15.769230769230768</c:v>
                </c:pt>
                <c:pt idx="14">
                  <c:v>8.8591184096802067</c:v>
                </c:pt>
                <c:pt idx="15">
                  <c:v>17.412935323383085</c:v>
                </c:pt>
                <c:pt idx="16">
                  <c:v>0.155</c:v>
                </c:pt>
                <c:pt idx="17">
                  <c:v>4.2553191489361701E-2</c:v>
                </c:pt>
                <c:pt idx="18">
                  <c:v>6.75</c:v>
                </c:pt>
                <c:pt idx="19">
                  <c:v>5.65</c:v>
                </c:pt>
                <c:pt idx="20">
                  <c:v>6.887052341597796</c:v>
                </c:pt>
                <c:pt idx="21" formatCode="General">
                  <c:v>0.08</c:v>
                </c:pt>
                <c:pt idx="22">
                  <c:v>6.25E-2</c:v>
                </c:pt>
                <c:pt idx="23">
                  <c:v>4.6620046620046623E-2</c:v>
                </c:pt>
                <c:pt idx="24" formatCode="General">
                  <c:v>0.01</c:v>
                </c:pt>
                <c:pt idx="25">
                  <c:v>1.3856812933025405E-2</c:v>
                </c:pt>
                <c:pt idx="26" formatCode="0.000">
                  <c:v>1.4314889393621287E-3</c:v>
                </c:pt>
              </c:numCache>
            </c:numRef>
          </c:val>
          <c:smooth val="0"/>
          <c:extLst>
            <c:ext xmlns:c16="http://schemas.microsoft.com/office/drawing/2014/chart" uri="{C3380CC4-5D6E-409C-BE32-E72D297353CC}">
              <c16:uniqueId val="{00000002-D241-4326-B46B-C345FFFA972C}"/>
            </c:ext>
          </c:extLst>
        </c:ser>
        <c:ser>
          <c:idx val="3"/>
          <c:order val="3"/>
          <c:tx>
            <c:strRef>
              <c:f>'Mobile-General Trends Weekly'!$E$2</c:f>
              <c:strCache>
                <c:ptCount val="1"/>
                <c:pt idx="0">
                  <c:v>General Check-in Bad</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4"/>
                </a:solidFill>
                <a:prstDash val="sysDot"/>
              </a:ln>
              <a:effectLst/>
            </c:spPr>
            <c:trendlineType val="linear"/>
            <c:dispRSqr val="0"/>
            <c:dispEq val="0"/>
          </c:trendline>
          <c:cat>
            <c:strRef>
              <c:extLst>
                <c:ext xmlns:c15="http://schemas.microsoft.com/office/drawing/2012/chart" uri="{02D57815-91ED-43cb-92C2-25804820EDAC}">
                  <c15:fullRef>
                    <c15:sqref>'Mobile-General Trends Weekly'!$A$4:$A$43</c15:sqref>
                  </c15:fullRef>
                </c:ext>
              </c:extLst>
              <c:f>'Mobile-General Trends Weekly'!$A$17:$A$43</c:f>
              <c:strCache>
                <c:ptCount val="27"/>
                <c:pt idx="0">
                  <c:v>09/05/2023 - 09/26/2023</c:v>
                </c:pt>
                <c:pt idx="1">
                  <c:v>09/29/2023 - 10/15/2023</c:v>
                </c:pt>
                <c:pt idx="2">
                  <c:v>11/07/2023 - 11/27/2023</c:v>
                </c:pt>
                <c:pt idx="3">
                  <c:v>11/28/2023 - 12/12/2023</c:v>
                </c:pt>
                <c:pt idx="4">
                  <c:v>12/20/2023 - 1/2/2024</c:v>
                </c:pt>
                <c:pt idx="5">
                  <c:v>1/2/2024 - 1/16/2024</c:v>
                </c:pt>
                <c:pt idx="6">
                  <c:v>01/17/2024 - 02/01/2024</c:v>
                </c:pt>
                <c:pt idx="7">
                  <c:v>2/02/2024 - 2/25/2024</c:v>
                </c:pt>
                <c:pt idx="8">
                  <c:v>2/28/2024 - 3/12/2024</c:v>
                </c:pt>
                <c:pt idx="9">
                  <c:v>3/12/2024 - 3/26/2024</c:v>
                </c:pt>
                <c:pt idx="10">
                  <c:v>3/26/2024 - 4/9/2024</c:v>
                </c:pt>
                <c:pt idx="11">
                  <c:v>4/10/2024 - 4/23/2024</c:v>
                </c:pt>
                <c:pt idx="12">
                  <c:v>4/24/2024 - 5/7/2024</c:v>
                </c:pt>
                <c:pt idx="13">
                  <c:v>5/8/2024-5/21/2024</c:v>
                </c:pt>
                <c:pt idx="14">
                  <c:v>5/21/2024-6/4/2024</c:v>
                </c:pt>
                <c:pt idx="15">
                  <c:v>6/6/2024 - 6/19/2024</c:v>
                </c:pt>
                <c:pt idx="16">
                  <c:v>620/2024 - 7/2/2024</c:v>
                </c:pt>
                <c:pt idx="17">
                  <c:v>7/3/2024-7/31/2024</c:v>
                </c:pt>
                <c:pt idx="18">
                  <c:v>8/1/2024-8/14/2024</c:v>
                </c:pt>
                <c:pt idx="19">
                  <c:v>8/15/2024-8/30/2024</c:v>
                </c:pt>
                <c:pt idx="20">
                  <c:v>9/1/2024-9/15/2024</c:v>
                </c:pt>
                <c:pt idx="21">
                  <c:v>9/16/2024-9/30/2024</c:v>
                </c:pt>
                <c:pt idx="22">
                  <c:v>10/1/2024-10/15/2024</c:v>
                </c:pt>
                <c:pt idx="23">
                  <c:v>10/16/2024-10/31/2024</c:v>
                </c:pt>
                <c:pt idx="24">
                  <c:v>11/1/2024-11/15/2024</c:v>
                </c:pt>
                <c:pt idx="25">
                  <c:v>11/16/2024-11/30/2024</c:v>
                </c:pt>
                <c:pt idx="26">
                  <c:v>12/1/2024-12/15/2024</c:v>
                </c:pt>
              </c:strCache>
            </c:strRef>
          </c:cat>
          <c:val>
            <c:numRef>
              <c:extLst>
                <c:ext xmlns:c15="http://schemas.microsoft.com/office/drawing/2012/chart" uri="{02D57815-91ED-43cb-92C2-25804820EDAC}">
                  <c15:fullRef>
                    <c15:sqref>'Mobile-General Trends Weekly'!$E$4:$E$43</c15:sqref>
                  </c15:fullRef>
                </c:ext>
              </c:extLst>
              <c:f>'Mobile-General Trends Weekly'!$E$17:$E$43</c:f>
              <c:numCache>
                <c:formatCode>0.00</c:formatCode>
                <c:ptCount val="27"/>
                <c:pt idx="0" formatCode="General">
                  <c:v>4.99</c:v>
                </c:pt>
                <c:pt idx="1" formatCode="General">
                  <c:v>2.4</c:v>
                </c:pt>
                <c:pt idx="2" formatCode="General">
                  <c:v>9.19</c:v>
                </c:pt>
                <c:pt idx="3" formatCode="General">
                  <c:v>10.84</c:v>
                </c:pt>
                <c:pt idx="4" formatCode="General">
                  <c:v>19.12</c:v>
                </c:pt>
                <c:pt idx="5" formatCode="General">
                  <c:v>20.09</c:v>
                </c:pt>
                <c:pt idx="6" formatCode="General">
                  <c:v>13.07</c:v>
                </c:pt>
                <c:pt idx="7" formatCode="General">
                  <c:v>12.69</c:v>
                </c:pt>
                <c:pt idx="8" formatCode="General">
                  <c:v>13.17</c:v>
                </c:pt>
                <c:pt idx="9">
                  <c:v>24.012158054711247</c:v>
                </c:pt>
                <c:pt idx="10" formatCode="General">
                  <c:v>15.35</c:v>
                </c:pt>
                <c:pt idx="11" formatCode="General">
                  <c:v>14.52</c:v>
                </c:pt>
                <c:pt idx="12">
                  <c:v>7.1216617210682491</c:v>
                </c:pt>
                <c:pt idx="13">
                  <c:v>10</c:v>
                </c:pt>
                <c:pt idx="14">
                  <c:v>5.6179775280898872</c:v>
                </c:pt>
                <c:pt idx="15">
                  <c:v>7.9601990049751246</c:v>
                </c:pt>
                <c:pt idx="16">
                  <c:v>5.5E-2</c:v>
                </c:pt>
                <c:pt idx="17">
                  <c:v>1.2274959083469721E-2</c:v>
                </c:pt>
                <c:pt idx="18">
                  <c:v>0.48</c:v>
                </c:pt>
                <c:pt idx="19">
                  <c:v>2.02</c:v>
                </c:pt>
                <c:pt idx="20">
                  <c:v>1.9283746556473829</c:v>
                </c:pt>
                <c:pt idx="21" formatCode="General">
                  <c:v>0.03</c:v>
                </c:pt>
                <c:pt idx="22">
                  <c:v>6.9444444444444441E-3</c:v>
                </c:pt>
                <c:pt idx="23">
                  <c:v>3.4965034965034965E-3</c:v>
                </c:pt>
                <c:pt idx="24" formatCode="General">
                  <c:v>0.03</c:v>
                </c:pt>
                <c:pt idx="25">
                  <c:v>6.9284064665127024E-3</c:v>
                </c:pt>
                <c:pt idx="26" formatCode="0.000">
                  <c:v>7.1574446968106437E-4</c:v>
                </c:pt>
              </c:numCache>
            </c:numRef>
          </c:val>
          <c:smooth val="0"/>
          <c:extLst>
            <c:ext xmlns:c16="http://schemas.microsoft.com/office/drawing/2014/chart" uri="{C3380CC4-5D6E-409C-BE32-E72D297353CC}">
              <c16:uniqueId val="{00000003-D241-4326-B46B-C345FFFA972C}"/>
            </c:ext>
          </c:extLst>
        </c:ser>
        <c:dLbls>
          <c:dLblPos val="t"/>
          <c:showLegendKey val="0"/>
          <c:showVal val="1"/>
          <c:showCatName val="0"/>
          <c:showSerName val="0"/>
          <c:showPercent val="0"/>
          <c:showBubbleSize val="0"/>
        </c:dLbls>
        <c:marker val="1"/>
        <c:smooth val="0"/>
        <c:axId val="808175008"/>
        <c:axId val="808172712"/>
        <c:extLst>
          <c:ext xmlns:c15="http://schemas.microsoft.com/office/drawing/2012/chart" uri="{02D57815-91ED-43cb-92C2-25804820EDAC}">
            <c15:filteredLineSeries>
              <c15:ser>
                <c:idx val="0"/>
                <c:order val="0"/>
                <c:tx>
                  <c:strRef>
                    <c:extLst>
                      <c:ext uri="{02D57815-91ED-43cb-92C2-25804820EDAC}">
                        <c15:formulaRef>
                          <c15:sqref>'Mobile-General Trends Weekly'!$B$2</c15:sqref>
                        </c15:formulaRef>
                      </c:ext>
                    </c:extLst>
                    <c:strCache>
                      <c:ptCount val="1"/>
                      <c:pt idx="0">
                        <c:v>Mobile Check-in Good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solidFill>
                      <a:prstDash val="sysDot"/>
                    </a:ln>
                    <a:effectLst/>
                  </c:spPr>
                  <c:trendlineType val="linear"/>
                  <c:dispRSqr val="0"/>
                  <c:dispEq val="0"/>
                </c:trendline>
                <c:cat>
                  <c:strRef>
                    <c:extLst>
                      <c:ext uri="{02D57815-91ED-43cb-92C2-25804820EDAC}">
                        <c15:fullRef>
                          <c15:sqref>'Mobile-General Trends Weekly'!$A$4:$A$43</c15:sqref>
                        </c15:fullRef>
                        <c15:formulaRef>
                          <c15:sqref>'Mobile-General Trends Weekly'!$A$17:$A$43</c15:sqref>
                        </c15:formulaRef>
                      </c:ext>
                    </c:extLst>
                    <c:strCache>
                      <c:ptCount val="27"/>
                      <c:pt idx="0">
                        <c:v>09/05/2023 - 09/26/2023</c:v>
                      </c:pt>
                      <c:pt idx="1">
                        <c:v>09/29/2023 - 10/15/2023</c:v>
                      </c:pt>
                      <c:pt idx="2">
                        <c:v>11/07/2023 - 11/27/2023</c:v>
                      </c:pt>
                      <c:pt idx="3">
                        <c:v>11/28/2023 - 12/12/2023</c:v>
                      </c:pt>
                      <c:pt idx="4">
                        <c:v>12/20/2023 - 1/2/2024</c:v>
                      </c:pt>
                      <c:pt idx="5">
                        <c:v>1/2/2024 - 1/16/2024</c:v>
                      </c:pt>
                      <c:pt idx="6">
                        <c:v>01/17/2024 - 02/01/2024</c:v>
                      </c:pt>
                      <c:pt idx="7">
                        <c:v>2/02/2024 - 2/25/2024</c:v>
                      </c:pt>
                      <c:pt idx="8">
                        <c:v>2/28/2024 - 3/12/2024</c:v>
                      </c:pt>
                      <c:pt idx="9">
                        <c:v>3/12/2024 - 3/26/2024</c:v>
                      </c:pt>
                      <c:pt idx="10">
                        <c:v>3/26/2024 - 4/9/2024</c:v>
                      </c:pt>
                      <c:pt idx="11">
                        <c:v>4/10/2024 - 4/23/2024</c:v>
                      </c:pt>
                      <c:pt idx="12">
                        <c:v>4/24/2024 - 5/7/2024</c:v>
                      </c:pt>
                      <c:pt idx="13">
                        <c:v>5/8/2024-5/21/2024</c:v>
                      </c:pt>
                      <c:pt idx="14">
                        <c:v>5/21/2024-6/4/2024</c:v>
                      </c:pt>
                      <c:pt idx="15">
                        <c:v>6/6/2024 - 6/19/2024</c:v>
                      </c:pt>
                      <c:pt idx="16">
                        <c:v>620/2024 - 7/2/2024</c:v>
                      </c:pt>
                      <c:pt idx="17">
                        <c:v>7/3/2024-7/31/2024</c:v>
                      </c:pt>
                      <c:pt idx="18">
                        <c:v>8/1/2024-8/14/2024</c:v>
                      </c:pt>
                      <c:pt idx="19">
                        <c:v>8/15/2024-8/30/2024</c:v>
                      </c:pt>
                      <c:pt idx="20">
                        <c:v>9/1/2024-9/15/2024</c:v>
                      </c:pt>
                      <c:pt idx="21">
                        <c:v>9/16/2024-9/30/2024</c:v>
                      </c:pt>
                      <c:pt idx="22">
                        <c:v>10/1/2024-10/15/2024</c:v>
                      </c:pt>
                      <c:pt idx="23">
                        <c:v>10/16/2024-10/31/2024</c:v>
                      </c:pt>
                      <c:pt idx="24">
                        <c:v>11/1/2024-11/15/2024</c:v>
                      </c:pt>
                      <c:pt idx="25">
                        <c:v>11/16/2024-11/30/2024</c:v>
                      </c:pt>
                      <c:pt idx="26">
                        <c:v>12/1/2024-12/15/2024</c:v>
                      </c:pt>
                    </c:strCache>
                  </c:strRef>
                </c:cat>
                <c:val>
                  <c:numRef>
                    <c:extLst>
                      <c:ext uri="{02D57815-91ED-43cb-92C2-25804820EDAC}">
                        <c15:fullRef>
                          <c15:sqref>'Mobile-General Trends Weekly'!$B$4:$B$43</c15:sqref>
                        </c15:fullRef>
                        <c15:formulaRef>
                          <c15:sqref>'Mobile-General Trends Weekly'!$B$17:$B$43</c15:sqref>
                        </c15:formulaRef>
                      </c:ext>
                    </c:extLst>
                    <c:numCache>
                      <c:formatCode>0.00</c:formatCode>
                      <c:ptCount val="27"/>
                      <c:pt idx="0" formatCode="General">
                        <c:v>1.34</c:v>
                      </c:pt>
                      <c:pt idx="1" formatCode="General">
                        <c:v>0.6</c:v>
                      </c:pt>
                      <c:pt idx="2" formatCode="General">
                        <c:v>1.57</c:v>
                      </c:pt>
                      <c:pt idx="3" formatCode="General">
                        <c:v>2.46</c:v>
                      </c:pt>
                      <c:pt idx="4" formatCode="General">
                        <c:v>2.73</c:v>
                      </c:pt>
                      <c:pt idx="5" formatCode="General">
                        <c:v>3.49</c:v>
                      </c:pt>
                      <c:pt idx="6" formatCode="General">
                        <c:v>4.53</c:v>
                      </c:pt>
                      <c:pt idx="7" formatCode="General">
                        <c:v>4.9000000000000004</c:v>
                      </c:pt>
                      <c:pt idx="8" formatCode="General">
                        <c:v>3.56</c:v>
                      </c:pt>
                      <c:pt idx="9">
                        <c:v>3.9513677811550152</c:v>
                      </c:pt>
                      <c:pt idx="10" formatCode="General">
                        <c:v>3.73</c:v>
                      </c:pt>
                      <c:pt idx="11" formatCode="General">
                        <c:v>4.03</c:v>
                      </c:pt>
                      <c:pt idx="12">
                        <c:v>3.2640949554896146</c:v>
                      </c:pt>
                      <c:pt idx="13">
                        <c:v>3.4615384615384617</c:v>
                      </c:pt>
                      <c:pt idx="14">
                        <c:v>1.9446845289541919</c:v>
                      </c:pt>
                      <c:pt idx="15">
                        <c:v>3.9800995024875623</c:v>
                      </c:pt>
                      <c:pt idx="16">
                        <c:v>0.05</c:v>
                      </c:pt>
                      <c:pt idx="17">
                        <c:v>9.0016366612111296E-3</c:v>
                      </c:pt>
                      <c:pt idx="18">
                        <c:v>0.72</c:v>
                      </c:pt>
                      <c:pt idx="19">
                        <c:v>0.2</c:v>
                      </c:pt>
                      <c:pt idx="20">
                        <c:v>0.27548209366391185</c:v>
                      </c:pt>
                      <c:pt idx="21" formatCode="General">
                        <c:v>0.01</c:v>
                      </c:pt>
                      <c:pt idx="22">
                        <c:v>1.6203703703703703E-2</c:v>
                      </c:pt>
                      <c:pt idx="23">
                        <c:v>1.1655011655011656E-2</c:v>
                      </c:pt>
                      <c:pt idx="24" formatCode="General">
                        <c:v>0.01</c:v>
                      </c:pt>
                      <c:pt idx="25">
                        <c:v>2.3094688221709007E-3</c:v>
                      </c:pt>
                      <c:pt idx="26" formatCode="0.000">
                        <c:v>2.3858148989368809E-4</c:v>
                      </c:pt>
                    </c:numCache>
                  </c:numRef>
                </c:val>
                <c:smooth val="0"/>
                <c:extLst>
                  <c:ext xmlns:c16="http://schemas.microsoft.com/office/drawing/2014/chart" uri="{C3380CC4-5D6E-409C-BE32-E72D297353CC}">
                    <c16:uniqueId val="{00000001-8E1B-4001-9BDB-4BD48B41BBE9}"/>
                  </c:ext>
                </c:extLst>
              </c15:ser>
            </c15:filteredLineSeries>
            <c15:filteredLineSeries>
              <c15:ser>
                <c:idx val="1"/>
                <c:order val="1"/>
                <c:tx>
                  <c:strRef>
                    <c:extLst xmlns:c15="http://schemas.microsoft.com/office/drawing/2012/chart">
                      <c:ext xmlns:c15="http://schemas.microsoft.com/office/drawing/2012/chart" uri="{02D57815-91ED-43cb-92C2-25804820EDAC}">
                        <c15:formulaRef>
                          <c15:sqref>'Mobile-General Trends Weekly'!$C$2</c15:sqref>
                        </c15:formulaRef>
                      </c:ext>
                    </c:extLst>
                    <c:strCache>
                      <c:ptCount val="1"/>
                      <c:pt idx="0">
                        <c:v>Mobile Check-in Bad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2"/>
                      </a:solidFill>
                      <a:prstDash val="sysDot"/>
                    </a:ln>
                    <a:effectLst/>
                  </c:spPr>
                  <c:trendlineType val="linear"/>
                  <c:dispRSqr val="0"/>
                  <c:dispEq val="0"/>
                </c:trendline>
                <c:cat>
                  <c:strRef>
                    <c:extLst>
                      <c:ext xmlns:c15="http://schemas.microsoft.com/office/drawing/2012/chart" uri="{02D57815-91ED-43cb-92C2-25804820EDAC}">
                        <c15:fullRef>
                          <c15:sqref>'Mobile-General Trends Weekly'!$A$4:$A$43</c15:sqref>
                        </c15:fullRef>
                        <c15:formulaRef>
                          <c15:sqref>'Mobile-General Trends Weekly'!$A$17:$A$43</c15:sqref>
                        </c15:formulaRef>
                      </c:ext>
                    </c:extLst>
                    <c:strCache>
                      <c:ptCount val="27"/>
                      <c:pt idx="0">
                        <c:v>09/05/2023 - 09/26/2023</c:v>
                      </c:pt>
                      <c:pt idx="1">
                        <c:v>09/29/2023 - 10/15/2023</c:v>
                      </c:pt>
                      <c:pt idx="2">
                        <c:v>11/07/2023 - 11/27/2023</c:v>
                      </c:pt>
                      <c:pt idx="3">
                        <c:v>11/28/2023 - 12/12/2023</c:v>
                      </c:pt>
                      <c:pt idx="4">
                        <c:v>12/20/2023 - 1/2/2024</c:v>
                      </c:pt>
                      <c:pt idx="5">
                        <c:v>1/2/2024 - 1/16/2024</c:v>
                      </c:pt>
                      <c:pt idx="6">
                        <c:v>01/17/2024 - 02/01/2024</c:v>
                      </c:pt>
                      <c:pt idx="7">
                        <c:v>2/02/2024 - 2/25/2024</c:v>
                      </c:pt>
                      <c:pt idx="8">
                        <c:v>2/28/2024 - 3/12/2024</c:v>
                      </c:pt>
                      <c:pt idx="9">
                        <c:v>3/12/2024 - 3/26/2024</c:v>
                      </c:pt>
                      <c:pt idx="10">
                        <c:v>3/26/2024 - 4/9/2024</c:v>
                      </c:pt>
                      <c:pt idx="11">
                        <c:v>4/10/2024 - 4/23/2024</c:v>
                      </c:pt>
                      <c:pt idx="12">
                        <c:v>4/24/2024 - 5/7/2024</c:v>
                      </c:pt>
                      <c:pt idx="13">
                        <c:v>5/8/2024-5/21/2024</c:v>
                      </c:pt>
                      <c:pt idx="14">
                        <c:v>5/21/2024-6/4/2024</c:v>
                      </c:pt>
                      <c:pt idx="15">
                        <c:v>6/6/2024 - 6/19/2024</c:v>
                      </c:pt>
                      <c:pt idx="16">
                        <c:v>620/2024 - 7/2/2024</c:v>
                      </c:pt>
                      <c:pt idx="17">
                        <c:v>7/3/2024-7/31/2024</c:v>
                      </c:pt>
                      <c:pt idx="18">
                        <c:v>8/1/2024-8/14/2024</c:v>
                      </c:pt>
                      <c:pt idx="19">
                        <c:v>8/15/2024-8/30/2024</c:v>
                      </c:pt>
                      <c:pt idx="20">
                        <c:v>9/1/2024-9/15/2024</c:v>
                      </c:pt>
                      <c:pt idx="21">
                        <c:v>9/16/2024-9/30/2024</c:v>
                      </c:pt>
                      <c:pt idx="22">
                        <c:v>10/1/2024-10/15/2024</c:v>
                      </c:pt>
                      <c:pt idx="23">
                        <c:v>10/16/2024-10/31/2024</c:v>
                      </c:pt>
                      <c:pt idx="24">
                        <c:v>11/1/2024-11/15/2024</c:v>
                      </c:pt>
                      <c:pt idx="25">
                        <c:v>11/16/2024-11/30/2024</c:v>
                      </c:pt>
                      <c:pt idx="26">
                        <c:v>12/1/2024-12/15/2024</c:v>
                      </c:pt>
                    </c:strCache>
                  </c:strRef>
                </c:cat>
                <c:val>
                  <c:numRef>
                    <c:extLst>
                      <c:ext xmlns:c15="http://schemas.microsoft.com/office/drawing/2012/chart" uri="{02D57815-91ED-43cb-92C2-25804820EDAC}">
                        <c15:fullRef>
                          <c15:sqref>'Mobile-General Trends Weekly'!$C$4:$C$43</c15:sqref>
                        </c15:fullRef>
                        <c15:formulaRef>
                          <c15:sqref>'Mobile-General Trends Weekly'!$C$17:$C$43</c15:sqref>
                        </c15:formulaRef>
                      </c:ext>
                    </c:extLst>
                    <c:numCache>
                      <c:formatCode>0.00</c:formatCode>
                      <c:ptCount val="27"/>
                      <c:pt idx="0" formatCode="General">
                        <c:v>3.26</c:v>
                      </c:pt>
                      <c:pt idx="1" formatCode="General">
                        <c:v>1</c:v>
                      </c:pt>
                      <c:pt idx="2" formatCode="General">
                        <c:v>2.42</c:v>
                      </c:pt>
                      <c:pt idx="3" formatCode="General">
                        <c:v>3.45</c:v>
                      </c:pt>
                      <c:pt idx="4" formatCode="General">
                        <c:v>7.1</c:v>
                      </c:pt>
                      <c:pt idx="5" formatCode="General">
                        <c:v>5.24</c:v>
                      </c:pt>
                      <c:pt idx="6" formatCode="General">
                        <c:v>3.73</c:v>
                      </c:pt>
                      <c:pt idx="7" formatCode="General">
                        <c:v>4.2300000000000004</c:v>
                      </c:pt>
                      <c:pt idx="8" formatCode="General">
                        <c:v>2.14</c:v>
                      </c:pt>
                      <c:pt idx="9">
                        <c:v>4.5592705167173255</c:v>
                      </c:pt>
                      <c:pt idx="10" formatCode="General">
                        <c:v>4.5599999999999996</c:v>
                      </c:pt>
                      <c:pt idx="11" formatCode="General">
                        <c:v>3.23</c:v>
                      </c:pt>
                      <c:pt idx="12">
                        <c:v>2.0771513353115725</c:v>
                      </c:pt>
                      <c:pt idx="13">
                        <c:v>1.153846153846154</c:v>
                      </c:pt>
                      <c:pt idx="14">
                        <c:v>0.64822817631806406</c:v>
                      </c:pt>
                      <c:pt idx="15">
                        <c:v>0.99502487562189057</c:v>
                      </c:pt>
                      <c:pt idx="16">
                        <c:v>0</c:v>
                      </c:pt>
                      <c:pt idx="17">
                        <c:v>5.7283142389525366E-3</c:v>
                      </c:pt>
                      <c:pt idx="18">
                        <c:v>0</c:v>
                      </c:pt>
                      <c:pt idx="19">
                        <c:v>0.2</c:v>
                      </c:pt>
                      <c:pt idx="20">
                        <c:v>0.55096418732782371</c:v>
                      </c:pt>
                      <c:pt idx="21" formatCode="General">
                        <c:v>0.02</c:v>
                      </c:pt>
                      <c:pt idx="22">
                        <c:v>6.9444444444444441E-3</c:v>
                      </c:pt>
                      <c:pt idx="23">
                        <c:v>0</c:v>
                      </c:pt>
                      <c:pt idx="24" formatCode="General">
                        <c:v>0</c:v>
                      </c:pt>
                      <c:pt idx="25">
                        <c:v>0</c:v>
                      </c:pt>
                      <c:pt idx="26" formatCode="0.000">
                        <c:v>0</c:v>
                      </c:pt>
                    </c:numCache>
                  </c:numRef>
                </c:val>
                <c:smooth val="0"/>
                <c:extLst xmlns:c15="http://schemas.microsoft.com/office/drawing/2012/chart">
                  <c:ext xmlns:c16="http://schemas.microsoft.com/office/drawing/2014/chart" uri="{C3380CC4-5D6E-409C-BE32-E72D297353CC}">
                    <c16:uniqueId val="{00000003-8E1B-4001-9BDB-4BD48B41BBE9}"/>
                  </c:ext>
                </c:extLst>
              </c15:ser>
            </c15:filteredLineSeries>
          </c:ext>
        </c:extLst>
      </c:lineChart>
      <c:catAx>
        <c:axId val="808175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8172712"/>
        <c:crosses val="autoZero"/>
        <c:auto val="1"/>
        <c:lblAlgn val="ctr"/>
        <c:lblOffset val="100"/>
        <c:noMultiLvlLbl val="0"/>
      </c:catAx>
      <c:valAx>
        <c:axId val="8081727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Percentag e of All Comments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817500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5.xml"/><Relationship Id="rId3" Type="http://schemas.openxmlformats.org/officeDocument/2006/relationships/chart" Target="../charts/chart10.xml"/><Relationship Id="rId7" Type="http://schemas.openxmlformats.org/officeDocument/2006/relationships/chart" Target="../charts/chart14.xml"/><Relationship Id="rId12" Type="http://schemas.openxmlformats.org/officeDocument/2006/relationships/chart" Target="../charts/chart19.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11" Type="http://schemas.openxmlformats.org/officeDocument/2006/relationships/chart" Target="../charts/chart18.xml"/><Relationship Id="rId5" Type="http://schemas.openxmlformats.org/officeDocument/2006/relationships/chart" Target="../charts/chart12.xml"/><Relationship Id="rId10" Type="http://schemas.openxmlformats.org/officeDocument/2006/relationships/chart" Target="../charts/chart17.xml"/><Relationship Id="rId4" Type="http://schemas.openxmlformats.org/officeDocument/2006/relationships/chart" Target="../charts/chart11.xml"/><Relationship Id="rId9" Type="http://schemas.openxmlformats.org/officeDocument/2006/relationships/chart" Target="../charts/chart16.xml"/></Relationships>
</file>

<file path=xl/drawings/_rels/drawing4.xml.rels><?xml version="1.0" encoding="UTF-8" standalone="yes"?>
<Relationships xmlns="http://schemas.openxmlformats.org/package/2006/relationships"><Relationship Id="rId8" Type="http://schemas.openxmlformats.org/officeDocument/2006/relationships/chart" Target="../charts/chart27.xml"/><Relationship Id="rId3" Type="http://schemas.openxmlformats.org/officeDocument/2006/relationships/chart" Target="../charts/chart22.xml"/><Relationship Id="rId7" Type="http://schemas.openxmlformats.org/officeDocument/2006/relationships/chart" Target="../charts/chart26.xml"/><Relationship Id="rId12" Type="http://schemas.openxmlformats.org/officeDocument/2006/relationships/chart" Target="../charts/chart31.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11" Type="http://schemas.openxmlformats.org/officeDocument/2006/relationships/chart" Target="../charts/chart30.xml"/><Relationship Id="rId5" Type="http://schemas.openxmlformats.org/officeDocument/2006/relationships/chart" Target="../charts/chart24.xml"/><Relationship Id="rId10" Type="http://schemas.openxmlformats.org/officeDocument/2006/relationships/chart" Target="../charts/chart29.xml"/><Relationship Id="rId4" Type="http://schemas.openxmlformats.org/officeDocument/2006/relationships/chart" Target="../charts/chart23.xml"/><Relationship Id="rId9" Type="http://schemas.openxmlformats.org/officeDocument/2006/relationships/chart" Target="../charts/chart28.xml"/></Relationships>
</file>

<file path=xl/drawings/_rels/drawing5.xml.rels><?xml version="1.0" encoding="UTF-8" standalone="yes"?>
<Relationships xmlns="http://schemas.openxmlformats.org/package/2006/relationships"><Relationship Id="rId8" Type="http://schemas.openxmlformats.org/officeDocument/2006/relationships/chart" Target="../charts/chart39.xml"/><Relationship Id="rId3" Type="http://schemas.openxmlformats.org/officeDocument/2006/relationships/chart" Target="../charts/chart34.xml"/><Relationship Id="rId7" Type="http://schemas.openxmlformats.org/officeDocument/2006/relationships/chart" Target="../charts/chart38.xml"/><Relationship Id="rId12" Type="http://schemas.openxmlformats.org/officeDocument/2006/relationships/chart" Target="../charts/chart43.xml"/><Relationship Id="rId2" Type="http://schemas.openxmlformats.org/officeDocument/2006/relationships/chart" Target="../charts/chart33.xml"/><Relationship Id="rId1" Type="http://schemas.openxmlformats.org/officeDocument/2006/relationships/chart" Target="../charts/chart32.xml"/><Relationship Id="rId6" Type="http://schemas.openxmlformats.org/officeDocument/2006/relationships/chart" Target="../charts/chart37.xml"/><Relationship Id="rId11" Type="http://schemas.openxmlformats.org/officeDocument/2006/relationships/chart" Target="../charts/chart42.xml"/><Relationship Id="rId5" Type="http://schemas.openxmlformats.org/officeDocument/2006/relationships/chart" Target="../charts/chart36.xml"/><Relationship Id="rId10" Type="http://schemas.openxmlformats.org/officeDocument/2006/relationships/chart" Target="../charts/chart41.xml"/><Relationship Id="rId4" Type="http://schemas.openxmlformats.org/officeDocument/2006/relationships/chart" Target="../charts/chart35.xml"/><Relationship Id="rId9" Type="http://schemas.openxmlformats.org/officeDocument/2006/relationships/chart" Target="../charts/chart40.xml"/></Relationships>
</file>

<file path=xl/drawings/_rels/drawing6.xml.rels><?xml version="1.0" encoding="UTF-8" standalone="yes"?>
<Relationships xmlns="http://schemas.openxmlformats.org/package/2006/relationships"><Relationship Id="rId8" Type="http://schemas.openxmlformats.org/officeDocument/2006/relationships/chart" Target="../charts/chart51.xml"/><Relationship Id="rId3" Type="http://schemas.openxmlformats.org/officeDocument/2006/relationships/chart" Target="../charts/chart46.xml"/><Relationship Id="rId7" Type="http://schemas.openxmlformats.org/officeDocument/2006/relationships/chart" Target="../charts/chart50.xml"/><Relationship Id="rId12" Type="http://schemas.openxmlformats.org/officeDocument/2006/relationships/chart" Target="../charts/chart55.xml"/><Relationship Id="rId2" Type="http://schemas.openxmlformats.org/officeDocument/2006/relationships/chart" Target="../charts/chart45.xml"/><Relationship Id="rId1" Type="http://schemas.openxmlformats.org/officeDocument/2006/relationships/chart" Target="../charts/chart44.xml"/><Relationship Id="rId6" Type="http://schemas.openxmlformats.org/officeDocument/2006/relationships/chart" Target="../charts/chart49.xml"/><Relationship Id="rId11" Type="http://schemas.openxmlformats.org/officeDocument/2006/relationships/chart" Target="../charts/chart54.xml"/><Relationship Id="rId5" Type="http://schemas.openxmlformats.org/officeDocument/2006/relationships/chart" Target="../charts/chart48.xml"/><Relationship Id="rId10" Type="http://schemas.openxmlformats.org/officeDocument/2006/relationships/chart" Target="../charts/chart53.xml"/><Relationship Id="rId4" Type="http://schemas.openxmlformats.org/officeDocument/2006/relationships/chart" Target="../charts/chart47.xml"/><Relationship Id="rId9" Type="http://schemas.openxmlformats.org/officeDocument/2006/relationships/chart" Target="../charts/chart52.xml"/></Relationships>
</file>

<file path=xl/drawings/_rels/drawing7.xml.rels><?xml version="1.0" encoding="UTF-8" standalone="yes"?>
<Relationships xmlns="http://schemas.openxmlformats.org/package/2006/relationships"><Relationship Id="rId2" Type="http://schemas.openxmlformats.org/officeDocument/2006/relationships/chart" Target="../charts/chart57.xml"/><Relationship Id="rId1" Type="http://schemas.openxmlformats.org/officeDocument/2006/relationships/chart" Target="../charts/chart56.xml"/></Relationships>
</file>

<file path=xl/drawings/drawing1.xml><?xml version="1.0" encoding="utf-8"?>
<xdr:wsDr xmlns:xdr="http://schemas.openxmlformats.org/drawingml/2006/spreadsheetDrawing" xmlns:a="http://schemas.openxmlformats.org/drawingml/2006/main">
  <xdr:twoCellAnchor>
    <xdr:from>
      <xdr:col>25</xdr:col>
      <xdr:colOff>300037</xdr:colOff>
      <xdr:row>2016</xdr:row>
      <xdr:rowOff>442912</xdr:rowOff>
    </xdr:from>
    <xdr:to>
      <xdr:col>32</xdr:col>
      <xdr:colOff>604837</xdr:colOff>
      <xdr:row>2017</xdr:row>
      <xdr:rowOff>1090612</xdr:rowOff>
    </xdr:to>
    <xdr:graphicFrame macro="">
      <xdr:nvGraphicFramePr>
        <xdr:cNvPr id="2" name="Chart 1">
          <a:extLst>
            <a:ext uri="{FF2B5EF4-FFF2-40B4-BE49-F238E27FC236}">
              <a16:creationId xmlns:a16="http://schemas.microsoft.com/office/drawing/2014/main" id="{2B834093-79E3-4984-BBCF-DCBC40347EA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609599</xdr:colOff>
      <xdr:row>5</xdr:row>
      <xdr:rowOff>0</xdr:rowOff>
    </xdr:from>
    <xdr:to>
      <xdr:col>11</xdr:col>
      <xdr:colOff>542924</xdr:colOff>
      <xdr:row>21</xdr:row>
      <xdr:rowOff>95250</xdr:rowOff>
    </xdr:to>
    <xdr:graphicFrame macro="">
      <xdr:nvGraphicFramePr>
        <xdr:cNvPr id="9" name="Chart 8">
          <a:extLst>
            <a:ext uri="{FF2B5EF4-FFF2-40B4-BE49-F238E27FC236}">
              <a16:creationId xmlns:a16="http://schemas.microsoft.com/office/drawing/2014/main" id="{FA46FE7D-2B1D-49AD-933B-4587E8773E4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523874</xdr:colOff>
      <xdr:row>4</xdr:row>
      <xdr:rowOff>171449</xdr:rowOff>
    </xdr:from>
    <xdr:to>
      <xdr:col>21</xdr:col>
      <xdr:colOff>260349</xdr:colOff>
      <xdr:row>21</xdr:row>
      <xdr:rowOff>66674</xdr:rowOff>
    </xdr:to>
    <xdr:graphicFrame macro="">
      <xdr:nvGraphicFramePr>
        <xdr:cNvPr id="10" name="Chart 9">
          <a:extLst>
            <a:ext uri="{FF2B5EF4-FFF2-40B4-BE49-F238E27FC236}">
              <a16:creationId xmlns:a16="http://schemas.microsoft.com/office/drawing/2014/main" id="{5B2CC854-00A7-4D3D-BB6D-B0188CFA95D1}"/>
            </a:ext>
            <a:ext uri="{147F2762-F138-4A5C-976F-8EAC2B608ADB}">
              <a16:predDERef xmlns:a16="http://schemas.microsoft.com/office/drawing/2014/main" pred="{FA46FE7D-2B1D-49AD-933B-4587E8773E4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552450</xdr:colOff>
      <xdr:row>22</xdr:row>
      <xdr:rowOff>104775</xdr:rowOff>
    </xdr:from>
    <xdr:to>
      <xdr:col>11</xdr:col>
      <xdr:colOff>590550</xdr:colOff>
      <xdr:row>39</xdr:row>
      <xdr:rowOff>180975</xdr:rowOff>
    </xdr:to>
    <xdr:graphicFrame macro="">
      <xdr:nvGraphicFramePr>
        <xdr:cNvPr id="11" name="Chart 10">
          <a:extLst>
            <a:ext uri="{FF2B5EF4-FFF2-40B4-BE49-F238E27FC236}">
              <a16:creationId xmlns:a16="http://schemas.microsoft.com/office/drawing/2014/main" id="{2EE6EA3F-3BC5-49C3-9345-1F34904FFB3C}"/>
            </a:ext>
            <a:ext uri="{147F2762-F138-4A5C-976F-8EAC2B608ADB}">
              <a16:predDERef xmlns:a16="http://schemas.microsoft.com/office/drawing/2014/main" pred="{5B2CC854-00A7-4D3D-BB6D-B0188CFA95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504824</xdr:colOff>
      <xdr:row>22</xdr:row>
      <xdr:rowOff>123824</xdr:rowOff>
    </xdr:from>
    <xdr:to>
      <xdr:col>21</xdr:col>
      <xdr:colOff>527049</xdr:colOff>
      <xdr:row>39</xdr:row>
      <xdr:rowOff>190499</xdr:rowOff>
    </xdr:to>
    <xdr:graphicFrame macro="">
      <xdr:nvGraphicFramePr>
        <xdr:cNvPr id="12" name="Chart 11">
          <a:extLst>
            <a:ext uri="{FF2B5EF4-FFF2-40B4-BE49-F238E27FC236}">
              <a16:creationId xmlns:a16="http://schemas.microsoft.com/office/drawing/2014/main" id="{194C46DA-632E-4060-A512-3C7B0ADE09DB}"/>
            </a:ext>
            <a:ext uri="{147F2762-F138-4A5C-976F-8EAC2B608ADB}">
              <a16:predDERef xmlns:a16="http://schemas.microsoft.com/office/drawing/2014/main" pred="{2EE6EA3F-3BC5-49C3-9345-1F34904FFB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22</xdr:col>
      <xdr:colOff>133349</xdr:colOff>
      <xdr:row>5</xdr:row>
      <xdr:rowOff>85724</xdr:rowOff>
    </xdr:from>
    <xdr:to>
      <xdr:col>30</xdr:col>
      <xdr:colOff>447674</xdr:colOff>
      <xdr:row>21</xdr:row>
      <xdr:rowOff>152399</xdr:rowOff>
    </xdr:to>
    <xdr:graphicFrame macro="">
      <xdr:nvGraphicFramePr>
        <xdr:cNvPr id="2" name="Chart 1">
          <a:extLst>
            <a:ext uri="{FF2B5EF4-FFF2-40B4-BE49-F238E27FC236}">
              <a16:creationId xmlns:a16="http://schemas.microsoft.com/office/drawing/2014/main" id="{CBD48356-178E-47DB-89A2-FCFF3EF9CFA4}"/>
            </a:ext>
            <a:ext uri="{147F2762-F138-4A5C-976F-8EAC2B608ADB}">
              <a16:predDERef xmlns:a16="http://schemas.microsoft.com/office/drawing/2014/main" pred="{194C46DA-632E-4060-A512-3C7B0ADE09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171449</xdr:colOff>
      <xdr:row>22</xdr:row>
      <xdr:rowOff>133349</xdr:rowOff>
    </xdr:from>
    <xdr:to>
      <xdr:col>31</xdr:col>
      <xdr:colOff>161925</xdr:colOff>
      <xdr:row>39</xdr:row>
      <xdr:rowOff>180975</xdr:rowOff>
    </xdr:to>
    <xdr:graphicFrame macro="">
      <xdr:nvGraphicFramePr>
        <xdr:cNvPr id="7" name="Chart 6">
          <a:extLst>
            <a:ext uri="{FF2B5EF4-FFF2-40B4-BE49-F238E27FC236}">
              <a16:creationId xmlns:a16="http://schemas.microsoft.com/office/drawing/2014/main" id="{A584D90D-6FF8-4F5D-A23E-0468C9127B79}"/>
            </a:ext>
            <a:ext uri="{147F2762-F138-4A5C-976F-8EAC2B608ADB}">
              <a16:predDERef xmlns:a16="http://schemas.microsoft.com/office/drawing/2014/main" pred="{CBD48356-178E-47DB-89A2-FCFF3EF9CF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269875</xdr:colOff>
      <xdr:row>40</xdr:row>
      <xdr:rowOff>95250</xdr:rowOff>
    </xdr:from>
    <xdr:to>
      <xdr:col>1</xdr:col>
      <xdr:colOff>495300</xdr:colOff>
      <xdr:row>56</xdr:row>
      <xdr:rowOff>171450</xdr:rowOff>
    </xdr:to>
    <xdr:graphicFrame macro="">
      <xdr:nvGraphicFramePr>
        <xdr:cNvPr id="8" name="Chart 7">
          <a:extLst>
            <a:ext uri="{FF2B5EF4-FFF2-40B4-BE49-F238E27FC236}">
              <a16:creationId xmlns:a16="http://schemas.microsoft.com/office/drawing/2014/main" id="{3FDAB4B3-63A1-49CB-9FA5-22DE6B44F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185737</xdr:colOff>
      <xdr:row>4</xdr:row>
      <xdr:rowOff>157162</xdr:rowOff>
    </xdr:from>
    <xdr:to>
      <xdr:col>2</xdr:col>
      <xdr:colOff>41782</xdr:colOff>
      <xdr:row>21</xdr:row>
      <xdr:rowOff>38100</xdr:rowOff>
    </xdr:to>
    <xdr:graphicFrame macro="">
      <xdr:nvGraphicFramePr>
        <xdr:cNvPr id="11" name="Chart 10">
          <a:extLst>
            <a:ext uri="{FF2B5EF4-FFF2-40B4-BE49-F238E27FC236}">
              <a16:creationId xmlns:a16="http://schemas.microsoft.com/office/drawing/2014/main" id="{BBD80F72-8B6C-4E93-87BD-C6A5D7A19259}"/>
            </a:ext>
            <a:ext uri="{147F2762-F138-4A5C-976F-8EAC2B608ADB}">
              <a16:predDERef xmlns:a16="http://schemas.microsoft.com/office/drawing/2014/main" pred="{3FDAB4B3-63A1-49CB-9FA5-22DE6B44F07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176211</xdr:colOff>
      <xdr:row>22</xdr:row>
      <xdr:rowOff>90486</xdr:rowOff>
    </xdr:from>
    <xdr:to>
      <xdr:col>2</xdr:col>
      <xdr:colOff>57149</xdr:colOff>
      <xdr:row>37</xdr:row>
      <xdr:rowOff>38099</xdr:rowOff>
    </xdr:to>
    <xdr:graphicFrame macro="">
      <xdr:nvGraphicFramePr>
        <xdr:cNvPr id="13" name="Chart 12">
          <a:extLst>
            <a:ext uri="{FF2B5EF4-FFF2-40B4-BE49-F238E27FC236}">
              <a16:creationId xmlns:a16="http://schemas.microsoft.com/office/drawing/2014/main" id="{09395DB7-EB12-4328-A6E3-DE219CA4AEC4}"/>
            </a:ext>
            <a:ext uri="{147F2762-F138-4A5C-976F-8EAC2B608ADB}">
              <a16:predDERef xmlns:a16="http://schemas.microsoft.com/office/drawing/2014/main" pred="{BBD80F72-8B6C-4E93-87BD-C6A5D7A1925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166687</xdr:colOff>
      <xdr:row>4</xdr:row>
      <xdr:rowOff>176211</xdr:rowOff>
    </xdr:from>
    <xdr:to>
      <xdr:col>10</xdr:col>
      <xdr:colOff>346075</xdr:colOff>
      <xdr:row>20</xdr:row>
      <xdr:rowOff>161924</xdr:rowOff>
    </xdr:to>
    <xdr:graphicFrame macro="">
      <xdr:nvGraphicFramePr>
        <xdr:cNvPr id="14" name="Chart 13">
          <a:extLst>
            <a:ext uri="{FF2B5EF4-FFF2-40B4-BE49-F238E27FC236}">
              <a16:creationId xmlns:a16="http://schemas.microsoft.com/office/drawing/2014/main" id="{2617D3E1-48BB-4A58-BED7-9D6B7251C42F}"/>
            </a:ext>
            <a:ext uri="{147F2762-F138-4A5C-976F-8EAC2B608ADB}">
              <a16:predDERef xmlns:a16="http://schemas.microsoft.com/office/drawing/2014/main" pred="{09395DB7-EB12-4328-A6E3-DE219CA4AEC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242886</xdr:colOff>
      <xdr:row>22</xdr:row>
      <xdr:rowOff>80962</xdr:rowOff>
    </xdr:from>
    <xdr:to>
      <xdr:col>10</xdr:col>
      <xdr:colOff>76199</xdr:colOff>
      <xdr:row>37</xdr:row>
      <xdr:rowOff>49530</xdr:rowOff>
    </xdr:to>
    <xdr:graphicFrame macro="">
      <xdr:nvGraphicFramePr>
        <xdr:cNvPr id="15" name="Chart 14">
          <a:extLst>
            <a:ext uri="{FF2B5EF4-FFF2-40B4-BE49-F238E27FC236}">
              <a16:creationId xmlns:a16="http://schemas.microsoft.com/office/drawing/2014/main" id="{E535DF7D-3BB5-4C0D-8C50-F8A9A14EEB54}"/>
            </a:ext>
            <a:ext uri="{147F2762-F138-4A5C-976F-8EAC2B608ADB}">
              <a16:predDERef xmlns:a16="http://schemas.microsoft.com/office/drawing/2014/main" pred="{2617D3E1-48BB-4A58-BED7-9D6B7251C42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509587</xdr:colOff>
      <xdr:row>4</xdr:row>
      <xdr:rowOff>166686</xdr:rowOff>
    </xdr:from>
    <xdr:to>
      <xdr:col>19</xdr:col>
      <xdr:colOff>111125</xdr:colOff>
      <xdr:row>20</xdr:row>
      <xdr:rowOff>171449</xdr:rowOff>
    </xdr:to>
    <xdr:graphicFrame macro="">
      <xdr:nvGraphicFramePr>
        <xdr:cNvPr id="16" name="Chart 15">
          <a:extLst>
            <a:ext uri="{FF2B5EF4-FFF2-40B4-BE49-F238E27FC236}">
              <a16:creationId xmlns:a16="http://schemas.microsoft.com/office/drawing/2014/main" id="{1EA467DA-0F12-4FF6-B294-87D48E71E37C}"/>
            </a:ext>
            <a:ext uri="{147F2762-F138-4A5C-976F-8EAC2B608ADB}">
              <a16:predDERef xmlns:a16="http://schemas.microsoft.com/office/drawing/2014/main" pred="{E535DF7D-3BB5-4C0D-8C50-F8A9A14EEB5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xdr:col>
      <xdr:colOff>261936</xdr:colOff>
      <xdr:row>22</xdr:row>
      <xdr:rowOff>90487</xdr:rowOff>
    </xdr:from>
    <xdr:to>
      <xdr:col>18</xdr:col>
      <xdr:colOff>114299</xdr:colOff>
      <xdr:row>37</xdr:row>
      <xdr:rowOff>70485</xdr:rowOff>
    </xdr:to>
    <xdr:graphicFrame macro="">
      <xdr:nvGraphicFramePr>
        <xdr:cNvPr id="17" name="Chart 16">
          <a:extLst>
            <a:ext uri="{FF2B5EF4-FFF2-40B4-BE49-F238E27FC236}">
              <a16:creationId xmlns:a16="http://schemas.microsoft.com/office/drawing/2014/main" id="{7EDFD2A7-C869-461F-995D-B817312D0885}"/>
            </a:ext>
            <a:ext uri="{147F2762-F138-4A5C-976F-8EAC2B608ADB}">
              <a16:predDERef xmlns:a16="http://schemas.microsoft.com/office/drawing/2014/main" pred="{1EA467DA-0F12-4FF6-B294-87D48E71E37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209550</xdr:colOff>
      <xdr:row>40</xdr:row>
      <xdr:rowOff>104775</xdr:rowOff>
    </xdr:from>
    <xdr:to>
      <xdr:col>9</xdr:col>
      <xdr:colOff>514350</xdr:colOff>
      <xdr:row>54</xdr:row>
      <xdr:rowOff>180975</xdr:rowOff>
    </xdr:to>
    <xdr:graphicFrame macro="">
      <xdr:nvGraphicFramePr>
        <xdr:cNvPr id="18" name="Chart 17">
          <a:extLst>
            <a:ext uri="{FF2B5EF4-FFF2-40B4-BE49-F238E27FC236}">
              <a16:creationId xmlns:a16="http://schemas.microsoft.com/office/drawing/2014/main" id="{3E19B090-6F36-43FD-9A18-CC5D9E64DE4D}"/>
            </a:ext>
            <a:ext uri="{147F2762-F138-4A5C-976F-8EAC2B608ADB}">
              <a16:predDERef xmlns:a16="http://schemas.microsoft.com/office/drawing/2014/main" pred="{7EDFD2A7-C869-461F-995D-B817312D088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10</xdr:col>
      <xdr:colOff>371475</xdr:colOff>
      <xdr:row>40</xdr:row>
      <xdr:rowOff>85725</xdr:rowOff>
    </xdr:from>
    <xdr:to>
      <xdr:col>18</xdr:col>
      <xdr:colOff>66675</xdr:colOff>
      <xdr:row>54</xdr:row>
      <xdr:rowOff>161925</xdr:rowOff>
    </xdr:to>
    <xdr:graphicFrame macro="">
      <xdr:nvGraphicFramePr>
        <xdr:cNvPr id="19" name="Chart 18">
          <a:extLst>
            <a:ext uri="{FF2B5EF4-FFF2-40B4-BE49-F238E27FC236}">
              <a16:creationId xmlns:a16="http://schemas.microsoft.com/office/drawing/2014/main" id="{3AE18979-064E-45E6-8571-5CAD96142FC2}"/>
            </a:ext>
            <a:ext uri="{147F2762-F138-4A5C-976F-8EAC2B608ADB}">
              <a16:predDERef xmlns:a16="http://schemas.microsoft.com/office/drawing/2014/main" pred="{3E19B090-6F36-43FD-9A18-CC5D9E64DE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285750</xdr:colOff>
      <xdr:row>57</xdr:row>
      <xdr:rowOff>161925</xdr:rowOff>
    </xdr:from>
    <xdr:to>
      <xdr:col>0</xdr:col>
      <xdr:colOff>4857750</xdr:colOff>
      <xdr:row>72</xdr:row>
      <xdr:rowOff>47625</xdr:rowOff>
    </xdr:to>
    <xdr:graphicFrame macro="">
      <xdr:nvGraphicFramePr>
        <xdr:cNvPr id="20" name="Chart 19">
          <a:extLst>
            <a:ext uri="{FF2B5EF4-FFF2-40B4-BE49-F238E27FC236}">
              <a16:creationId xmlns:a16="http://schemas.microsoft.com/office/drawing/2014/main" id="{7B66344D-220B-4AD7-9646-273E349E7389}"/>
            </a:ext>
            <a:ext uri="{147F2762-F138-4A5C-976F-8EAC2B608ADB}">
              <a16:predDERef xmlns:a16="http://schemas.microsoft.com/office/drawing/2014/main" pred="{3AE18979-064E-45E6-8571-5CAD96142F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323850</xdr:colOff>
      <xdr:row>58</xdr:row>
      <xdr:rowOff>0</xdr:rowOff>
    </xdr:from>
    <xdr:to>
      <xdr:col>9</xdr:col>
      <xdr:colOff>19050</xdr:colOff>
      <xdr:row>72</xdr:row>
      <xdr:rowOff>76200</xdr:rowOff>
    </xdr:to>
    <xdr:graphicFrame macro="">
      <xdr:nvGraphicFramePr>
        <xdr:cNvPr id="21" name="Chart 20">
          <a:extLst>
            <a:ext uri="{FF2B5EF4-FFF2-40B4-BE49-F238E27FC236}">
              <a16:creationId xmlns:a16="http://schemas.microsoft.com/office/drawing/2014/main" id="{F0159BC6-1E7B-498D-8E04-3ECE4562EC91}"/>
            </a:ext>
            <a:ext uri="{147F2762-F138-4A5C-976F-8EAC2B608ADB}">
              <a16:predDERef xmlns:a16="http://schemas.microsoft.com/office/drawing/2014/main" pred="{7B66344D-220B-4AD7-9646-273E349E73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9</xdr:col>
      <xdr:colOff>209550</xdr:colOff>
      <xdr:row>58</xdr:row>
      <xdr:rowOff>123825</xdr:rowOff>
    </xdr:from>
    <xdr:to>
      <xdr:col>16</xdr:col>
      <xdr:colOff>514350</xdr:colOff>
      <xdr:row>73</xdr:row>
      <xdr:rowOff>9525</xdr:rowOff>
    </xdr:to>
    <xdr:graphicFrame macro="">
      <xdr:nvGraphicFramePr>
        <xdr:cNvPr id="22" name="Chart 21">
          <a:extLst>
            <a:ext uri="{FF2B5EF4-FFF2-40B4-BE49-F238E27FC236}">
              <a16:creationId xmlns:a16="http://schemas.microsoft.com/office/drawing/2014/main" id="{B6868EAC-0843-457A-88DE-771FE634A195}"/>
            </a:ext>
            <a:ext uri="{147F2762-F138-4A5C-976F-8EAC2B608ADB}">
              <a16:predDERef xmlns:a16="http://schemas.microsoft.com/office/drawing/2014/main" pred="{F0159BC6-1E7B-498D-8E04-3ECE4562EC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147637</xdr:colOff>
      <xdr:row>6</xdr:row>
      <xdr:rowOff>14287</xdr:rowOff>
    </xdr:from>
    <xdr:to>
      <xdr:col>2</xdr:col>
      <xdr:colOff>3682</xdr:colOff>
      <xdr:row>22</xdr:row>
      <xdr:rowOff>85725</xdr:rowOff>
    </xdr:to>
    <xdr:graphicFrame macro="">
      <xdr:nvGraphicFramePr>
        <xdr:cNvPr id="3" name="Chart 10">
          <a:extLst>
            <a:ext uri="{FF2B5EF4-FFF2-40B4-BE49-F238E27FC236}">
              <a16:creationId xmlns:a16="http://schemas.microsoft.com/office/drawing/2014/main" id="{CEB84D93-3A67-41D3-9937-D1556E33F19C}"/>
            </a:ext>
            <a:ext uri="{147F2762-F138-4A5C-976F-8EAC2B608ADB}">
              <a16:predDERef xmlns:a16="http://schemas.microsoft.com/office/drawing/2014/main" pred="{A9519603-6BAD-4571-8594-CECA26B6DE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204786</xdr:colOff>
      <xdr:row>24</xdr:row>
      <xdr:rowOff>128586</xdr:rowOff>
    </xdr:from>
    <xdr:to>
      <xdr:col>2</xdr:col>
      <xdr:colOff>85724</xdr:colOff>
      <xdr:row>39</xdr:row>
      <xdr:rowOff>76199</xdr:rowOff>
    </xdr:to>
    <xdr:graphicFrame macro="">
      <xdr:nvGraphicFramePr>
        <xdr:cNvPr id="4" name="Chart 12">
          <a:extLst>
            <a:ext uri="{FF2B5EF4-FFF2-40B4-BE49-F238E27FC236}">
              <a16:creationId xmlns:a16="http://schemas.microsoft.com/office/drawing/2014/main" id="{276FC623-4C1B-4791-90E6-EDCFD572F86E}"/>
            </a:ext>
            <a:ext uri="{147F2762-F138-4A5C-976F-8EAC2B608ADB}">
              <a16:predDERef xmlns:a16="http://schemas.microsoft.com/office/drawing/2014/main" pred="{CEB84D93-3A67-41D3-9937-D1556E33F1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138112</xdr:colOff>
      <xdr:row>6</xdr:row>
      <xdr:rowOff>90486</xdr:rowOff>
    </xdr:from>
    <xdr:to>
      <xdr:col>10</xdr:col>
      <xdr:colOff>317500</xdr:colOff>
      <xdr:row>22</xdr:row>
      <xdr:rowOff>76199</xdr:rowOff>
    </xdr:to>
    <xdr:graphicFrame macro="">
      <xdr:nvGraphicFramePr>
        <xdr:cNvPr id="5" name="Chart 13">
          <a:extLst>
            <a:ext uri="{FF2B5EF4-FFF2-40B4-BE49-F238E27FC236}">
              <a16:creationId xmlns:a16="http://schemas.microsoft.com/office/drawing/2014/main" id="{FAD630F5-8860-4BF7-B601-B936F1329B43}"/>
            </a:ext>
            <a:ext uri="{147F2762-F138-4A5C-976F-8EAC2B608ADB}">
              <a16:predDERef xmlns:a16="http://schemas.microsoft.com/office/drawing/2014/main" pred="{276FC623-4C1B-4791-90E6-EDCFD572F8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261936</xdr:colOff>
      <xdr:row>25</xdr:row>
      <xdr:rowOff>14287</xdr:rowOff>
    </xdr:from>
    <xdr:to>
      <xdr:col>10</xdr:col>
      <xdr:colOff>95249</xdr:colOff>
      <xdr:row>39</xdr:row>
      <xdr:rowOff>173355</xdr:rowOff>
    </xdr:to>
    <xdr:graphicFrame macro="">
      <xdr:nvGraphicFramePr>
        <xdr:cNvPr id="6" name="Chart 14">
          <a:extLst>
            <a:ext uri="{FF2B5EF4-FFF2-40B4-BE49-F238E27FC236}">
              <a16:creationId xmlns:a16="http://schemas.microsoft.com/office/drawing/2014/main" id="{E044D86A-5E27-4CE2-894E-B5FB09966AA0}"/>
            </a:ext>
            <a:ext uri="{147F2762-F138-4A5C-976F-8EAC2B608ADB}">
              <a16:predDERef xmlns:a16="http://schemas.microsoft.com/office/drawing/2014/main" pred="{FAD630F5-8860-4BF7-B601-B936F1329B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481012</xdr:colOff>
      <xdr:row>6</xdr:row>
      <xdr:rowOff>61911</xdr:rowOff>
    </xdr:from>
    <xdr:to>
      <xdr:col>19</xdr:col>
      <xdr:colOff>82550</xdr:colOff>
      <xdr:row>22</xdr:row>
      <xdr:rowOff>66674</xdr:rowOff>
    </xdr:to>
    <xdr:graphicFrame macro="">
      <xdr:nvGraphicFramePr>
        <xdr:cNvPr id="7" name="Chart 15">
          <a:extLst>
            <a:ext uri="{FF2B5EF4-FFF2-40B4-BE49-F238E27FC236}">
              <a16:creationId xmlns:a16="http://schemas.microsoft.com/office/drawing/2014/main" id="{3AAA7E1F-7D84-405D-93F8-CCCF15690FAF}"/>
            </a:ext>
            <a:ext uri="{147F2762-F138-4A5C-976F-8EAC2B608ADB}">
              <a16:predDERef xmlns:a16="http://schemas.microsoft.com/office/drawing/2014/main" pred="{E044D86A-5E27-4CE2-894E-B5FB09966A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300036</xdr:colOff>
      <xdr:row>24</xdr:row>
      <xdr:rowOff>157162</xdr:rowOff>
    </xdr:from>
    <xdr:to>
      <xdr:col>18</xdr:col>
      <xdr:colOff>152399</xdr:colOff>
      <xdr:row>39</xdr:row>
      <xdr:rowOff>137160</xdr:rowOff>
    </xdr:to>
    <xdr:graphicFrame macro="">
      <xdr:nvGraphicFramePr>
        <xdr:cNvPr id="8" name="Chart 16">
          <a:extLst>
            <a:ext uri="{FF2B5EF4-FFF2-40B4-BE49-F238E27FC236}">
              <a16:creationId xmlns:a16="http://schemas.microsoft.com/office/drawing/2014/main" id="{4868C391-C0CA-42A6-B7E9-A555F4ECD926}"/>
            </a:ext>
            <a:ext uri="{147F2762-F138-4A5C-976F-8EAC2B608ADB}">
              <a16:predDERef xmlns:a16="http://schemas.microsoft.com/office/drawing/2014/main" pred="{3AAA7E1F-7D84-405D-93F8-CCCF15690F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260350</xdr:colOff>
      <xdr:row>45</xdr:row>
      <xdr:rowOff>9525</xdr:rowOff>
    </xdr:from>
    <xdr:to>
      <xdr:col>1</xdr:col>
      <xdr:colOff>485775</xdr:colOff>
      <xdr:row>61</xdr:row>
      <xdr:rowOff>85725</xdr:rowOff>
    </xdr:to>
    <xdr:graphicFrame macro="">
      <xdr:nvGraphicFramePr>
        <xdr:cNvPr id="14" name="Chart 7">
          <a:extLst>
            <a:ext uri="{FF2B5EF4-FFF2-40B4-BE49-F238E27FC236}">
              <a16:creationId xmlns:a16="http://schemas.microsoft.com/office/drawing/2014/main" id="{A5F3ED53-7699-4667-A050-B4265B22EFB5}"/>
            </a:ext>
            <a:ext uri="{147F2762-F138-4A5C-976F-8EAC2B608ADB}">
              <a16:predDERef xmlns:a16="http://schemas.microsoft.com/office/drawing/2014/main" pred="{4868C391-C0CA-42A6-B7E9-A555F4ECD9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200025</xdr:colOff>
      <xdr:row>45</xdr:row>
      <xdr:rowOff>19049</xdr:rowOff>
    </xdr:from>
    <xdr:to>
      <xdr:col>9</xdr:col>
      <xdr:colOff>504825</xdr:colOff>
      <xdr:row>61</xdr:row>
      <xdr:rowOff>85724</xdr:rowOff>
    </xdr:to>
    <xdr:graphicFrame macro="">
      <xdr:nvGraphicFramePr>
        <xdr:cNvPr id="15" name="Chart 17">
          <a:extLst>
            <a:ext uri="{FF2B5EF4-FFF2-40B4-BE49-F238E27FC236}">
              <a16:creationId xmlns:a16="http://schemas.microsoft.com/office/drawing/2014/main" id="{023EF720-78AE-4776-BF85-6A52065A3FCC}"/>
            </a:ext>
            <a:ext uri="{147F2762-F138-4A5C-976F-8EAC2B608ADB}">
              <a16:predDERef xmlns:a16="http://schemas.microsoft.com/office/drawing/2014/main" pred="{A5F3ED53-7699-4667-A050-B4265B22EFB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10</xdr:col>
      <xdr:colOff>361950</xdr:colOff>
      <xdr:row>45</xdr:row>
      <xdr:rowOff>0</xdr:rowOff>
    </xdr:from>
    <xdr:to>
      <xdr:col>18</xdr:col>
      <xdr:colOff>57150</xdr:colOff>
      <xdr:row>61</xdr:row>
      <xdr:rowOff>95250</xdr:rowOff>
    </xdr:to>
    <xdr:graphicFrame macro="">
      <xdr:nvGraphicFramePr>
        <xdr:cNvPr id="16" name="Chart 18">
          <a:extLst>
            <a:ext uri="{FF2B5EF4-FFF2-40B4-BE49-F238E27FC236}">
              <a16:creationId xmlns:a16="http://schemas.microsoft.com/office/drawing/2014/main" id="{CB057CDC-DA99-4C77-A1CD-2D318C0F9583}"/>
            </a:ext>
            <a:ext uri="{147F2762-F138-4A5C-976F-8EAC2B608ADB}">
              <a16:predDERef xmlns:a16="http://schemas.microsoft.com/office/drawing/2014/main" pred="{023EF720-78AE-4776-BF85-6A52065A3F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62</xdr:row>
      <xdr:rowOff>76200</xdr:rowOff>
    </xdr:from>
    <xdr:to>
      <xdr:col>1</xdr:col>
      <xdr:colOff>257174</xdr:colOff>
      <xdr:row>79</xdr:row>
      <xdr:rowOff>114300</xdr:rowOff>
    </xdr:to>
    <xdr:graphicFrame macro="">
      <xdr:nvGraphicFramePr>
        <xdr:cNvPr id="17" name="Chart 19">
          <a:extLst>
            <a:ext uri="{FF2B5EF4-FFF2-40B4-BE49-F238E27FC236}">
              <a16:creationId xmlns:a16="http://schemas.microsoft.com/office/drawing/2014/main" id="{29160EA7-FBB2-44CB-AAB3-794D512B7E53}"/>
            </a:ext>
            <a:ext uri="{147F2762-F138-4A5C-976F-8EAC2B608ADB}">
              <a16:predDERef xmlns:a16="http://schemas.microsoft.com/office/drawing/2014/main" pred="{CB057CDC-DA99-4C77-A1CD-2D318C0F958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314325</xdr:colOff>
      <xdr:row>62</xdr:row>
      <xdr:rowOff>104775</xdr:rowOff>
    </xdr:from>
    <xdr:to>
      <xdr:col>9</xdr:col>
      <xdr:colOff>161925</xdr:colOff>
      <xdr:row>79</xdr:row>
      <xdr:rowOff>85725</xdr:rowOff>
    </xdr:to>
    <xdr:graphicFrame macro="">
      <xdr:nvGraphicFramePr>
        <xdr:cNvPr id="18" name="Chart 20">
          <a:extLst>
            <a:ext uri="{FF2B5EF4-FFF2-40B4-BE49-F238E27FC236}">
              <a16:creationId xmlns:a16="http://schemas.microsoft.com/office/drawing/2014/main" id="{9E1513F9-C4BA-4BB5-9C22-9AEFFA58877B}"/>
            </a:ext>
            <a:ext uri="{147F2762-F138-4A5C-976F-8EAC2B608ADB}">
              <a16:predDERef xmlns:a16="http://schemas.microsoft.com/office/drawing/2014/main" pred="{29160EA7-FBB2-44CB-AAB3-794D512B7E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9</xdr:col>
      <xdr:colOff>200024</xdr:colOff>
      <xdr:row>63</xdr:row>
      <xdr:rowOff>38100</xdr:rowOff>
    </xdr:from>
    <xdr:to>
      <xdr:col>17</xdr:col>
      <xdr:colOff>371475</xdr:colOff>
      <xdr:row>79</xdr:row>
      <xdr:rowOff>104776</xdr:rowOff>
    </xdr:to>
    <xdr:graphicFrame macro="">
      <xdr:nvGraphicFramePr>
        <xdr:cNvPr id="19" name="Chart 21">
          <a:extLst>
            <a:ext uri="{FF2B5EF4-FFF2-40B4-BE49-F238E27FC236}">
              <a16:creationId xmlns:a16="http://schemas.microsoft.com/office/drawing/2014/main" id="{3D0FA173-8E04-429C-88D2-5DCA93E3AD00}"/>
            </a:ext>
            <a:ext uri="{147F2762-F138-4A5C-976F-8EAC2B608ADB}">
              <a16:predDERef xmlns:a16="http://schemas.microsoft.com/office/drawing/2014/main" pred="{9E1513F9-C4BA-4BB5-9C22-9AEFFA58877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269875</xdr:colOff>
      <xdr:row>40</xdr:row>
      <xdr:rowOff>95250</xdr:rowOff>
    </xdr:from>
    <xdr:to>
      <xdr:col>1</xdr:col>
      <xdr:colOff>495300</xdr:colOff>
      <xdr:row>56</xdr:row>
      <xdr:rowOff>171450</xdr:rowOff>
    </xdr:to>
    <xdr:graphicFrame macro="">
      <xdr:nvGraphicFramePr>
        <xdr:cNvPr id="2" name="Chart 7">
          <a:extLst>
            <a:ext uri="{FF2B5EF4-FFF2-40B4-BE49-F238E27FC236}">
              <a16:creationId xmlns:a16="http://schemas.microsoft.com/office/drawing/2014/main" id="{490AFC93-B987-42EC-9172-1AFC326499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147637</xdr:colOff>
      <xdr:row>6</xdr:row>
      <xdr:rowOff>14287</xdr:rowOff>
    </xdr:from>
    <xdr:to>
      <xdr:col>2</xdr:col>
      <xdr:colOff>3682</xdr:colOff>
      <xdr:row>22</xdr:row>
      <xdr:rowOff>85725</xdr:rowOff>
    </xdr:to>
    <xdr:graphicFrame macro="">
      <xdr:nvGraphicFramePr>
        <xdr:cNvPr id="3" name="Chart 10">
          <a:extLst>
            <a:ext uri="{FF2B5EF4-FFF2-40B4-BE49-F238E27FC236}">
              <a16:creationId xmlns:a16="http://schemas.microsoft.com/office/drawing/2014/main" id="{C017360A-22B3-434E-A993-CCB433502318}"/>
            </a:ext>
            <a:ext uri="{147F2762-F138-4A5C-976F-8EAC2B608ADB}">
              <a16:predDERef xmlns:a16="http://schemas.microsoft.com/office/drawing/2014/main" pred="{490AFC93-B987-42EC-9172-1AFC326499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204786</xdr:colOff>
      <xdr:row>24</xdr:row>
      <xdr:rowOff>128586</xdr:rowOff>
    </xdr:from>
    <xdr:to>
      <xdr:col>2</xdr:col>
      <xdr:colOff>85724</xdr:colOff>
      <xdr:row>39</xdr:row>
      <xdr:rowOff>76199</xdr:rowOff>
    </xdr:to>
    <xdr:graphicFrame macro="">
      <xdr:nvGraphicFramePr>
        <xdr:cNvPr id="4" name="Chart 12">
          <a:extLst>
            <a:ext uri="{FF2B5EF4-FFF2-40B4-BE49-F238E27FC236}">
              <a16:creationId xmlns:a16="http://schemas.microsoft.com/office/drawing/2014/main" id="{C92CF5BD-4FFD-4B66-B209-15E3F0E1BD15}"/>
            </a:ext>
            <a:ext uri="{147F2762-F138-4A5C-976F-8EAC2B608ADB}">
              <a16:predDERef xmlns:a16="http://schemas.microsoft.com/office/drawing/2014/main" pred="{C017360A-22B3-434E-A993-CCB43350231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138112</xdr:colOff>
      <xdr:row>6</xdr:row>
      <xdr:rowOff>90486</xdr:rowOff>
    </xdr:from>
    <xdr:to>
      <xdr:col>10</xdr:col>
      <xdr:colOff>317500</xdr:colOff>
      <xdr:row>22</xdr:row>
      <xdr:rowOff>76199</xdr:rowOff>
    </xdr:to>
    <xdr:graphicFrame macro="">
      <xdr:nvGraphicFramePr>
        <xdr:cNvPr id="5" name="Chart 13">
          <a:extLst>
            <a:ext uri="{FF2B5EF4-FFF2-40B4-BE49-F238E27FC236}">
              <a16:creationId xmlns:a16="http://schemas.microsoft.com/office/drawing/2014/main" id="{CF93AB16-B3B5-4E40-A74A-A2BBF1362839}"/>
            </a:ext>
            <a:ext uri="{147F2762-F138-4A5C-976F-8EAC2B608ADB}">
              <a16:predDERef xmlns:a16="http://schemas.microsoft.com/office/drawing/2014/main" pred="{C92CF5BD-4FFD-4B66-B209-15E3F0E1BD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261936</xdr:colOff>
      <xdr:row>25</xdr:row>
      <xdr:rowOff>14287</xdr:rowOff>
    </xdr:from>
    <xdr:to>
      <xdr:col>10</xdr:col>
      <xdr:colOff>95249</xdr:colOff>
      <xdr:row>39</xdr:row>
      <xdr:rowOff>173355</xdr:rowOff>
    </xdr:to>
    <xdr:graphicFrame macro="">
      <xdr:nvGraphicFramePr>
        <xdr:cNvPr id="6" name="Chart 14">
          <a:extLst>
            <a:ext uri="{FF2B5EF4-FFF2-40B4-BE49-F238E27FC236}">
              <a16:creationId xmlns:a16="http://schemas.microsoft.com/office/drawing/2014/main" id="{D7C49830-6E88-4F1A-B0AF-DCC3F0130C43}"/>
            </a:ext>
            <a:ext uri="{147F2762-F138-4A5C-976F-8EAC2B608ADB}">
              <a16:predDERef xmlns:a16="http://schemas.microsoft.com/office/drawing/2014/main" pred="{CF93AB16-B3B5-4E40-A74A-A2BBF13628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300036</xdr:colOff>
      <xdr:row>24</xdr:row>
      <xdr:rowOff>157162</xdr:rowOff>
    </xdr:from>
    <xdr:to>
      <xdr:col>18</xdr:col>
      <xdr:colOff>152399</xdr:colOff>
      <xdr:row>39</xdr:row>
      <xdr:rowOff>137160</xdr:rowOff>
    </xdr:to>
    <xdr:graphicFrame macro="">
      <xdr:nvGraphicFramePr>
        <xdr:cNvPr id="8" name="Chart 16">
          <a:extLst>
            <a:ext uri="{FF2B5EF4-FFF2-40B4-BE49-F238E27FC236}">
              <a16:creationId xmlns:a16="http://schemas.microsoft.com/office/drawing/2014/main" id="{0D947068-38D6-4FA2-9428-C5A0C77A6921}"/>
            </a:ext>
            <a:ext uri="{147F2762-F138-4A5C-976F-8EAC2B608ADB}">
              <a16:predDERef xmlns:a16="http://schemas.microsoft.com/office/drawing/2014/main" pred="{D7C49830-6E88-4F1A-B0AF-DCC3F0130C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209550</xdr:colOff>
      <xdr:row>40</xdr:row>
      <xdr:rowOff>104774</xdr:rowOff>
    </xdr:from>
    <xdr:to>
      <xdr:col>9</xdr:col>
      <xdr:colOff>514350</xdr:colOff>
      <xdr:row>56</xdr:row>
      <xdr:rowOff>171449</xdr:rowOff>
    </xdr:to>
    <xdr:graphicFrame macro="">
      <xdr:nvGraphicFramePr>
        <xdr:cNvPr id="9" name="Chart 17">
          <a:extLst>
            <a:ext uri="{FF2B5EF4-FFF2-40B4-BE49-F238E27FC236}">
              <a16:creationId xmlns:a16="http://schemas.microsoft.com/office/drawing/2014/main" id="{30F9E3E6-C030-4A93-AD94-66FAF1A584E2}"/>
            </a:ext>
            <a:ext uri="{147F2762-F138-4A5C-976F-8EAC2B608ADB}">
              <a16:predDERef xmlns:a16="http://schemas.microsoft.com/office/drawing/2014/main" pred="{0D947068-38D6-4FA2-9428-C5A0C77A692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371475</xdr:colOff>
      <xdr:row>40</xdr:row>
      <xdr:rowOff>85725</xdr:rowOff>
    </xdr:from>
    <xdr:to>
      <xdr:col>18</xdr:col>
      <xdr:colOff>66675</xdr:colOff>
      <xdr:row>56</xdr:row>
      <xdr:rowOff>180975</xdr:rowOff>
    </xdr:to>
    <xdr:graphicFrame macro="">
      <xdr:nvGraphicFramePr>
        <xdr:cNvPr id="10" name="Chart 18">
          <a:extLst>
            <a:ext uri="{FF2B5EF4-FFF2-40B4-BE49-F238E27FC236}">
              <a16:creationId xmlns:a16="http://schemas.microsoft.com/office/drawing/2014/main" id="{2F74AE7E-EBBF-4C17-9540-BA09A48D7564}"/>
            </a:ext>
            <a:ext uri="{147F2762-F138-4A5C-976F-8EAC2B608ADB}">
              <a16:predDERef xmlns:a16="http://schemas.microsoft.com/office/drawing/2014/main" pred="{30F9E3E6-C030-4A93-AD94-66FAF1A584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266700</xdr:colOff>
      <xdr:row>58</xdr:row>
      <xdr:rowOff>57150</xdr:rowOff>
    </xdr:from>
    <xdr:to>
      <xdr:col>1</xdr:col>
      <xdr:colOff>523874</xdr:colOff>
      <xdr:row>75</xdr:row>
      <xdr:rowOff>95250</xdr:rowOff>
    </xdr:to>
    <xdr:graphicFrame macro="">
      <xdr:nvGraphicFramePr>
        <xdr:cNvPr id="11" name="Chart 19">
          <a:extLst>
            <a:ext uri="{FF2B5EF4-FFF2-40B4-BE49-F238E27FC236}">
              <a16:creationId xmlns:a16="http://schemas.microsoft.com/office/drawing/2014/main" id="{C0C5D711-8F5D-4F77-99BC-C19841F16C11}"/>
            </a:ext>
            <a:ext uri="{147F2762-F138-4A5C-976F-8EAC2B608ADB}">
              <a16:predDERef xmlns:a16="http://schemas.microsoft.com/office/drawing/2014/main" pred="{2F74AE7E-EBBF-4C17-9540-BA09A48D75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123825</xdr:colOff>
      <xdr:row>58</xdr:row>
      <xdr:rowOff>57150</xdr:rowOff>
    </xdr:from>
    <xdr:to>
      <xdr:col>9</xdr:col>
      <xdr:colOff>581025</xdr:colOff>
      <xdr:row>75</xdr:row>
      <xdr:rowOff>38100</xdr:rowOff>
    </xdr:to>
    <xdr:graphicFrame macro="">
      <xdr:nvGraphicFramePr>
        <xdr:cNvPr id="12" name="Chart 20">
          <a:extLst>
            <a:ext uri="{FF2B5EF4-FFF2-40B4-BE49-F238E27FC236}">
              <a16:creationId xmlns:a16="http://schemas.microsoft.com/office/drawing/2014/main" id="{CB692754-A013-4DD8-AD72-E9F91B121E5F}"/>
            </a:ext>
            <a:ext uri="{147F2762-F138-4A5C-976F-8EAC2B608ADB}">
              <a16:predDERef xmlns:a16="http://schemas.microsoft.com/office/drawing/2014/main" pred="{C0C5D711-8F5D-4F77-99BC-C19841F16C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xdr:col>
      <xdr:colOff>228599</xdr:colOff>
      <xdr:row>58</xdr:row>
      <xdr:rowOff>85725</xdr:rowOff>
    </xdr:from>
    <xdr:to>
      <xdr:col>18</xdr:col>
      <xdr:colOff>400050</xdr:colOff>
      <xdr:row>74</xdr:row>
      <xdr:rowOff>152401</xdr:rowOff>
    </xdr:to>
    <xdr:graphicFrame macro="">
      <xdr:nvGraphicFramePr>
        <xdr:cNvPr id="13" name="Chart 21">
          <a:extLst>
            <a:ext uri="{FF2B5EF4-FFF2-40B4-BE49-F238E27FC236}">
              <a16:creationId xmlns:a16="http://schemas.microsoft.com/office/drawing/2014/main" id="{86285144-82CC-452B-87DB-DB0C72A87B8C}"/>
            </a:ext>
            <a:ext uri="{147F2762-F138-4A5C-976F-8EAC2B608ADB}">
              <a16:predDERef xmlns:a16="http://schemas.microsoft.com/office/drawing/2014/main" pred="{CB692754-A013-4DD8-AD72-E9F91B121E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xdr:col>
      <xdr:colOff>476250</xdr:colOff>
      <xdr:row>6</xdr:row>
      <xdr:rowOff>104775</xdr:rowOff>
    </xdr:from>
    <xdr:to>
      <xdr:col>19</xdr:col>
      <xdr:colOff>46038</xdr:colOff>
      <xdr:row>22</xdr:row>
      <xdr:rowOff>90488</xdr:rowOff>
    </xdr:to>
    <xdr:graphicFrame macro="">
      <xdr:nvGraphicFramePr>
        <xdr:cNvPr id="14" name="Chart 13">
          <a:extLst>
            <a:ext uri="{FF2B5EF4-FFF2-40B4-BE49-F238E27FC236}">
              <a16:creationId xmlns:a16="http://schemas.microsoft.com/office/drawing/2014/main" id="{C919157B-3E37-4913-86B2-10C346665120}"/>
            </a:ext>
            <a:ext uri="{147F2762-F138-4A5C-976F-8EAC2B608ADB}">
              <a16:predDERef xmlns:a16="http://schemas.microsoft.com/office/drawing/2014/main" pred="{86285144-82CC-452B-87DB-DB0C72A87B8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269875</xdr:colOff>
      <xdr:row>62</xdr:row>
      <xdr:rowOff>114300</xdr:rowOff>
    </xdr:from>
    <xdr:to>
      <xdr:col>1</xdr:col>
      <xdr:colOff>495300</xdr:colOff>
      <xdr:row>79</xdr:row>
      <xdr:rowOff>0</xdr:rowOff>
    </xdr:to>
    <xdr:graphicFrame macro="">
      <xdr:nvGraphicFramePr>
        <xdr:cNvPr id="2" name="Chart 7">
          <a:extLst>
            <a:ext uri="{FF2B5EF4-FFF2-40B4-BE49-F238E27FC236}">
              <a16:creationId xmlns:a16="http://schemas.microsoft.com/office/drawing/2014/main" id="{0F856557-B0BC-4BB2-9259-9D0389CCFC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190500</xdr:colOff>
      <xdr:row>14</xdr:row>
      <xdr:rowOff>133350</xdr:rowOff>
    </xdr:from>
    <xdr:to>
      <xdr:col>2</xdr:col>
      <xdr:colOff>47625</xdr:colOff>
      <xdr:row>32</xdr:row>
      <xdr:rowOff>9525</xdr:rowOff>
    </xdr:to>
    <xdr:graphicFrame macro="">
      <xdr:nvGraphicFramePr>
        <xdr:cNvPr id="3" name="Chart 10">
          <a:extLst>
            <a:ext uri="{FF2B5EF4-FFF2-40B4-BE49-F238E27FC236}">
              <a16:creationId xmlns:a16="http://schemas.microsoft.com/office/drawing/2014/main" id="{F482E944-0960-43CF-8884-3627CADAB526}"/>
            </a:ext>
            <a:ext uri="{147F2762-F138-4A5C-976F-8EAC2B608ADB}">
              <a16:predDERef xmlns:a16="http://schemas.microsoft.com/office/drawing/2014/main" pred="{0F856557-B0BC-4BB2-9259-9D0389CCFC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34</xdr:row>
      <xdr:rowOff>152400</xdr:rowOff>
    </xdr:from>
    <xdr:to>
      <xdr:col>2</xdr:col>
      <xdr:colOff>47625</xdr:colOff>
      <xdr:row>52</xdr:row>
      <xdr:rowOff>123825</xdr:rowOff>
    </xdr:to>
    <xdr:graphicFrame macro="">
      <xdr:nvGraphicFramePr>
        <xdr:cNvPr id="4" name="Chart 12">
          <a:extLst>
            <a:ext uri="{FF2B5EF4-FFF2-40B4-BE49-F238E27FC236}">
              <a16:creationId xmlns:a16="http://schemas.microsoft.com/office/drawing/2014/main" id="{1726436C-743B-4908-9CF6-4E74641CEF63}"/>
            </a:ext>
            <a:ext uri="{147F2762-F138-4A5C-976F-8EAC2B608ADB}">
              <a16:predDERef xmlns:a16="http://schemas.microsoft.com/office/drawing/2014/main" pred="{F482E944-0960-43CF-8884-3627CADAB5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304800</xdr:colOff>
      <xdr:row>14</xdr:row>
      <xdr:rowOff>85725</xdr:rowOff>
    </xdr:from>
    <xdr:to>
      <xdr:col>10</xdr:col>
      <xdr:colOff>485775</xdr:colOff>
      <xdr:row>32</xdr:row>
      <xdr:rowOff>38100</xdr:rowOff>
    </xdr:to>
    <xdr:graphicFrame macro="">
      <xdr:nvGraphicFramePr>
        <xdr:cNvPr id="5" name="Chart 13">
          <a:extLst>
            <a:ext uri="{FF2B5EF4-FFF2-40B4-BE49-F238E27FC236}">
              <a16:creationId xmlns:a16="http://schemas.microsoft.com/office/drawing/2014/main" id="{3E1A53DF-E95D-4F33-AB5D-DD31412D750F}"/>
            </a:ext>
            <a:ext uri="{147F2762-F138-4A5C-976F-8EAC2B608ADB}">
              <a16:predDERef xmlns:a16="http://schemas.microsoft.com/office/drawing/2014/main" pred="{1726436C-743B-4908-9CF6-4E74641CEF6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304800</xdr:colOff>
      <xdr:row>34</xdr:row>
      <xdr:rowOff>171450</xdr:rowOff>
    </xdr:from>
    <xdr:to>
      <xdr:col>10</xdr:col>
      <xdr:colOff>476250</xdr:colOff>
      <xdr:row>52</xdr:row>
      <xdr:rowOff>152400</xdr:rowOff>
    </xdr:to>
    <xdr:graphicFrame macro="">
      <xdr:nvGraphicFramePr>
        <xdr:cNvPr id="6" name="Chart 14">
          <a:extLst>
            <a:ext uri="{FF2B5EF4-FFF2-40B4-BE49-F238E27FC236}">
              <a16:creationId xmlns:a16="http://schemas.microsoft.com/office/drawing/2014/main" id="{9997C1A3-F915-45BB-8330-3F9291576C83}"/>
            </a:ext>
            <a:ext uri="{147F2762-F138-4A5C-976F-8EAC2B608ADB}">
              <a16:predDERef xmlns:a16="http://schemas.microsoft.com/office/drawing/2014/main" pred="{3E1A53DF-E95D-4F33-AB5D-DD31412D750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104775</xdr:colOff>
      <xdr:row>34</xdr:row>
      <xdr:rowOff>152400</xdr:rowOff>
    </xdr:from>
    <xdr:to>
      <xdr:col>20</xdr:col>
      <xdr:colOff>76200</xdr:colOff>
      <xdr:row>52</xdr:row>
      <xdr:rowOff>142875</xdr:rowOff>
    </xdr:to>
    <xdr:graphicFrame macro="">
      <xdr:nvGraphicFramePr>
        <xdr:cNvPr id="7" name="Chart 16">
          <a:extLst>
            <a:ext uri="{FF2B5EF4-FFF2-40B4-BE49-F238E27FC236}">
              <a16:creationId xmlns:a16="http://schemas.microsoft.com/office/drawing/2014/main" id="{655277A1-ADFF-43E5-A01E-5F1391493C92}"/>
            </a:ext>
            <a:ext uri="{147F2762-F138-4A5C-976F-8EAC2B608ADB}">
              <a16:predDERef xmlns:a16="http://schemas.microsoft.com/office/drawing/2014/main" pred="{9997C1A3-F915-45BB-8330-3F9291576C8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228600</xdr:colOff>
      <xdr:row>62</xdr:row>
      <xdr:rowOff>180974</xdr:rowOff>
    </xdr:from>
    <xdr:to>
      <xdr:col>9</xdr:col>
      <xdr:colOff>533400</xdr:colOff>
      <xdr:row>79</xdr:row>
      <xdr:rowOff>57149</xdr:rowOff>
    </xdr:to>
    <xdr:graphicFrame macro="">
      <xdr:nvGraphicFramePr>
        <xdr:cNvPr id="8" name="Chart 17">
          <a:extLst>
            <a:ext uri="{FF2B5EF4-FFF2-40B4-BE49-F238E27FC236}">
              <a16:creationId xmlns:a16="http://schemas.microsoft.com/office/drawing/2014/main" id="{171BA37C-0C59-4163-AF7F-827196064991}"/>
            </a:ext>
            <a:ext uri="{147F2762-F138-4A5C-976F-8EAC2B608ADB}">
              <a16:predDERef xmlns:a16="http://schemas.microsoft.com/office/drawing/2014/main" pred="{655277A1-ADFF-43E5-A01E-5F1391493C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342900</xdr:colOff>
      <xdr:row>62</xdr:row>
      <xdr:rowOff>123825</xdr:rowOff>
    </xdr:from>
    <xdr:to>
      <xdr:col>18</xdr:col>
      <xdr:colOff>38100</xdr:colOff>
      <xdr:row>79</xdr:row>
      <xdr:rowOff>28575</xdr:rowOff>
    </xdr:to>
    <xdr:graphicFrame macro="">
      <xdr:nvGraphicFramePr>
        <xdr:cNvPr id="9" name="Chart 18">
          <a:extLst>
            <a:ext uri="{FF2B5EF4-FFF2-40B4-BE49-F238E27FC236}">
              <a16:creationId xmlns:a16="http://schemas.microsoft.com/office/drawing/2014/main" id="{0C3BDAC4-CCA4-4E3B-9BE0-482BA54B0659}"/>
            </a:ext>
            <a:ext uri="{147F2762-F138-4A5C-976F-8EAC2B608ADB}">
              <a16:predDERef xmlns:a16="http://schemas.microsoft.com/office/drawing/2014/main" pred="{171BA37C-0C59-4163-AF7F-8271960649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228600</xdr:colOff>
      <xdr:row>80</xdr:row>
      <xdr:rowOff>133350</xdr:rowOff>
    </xdr:from>
    <xdr:to>
      <xdr:col>1</xdr:col>
      <xdr:colOff>485774</xdr:colOff>
      <xdr:row>97</xdr:row>
      <xdr:rowOff>171450</xdr:rowOff>
    </xdr:to>
    <xdr:graphicFrame macro="">
      <xdr:nvGraphicFramePr>
        <xdr:cNvPr id="10" name="Chart 19">
          <a:extLst>
            <a:ext uri="{FF2B5EF4-FFF2-40B4-BE49-F238E27FC236}">
              <a16:creationId xmlns:a16="http://schemas.microsoft.com/office/drawing/2014/main" id="{539A37BA-BFB4-45E7-9720-8695B1748075}"/>
            </a:ext>
            <a:ext uri="{147F2762-F138-4A5C-976F-8EAC2B608ADB}">
              <a16:predDERef xmlns:a16="http://schemas.microsoft.com/office/drawing/2014/main" pred="{0C3BDAC4-CCA4-4E3B-9BE0-482BA54B06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314325</xdr:colOff>
      <xdr:row>81</xdr:row>
      <xdr:rowOff>38100</xdr:rowOff>
    </xdr:from>
    <xdr:to>
      <xdr:col>10</xdr:col>
      <xdr:colOff>161925</xdr:colOff>
      <xdr:row>98</xdr:row>
      <xdr:rowOff>19050</xdr:rowOff>
    </xdr:to>
    <xdr:graphicFrame macro="">
      <xdr:nvGraphicFramePr>
        <xdr:cNvPr id="11" name="Chart 20">
          <a:extLst>
            <a:ext uri="{FF2B5EF4-FFF2-40B4-BE49-F238E27FC236}">
              <a16:creationId xmlns:a16="http://schemas.microsoft.com/office/drawing/2014/main" id="{83D76DEE-B7DD-4CBC-B4A9-7557ACE7E4B9}"/>
            </a:ext>
            <a:ext uri="{147F2762-F138-4A5C-976F-8EAC2B608ADB}">
              <a16:predDERef xmlns:a16="http://schemas.microsoft.com/office/drawing/2014/main" pred="{539A37BA-BFB4-45E7-9720-8695B17480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xdr:col>
      <xdr:colOff>361949</xdr:colOff>
      <xdr:row>81</xdr:row>
      <xdr:rowOff>123825</xdr:rowOff>
    </xdr:from>
    <xdr:to>
      <xdr:col>18</xdr:col>
      <xdr:colOff>533400</xdr:colOff>
      <xdr:row>98</xdr:row>
      <xdr:rowOff>1</xdr:rowOff>
    </xdr:to>
    <xdr:graphicFrame macro="">
      <xdr:nvGraphicFramePr>
        <xdr:cNvPr id="12" name="Chart 21">
          <a:extLst>
            <a:ext uri="{FF2B5EF4-FFF2-40B4-BE49-F238E27FC236}">
              <a16:creationId xmlns:a16="http://schemas.microsoft.com/office/drawing/2014/main" id="{6ACD0F25-3475-41BB-A22D-ABC217E0E5D8}"/>
            </a:ext>
            <a:ext uri="{147F2762-F138-4A5C-976F-8EAC2B608ADB}">
              <a16:predDERef xmlns:a16="http://schemas.microsoft.com/office/drawing/2014/main" pred="{83D76DEE-B7DD-4CBC-B4A9-7557ACE7E4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11</xdr:col>
      <xdr:colOff>104775</xdr:colOff>
      <xdr:row>14</xdr:row>
      <xdr:rowOff>76200</xdr:rowOff>
    </xdr:from>
    <xdr:to>
      <xdr:col>19</xdr:col>
      <xdr:colOff>571500</xdr:colOff>
      <xdr:row>32</xdr:row>
      <xdr:rowOff>0</xdr:rowOff>
    </xdr:to>
    <xdr:graphicFrame macro="">
      <xdr:nvGraphicFramePr>
        <xdr:cNvPr id="13" name="Chart 13">
          <a:extLst>
            <a:ext uri="{FF2B5EF4-FFF2-40B4-BE49-F238E27FC236}">
              <a16:creationId xmlns:a16="http://schemas.microsoft.com/office/drawing/2014/main" id="{7356F8CD-A373-449F-86BD-FCBCE2E1CAFD}"/>
            </a:ext>
            <a:ext uri="{147F2762-F138-4A5C-976F-8EAC2B608ADB}">
              <a16:predDERef xmlns:a16="http://schemas.microsoft.com/office/drawing/2014/main" pred="{6ACD0F25-3475-41BB-A22D-ABC217E0E5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xdr:col>
      <xdr:colOff>257175</xdr:colOff>
      <xdr:row>63</xdr:row>
      <xdr:rowOff>28575</xdr:rowOff>
    </xdr:from>
    <xdr:to>
      <xdr:col>9</xdr:col>
      <xdr:colOff>523875</xdr:colOff>
      <xdr:row>79</xdr:row>
      <xdr:rowOff>19050</xdr:rowOff>
    </xdr:to>
    <xdr:cxnSp macro="">
      <xdr:nvCxnSpPr>
        <xdr:cNvPr id="16" name="Straight Connector 15">
          <a:extLst>
            <a:ext uri="{FF2B5EF4-FFF2-40B4-BE49-F238E27FC236}">
              <a16:creationId xmlns:a16="http://schemas.microsoft.com/office/drawing/2014/main" id="{706697E2-B5FF-45DB-BE3A-021FA8A16605}"/>
            </a:ext>
            <a:ext uri="{147F2762-F138-4A5C-976F-8EAC2B608ADB}">
              <a16:predDERef xmlns:a16="http://schemas.microsoft.com/office/drawing/2014/main" pred="{7356F8CD-A373-449F-86BD-FCBCE2E1CAFD}"/>
            </a:ext>
          </a:extLst>
        </xdr:cNvPr>
        <xdr:cNvCxnSpPr>
          <a:cxnSpLocks/>
        </xdr:cNvCxnSpPr>
      </xdr:nvCxnSpPr>
      <xdr:spPr>
        <a:xfrm>
          <a:off x="5848350" y="12611100"/>
          <a:ext cx="4533900" cy="3038475"/>
        </a:xfrm>
        <a:prstGeom prst="line">
          <a:avLst/>
        </a:prstGeom>
        <a:ln w="25400">
          <a:solidFill>
            <a:srgbClr val="EB7B31"/>
          </a:solidFill>
          <a:prstDash val="solid"/>
        </a:ln>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381000</xdr:colOff>
      <xdr:row>63</xdr:row>
      <xdr:rowOff>38100</xdr:rowOff>
    </xdr:from>
    <xdr:to>
      <xdr:col>18</xdr:col>
      <xdr:colOff>38100</xdr:colOff>
      <xdr:row>79</xdr:row>
      <xdr:rowOff>28575</xdr:rowOff>
    </xdr:to>
    <xdr:cxnSp macro="">
      <xdr:nvCxnSpPr>
        <xdr:cNvPr id="17" name="Straight Connector 16">
          <a:extLst>
            <a:ext uri="{FF2B5EF4-FFF2-40B4-BE49-F238E27FC236}">
              <a16:creationId xmlns:a16="http://schemas.microsoft.com/office/drawing/2014/main" id="{D892218C-7CCF-4567-9701-A3CCA4C8AF8B}"/>
            </a:ext>
            <a:ext uri="{147F2762-F138-4A5C-976F-8EAC2B608ADB}">
              <a16:predDERef xmlns:a16="http://schemas.microsoft.com/office/drawing/2014/main" pred="{706697E2-B5FF-45DB-BE3A-021FA8A16605}"/>
            </a:ext>
          </a:extLst>
        </xdr:cNvPr>
        <xdr:cNvCxnSpPr>
          <a:cxnSpLocks/>
        </xdr:cNvCxnSpPr>
      </xdr:nvCxnSpPr>
      <xdr:spPr>
        <a:xfrm>
          <a:off x="10848975" y="12620625"/>
          <a:ext cx="4533900" cy="3038475"/>
        </a:xfrm>
        <a:prstGeom prst="line">
          <a:avLst/>
        </a:prstGeom>
        <a:ln w="25400">
          <a:solidFill>
            <a:srgbClr val="EB7B31"/>
          </a:solidFill>
          <a:prstDash val="solid"/>
        </a:ln>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180975</xdr:colOff>
      <xdr:row>82</xdr:row>
      <xdr:rowOff>9525</xdr:rowOff>
    </xdr:from>
    <xdr:to>
      <xdr:col>18</xdr:col>
      <xdr:colOff>447675</xdr:colOff>
      <xdr:row>98</xdr:row>
      <xdr:rowOff>0</xdr:rowOff>
    </xdr:to>
    <xdr:cxnSp macro="">
      <xdr:nvCxnSpPr>
        <xdr:cNvPr id="18" name="Straight Connector 17">
          <a:extLst>
            <a:ext uri="{FF2B5EF4-FFF2-40B4-BE49-F238E27FC236}">
              <a16:creationId xmlns:a16="http://schemas.microsoft.com/office/drawing/2014/main" id="{7118E730-067B-493C-8EF4-95088AAC7C60}"/>
            </a:ext>
            <a:ext uri="{147F2762-F138-4A5C-976F-8EAC2B608ADB}">
              <a16:predDERef xmlns:a16="http://schemas.microsoft.com/office/drawing/2014/main" pred="{D892218C-7CCF-4567-9701-A3CCA4C8AF8B}"/>
            </a:ext>
          </a:extLst>
        </xdr:cNvPr>
        <xdr:cNvCxnSpPr>
          <a:cxnSpLocks/>
        </xdr:cNvCxnSpPr>
      </xdr:nvCxnSpPr>
      <xdr:spPr>
        <a:xfrm>
          <a:off x="11258550" y="16211550"/>
          <a:ext cx="4533900" cy="3038475"/>
        </a:xfrm>
        <a:prstGeom prst="line">
          <a:avLst/>
        </a:prstGeom>
        <a:ln w="25400">
          <a:solidFill>
            <a:srgbClr val="EB7B31"/>
          </a:solidFill>
          <a:prstDash val="solid"/>
        </a:ln>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581025</xdr:colOff>
      <xdr:row>81</xdr:row>
      <xdr:rowOff>142875</xdr:rowOff>
    </xdr:from>
    <xdr:to>
      <xdr:col>10</xdr:col>
      <xdr:colOff>238125</xdr:colOff>
      <xdr:row>97</xdr:row>
      <xdr:rowOff>133350</xdr:rowOff>
    </xdr:to>
    <xdr:cxnSp macro="">
      <xdr:nvCxnSpPr>
        <xdr:cNvPr id="19" name="Straight Connector 18">
          <a:extLst>
            <a:ext uri="{FF2B5EF4-FFF2-40B4-BE49-F238E27FC236}">
              <a16:creationId xmlns:a16="http://schemas.microsoft.com/office/drawing/2014/main" id="{7110967B-6A5C-4BE0-A52D-BF4BA2E4E3CE}"/>
            </a:ext>
            <a:ext uri="{147F2762-F138-4A5C-976F-8EAC2B608ADB}">
              <a16:predDERef xmlns:a16="http://schemas.microsoft.com/office/drawing/2014/main" pred="{7118E730-067B-493C-8EF4-95088AAC7C60}"/>
            </a:ext>
          </a:extLst>
        </xdr:cNvPr>
        <xdr:cNvCxnSpPr>
          <a:cxnSpLocks/>
        </xdr:cNvCxnSpPr>
      </xdr:nvCxnSpPr>
      <xdr:spPr>
        <a:xfrm>
          <a:off x="6172200" y="16154400"/>
          <a:ext cx="4533900" cy="3038475"/>
        </a:xfrm>
        <a:prstGeom prst="line">
          <a:avLst/>
        </a:prstGeom>
        <a:ln w="25400">
          <a:solidFill>
            <a:srgbClr val="EB7B31"/>
          </a:solidFill>
          <a:prstDash val="solid"/>
        </a:ln>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438150</xdr:colOff>
      <xdr:row>80</xdr:row>
      <xdr:rowOff>171450</xdr:rowOff>
    </xdr:from>
    <xdr:to>
      <xdr:col>0</xdr:col>
      <xdr:colOff>4972050</xdr:colOff>
      <xdr:row>96</xdr:row>
      <xdr:rowOff>161925</xdr:rowOff>
    </xdr:to>
    <xdr:cxnSp macro="">
      <xdr:nvCxnSpPr>
        <xdr:cNvPr id="20" name="Straight Connector 19">
          <a:extLst>
            <a:ext uri="{FF2B5EF4-FFF2-40B4-BE49-F238E27FC236}">
              <a16:creationId xmlns:a16="http://schemas.microsoft.com/office/drawing/2014/main" id="{9986206A-98BF-446E-8B3D-BC32B8D23CCA}"/>
            </a:ext>
            <a:ext uri="{147F2762-F138-4A5C-976F-8EAC2B608ADB}">
              <a16:predDERef xmlns:a16="http://schemas.microsoft.com/office/drawing/2014/main" pred="{7110967B-6A5C-4BE0-A52D-BF4BA2E4E3CE}"/>
            </a:ext>
          </a:extLst>
        </xdr:cNvPr>
        <xdr:cNvCxnSpPr>
          <a:cxnSpLocks/>
        </xdr:cNvCxnSpPr>
      </xdr:nvCxnSpPr>
      <xdr:spPr>
        <a:xfrm>
          <a:off x="438150" y="15992475"/>
          <a:ext cx="4533900" cy="3038475"/>
        </a:xfrm>
        <a:prstGeom prst="line">
          <a:avLst/>
        </a:prstGeom>
        <a:ln w="25400">
          <a:solidFill>
            <a:srgbClr val="EB7B31"/>
          </a:solidFill>
          <a:prstDash val="solid"/>
        </a:ln>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285750</xdr:colOff>
      <xdr:row>63</xdr:row>
      <xdr:rowOff>76200</xdr:rowOff>
    </xdr:from>
    <xdr:to>
      <xdr:col>1</xdr:col>
      <xdr:colOff>247650</xdr:colOff>
      <xdr:row>78</xdr:row>
      <xdr:rowOff>104775</xdr:rowOff>
    </xdr:to>
    <xdr:cxnSp macro="">
      <xdr:nvCxnSpPr>
        <xdr:cNvPr id="21" name="Straight Connector 20">
          <a:extLst>
            <a:ext uri="{FF2B5EF4-FFF2-40B4-BE49-F238E27FC236}">
              <a16:creationId xmlns:a16="http://schemas.microsoft.com/office/drawing/2014/main" id="{1A10B550-A74A-4554-8F86-FFEAB2EFE17E}"/>
            </a:ext>
            <a:ext uri="{147F2762-F138-4A5C-976F-8EAC2B608ADB}">
              <a16:predDERef xmlns:a16="http://schemas.microsoft.com/office/drawing/2014/main" pred="{9986206A-98BF-446E-8B3D-BC32B8D23CCA}"/>
            </a:ext>
          </a:extLst>
        </xdr:cNvPr>
        <xdr:cNvCxnSpPr>
          <a:cxnSpLocks/>
        </xdr:cNvCxnSpPr>
      </xdr:nvCxnSpPr>
      <xdr:spPr>
        <a:xfrm>
          <a:off x="285750" y="12658725"/>
          <a:ext cx="4943475" cy="2886075"/>
        </a:xfrm>
        <a:prstGeom prst="line">
          <a:avLst/>
        </a:prstGeom>
        <a:ln w="25400">
          <a:solidFill>
            <a:srgbClr val="EB7B31"/>
          </a:solidFill>
          <a:prstDash val="solid"/>
        </a:ln>
        <a:effectLst/>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219075</xdr:colOff>
      <xdr:row>0</xdr:row>
      <xdr:rowOff>120361</xdr:rowOff>
    </xdr:from>
    <xdr:to>
      <xdr:col>21</xdr:col>
      <xdr:colOff>590550</xdr:colOff>
      <xdr:row>25</xdr:row>
      <xdr:rowOff>85725</xdr:rowOff>
    </xdr:to>
    <xdr:graphicFrame macro="">
      <xdr:nvGraphicFramePr>
        <xdr:cNvPr id="3" name="Chart 10">
          <a:extLst>
            <a:ext uri="{FF2B5EF4-FFF2-40B4-BE49-F238E27FC236}">
              <a16:creationId xmlns:a16="http://schemas.microsoft.com/office/drawing/2014/main" id="{026C7ECA-7F80-4028-BF81-4120E28F7EC0}"/>
            </a:ext>
            <a:ext uri="{147F2762-F138-4A5C-976F-8EAC2B608ADB}">
              <a16:predDERef xmlns:a16="http://schemas.microsoft.com/office/drawing/2014/main" pred="{0F856557-B0BC-4BB2-9259-9D0389CCFC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209550</xdr:colOff>
      <xdr:row>26</xdr:row>
      <xdr:rowOff>9525</xdr:rowOff>
    </xdr:from>
    <xdr:to>
      <xdr:col>22</xdr:col>
      <xdr:colOff>114300</xdr:colOff>
      <xdr:row>54</xdr:row>
      <xdr:rowOff>123825</xdr:rowOff>
    </xdr:to>
    <xdr:graphicFrame macro="">
      <xdr:nvGraphicFramePr>
        <xdr:cNvPr id="4" name="Chart 12">
          <a:extLst>
            <a:ext uri="{FF2B5EF4-FFF2-40B4-BE49-F238E27FC236}">
              <a16:creationId xmlns:a16="http://schemas.microsoft.com/office/drawing/2014/main" id="{E0E96CC8-3991-48EE-91DA-BE5B00BD19E5}"/>
            </a:ext>
            <a:ext uri="{147F2762-F138-4A5C-976F-8EAC2B608ADB}">
              <a16:predDERef xmlns:a16="http://schemas.microsoft.com/office/drawing/2014/main" pred="{026C7ECA-7F80-4028-BF81-4120E28F7E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filterMode="1"/>
  <dimension ref="A1:AA1048573"/>
  <sheetViews>
    <sheetView topLeftCell="M1" zoomScale="115" zoomScaleNormal="115" workbookViewId="0">
      <pane ySplit="1" topLeftCell="A3784" activePane="bottomLeft" state="frozen"/>
      <selection activeCell="I1" sqref="I1"/>
      <selection pane="bottomLeft" activeCell="S3811" sqref="S3811"/>
    </sheetView>
  </sheetViews>
  <sheetFormatPr defaultRowHeight="15" x14ac:dyDescent="0.25"/>
  <cols>
    <col min="2" max="2" width="17.140625" customWidth="1"/>
    <col min="3" max="3" width="68" hidden="1" customWidth="1"/>
    <col min="4" max="4" width="76.28515625" hidden="1" customWidth="1"/>
    <col min="5" max="5" width="33.140625" hidden="1" customWidth="1"/>
    <col min="6" max="6" width="60.28515625" hidden="1" customWidth="1"/>
    <col min="7" max="7" width="7.28515625" hidden="1" customWidth="1"/>
    <col min="8" max="8" width="26.5703125" hidden="1" customWidth="1"/>
    <col min="9" max="9" width="58" style="1" customWidth="1"/>
    <col min="10" max="10" width="33.140625" style="1" hidden="1" customWidth="1"/>
    <col min="11" max="11" width="17.28515625" style="1" hidden="1" customWidth="1"/>
    <col min="12" max="12" width="6.7109375" style="13" hidden="1" customWidth="1"/>
    <col min="13" max="13" width="7.5703125" style="15" customWidth="1"/>
    <col min="14" max="14" width="7.7109375" style="15" customWidth="1"/>
    <col min="15" max="15" width="9.7109375" style="15" customWidth="1"/>
    <col min="16" max="16" width="8" style="15" customWidth="1"/>
    <col min="17" max="17" width="6.42578125" style="15" customWidth="1"/>
    <col min="18" max="18" width="6" style="15" customWidth="1"/>
    <col min="19" max="20" width="12.5703125" style="15" bestFit="1" customWidth="1"/>
    <col min="21" max="21" width="6.28515625" style="15" customWidth="1"/>
    <col min="22" max="22" width="7" style="15" customWidth="1"/>
    <col min="23" max="23" width="12.5703125" style="15" customWidth="1"/>
    <col min="24" max="24" width="7.140625" style="15" customWidth="1"/>
  </cols>
  <sheetData>
    <row r="1" spans="1:27" s="1" customFormat="1" ht="60" x14ac:dyDescent="0.25">
      <c r="A1" s="16" t="s">
        <v>0</v>
      </c>
      <c r="B1" s="16" t="s">
        <v>1</v>
      </c>
      <c r="C1" s="16" t="s">
        <v>2</v>
      </c>
      <c r="D1" s="16" t="s">
        <v>3</v>
      </c>
      <c r="E1" s="16" t="s">
        <v>4</v>
      </c>
      <c r="F1" s="16" t="s">
        <v>5</v>
      </c>
      <c r="G1" s="16" t="s">
        <v>6</v>
      </c>
      <c r="H1" s="16" t="s">
        <v>7</v>
      </c>
      <c r="I1" s="16" t="s">
        <v>8</v>
      </c>
      <c r="J1" s="10" t="s">
        <v>9</v>
      </c>
      <c r="K1" s="10" t="s">
        <v>10</v>
      </c>
      <c r="L1" s="12" t="s">
        <v>11</v>
      </c>
      <c r="M1" s="17" t="s">
        <v>12</v>
      </c>
      <c r="N1" s="17" t="s">
        <v>13</v>
      </c>
      <c r="O1" s="18" t="s">
        <v>14</v>
      </c>
      <c r="P1" s="17" t="s">
        <v>15</v>
      </c>
      <c r="Q1" s="17" t="s">
        <v>16</v>
      </c>
      <c r="R1" s="17" t="s">
        <v>17</v>
      </c>
      <c r="S1" s="17" t="s">
        <v>18</v>
      </c>
      <c r="T1" s="17" t="s">
        <v>19</v>
      </c>
      <c r="U1" s="17" t="s">
        <v>20</v>
      </c>
      <c r="V1" s="17" t="s">
        <v>21</v>
      </c>
      <c r="W1" s="17" t="s">
        <v>22</v>
      </c>
      <c r="X1" s="17" t="s">
        <v>23</v>
      </c>
      <c r="Y1" s="17" t="s">
        <v>24</v>
      </c>
      <c r="Z1" s="26" t="s">
        <v>10</v>
      </c>
      <c r="AA1" s="26" t="s">
        <v>25</v>
      </c>
    </row>
    <row r="2" spans="1:27" ht="30" x14ac:dyDescent="0.25">
      <c r="A2" t="s">
        <v>26</v>
      </c>
      <c r="B2" t="s">
        <v>27</v>
      </c>
      <c r="C2" t="s">
        <v>28</v>
      </c>
      <c r="D2" t="s">
        <v>29</v>
      </c>
      <c r="E2" t="s">
        <v>30</v>
      </c>
      <c r="F2" t="s">
        <v>31</v>
      </c>
      <c r="G2" t="s">
        <v>32</v>
      </c>
      <c r="H2" t="s">
        <v>33</v>
      </c>
      <c r="I2" s="1" t="s">
        <v>34</v>
      </c>
      <c r="J2" s="1" t="s">
        <v>35</v>
      </c>
      <c r="K2" s="1" t="s">
        <v>36</v>
      </c>
      <c r="L2" s="13" t="str">
        <f>TEXT(+B2, "MM/DD/YY")</f>
        <v>09/15/22</v>
      </c>
      <c r="M2" s="15">
        <v>1</v>
      </c>
      <c r="O2" s="15">
        <v>1</v>
      </c>
      <c r="Q2" s="15">
        <v>1</v>
      </c>
      <c r="R2" s="15">
        <v>1</v>
      </c>
    </row>
    <row r="3" spans="1:27" ht="90" x14ac:dyDescent="0.25">
      <c r="A3" t="s">
        <v>37</v>
      </c>
      <c r="B3" t="s">
        <v>27</v>
      </c>
      <c r="C3" t="s">
        <v>38</v>
      </c>
      <c r="D3" t="s">
        <v>39</v>
      </c>
      <c r="E3" t="s">
        <v>30</v>
      </c>
      <c r="F3" t="s">
        <v>40</v>
      </c>
      <c r="G3" t="s">
        <v>32</v>
      </c>
      <c r="H3" t="s">
        <v>33</v>
      </c>
      <c r="I3" s="1" t="s">
        <v>41</v>
      </c>
      <c r="J3" s="1" t="s">
        <v>17</v>
      </c>
      <c r="K3" s="1" t="s">
        <v>42</v>
      </c>
      <c r="L3" s="13" t="str">
        <f t="shared" ref="L3:L66" si="0">TEXT(+B3, "MM/DD/YY")</f>
        <v>09/15/22</v>
      </c>
      <c r="M3" s="15">
        <v>2</v>
      </c>
      <c r="N3" s="15">
        <v>2</v>
      </c>
      <c r="O3" s="15">
        <v>2</v>
      </c>
      <c r="P3" s="15">
        <v>2</v>
      </c>
      <c r="Q3" s="15">
        <v>2</v>
      </c>
      <c r="R3" s="15">
        <v>2</v>
      </c>
    </row>
    <row r="4" spans="1:27" ht="409.5" x14ac:dyDescent="0.25">
      <c r="A4" t="s">
        <v>26</v>
      </c>
      <c r="B4" t="s">
        <v>43</v>
      </c>
      <c r="C4" t="s">
        <v>44</v>
      </c>
      <c r="D4" t="s">
        <v>45</v>
      </c>
      <c r="E4" t="s">
        <v>30</v>
      </c>
      <c r="F4" t="s">
        <v>46</v>
      </c>
      <c r="G4" t="s">
        <v>32</v>
      </c>
      <c r="H4" t="s">
        <v>33</v>
      </c>
      <c r="I4" s="1" t="s">
        <v>47</v>
      </c>
      <c r="J4" s="1" t="s">
        <v>48</v>
      </c>
      <c r="K4" s="1" t="s">
        <v>42</v>
      </c>
      <c r="L4" s="13" t="str">
        <f t="shared" si="0"/>
        <v>09/14/22</v>
      </c>
      <c r="M4" s="15">
        <v>2</v>
      </c>
      <c r="N4" s="15">
        <v>3</v>
      </c>
      <c r="O4" s="15">
        <v>3</v>
      </c>
      <c r="P4" s="15">
        <v>3</v>
      </c>
      <c r="Q4" s="15">
        <v>3</v>
      </c>
      <c r="R4" s="15">
        <v>3</v>
      </c>
    </row>
    <row r="5" spans="1:27" ht="30" x14ac:dyDescent="0.25">
      <c r="A5" t="s">
        <v>49</v>
      </c>
      <c r="B5" t="s">
        <v>43</v>
      </c>
      <c r="C5" t="s">
        <v>50</v>
      </c>
      <c r="D5" t="s">
        <v>51</v>
      </c>
      <c r="E5" t="s">
        <v>30</v>
      </c>
      <c r="F5" t="s">
        <v>52</v>
      </c>
      <c r="G5" t="s">
        <v>32</v>
      </c>
      <c r="H5" t="s">
        <v>33</v>
      </c>
      <c r="I5" s="1" t="s">
        <v>53</v>
      </c>
      <c r="J5" s="1" t="s">
        <v>15</v>
      </c>
      <c r="K5" s="1" t="s">
        <v>42</v>
      </c>
      <c r="L5" s="13" t="str">
        <f t="shared" si="0"/>
        <v>09/14/22</v>
      </c>
      <c r="M5" s="15">
        <v>2</v>
      </c>
      <c r="N5" s="15">
        <v>4</v>
      </c>
      <c r="O5" s="15">
        <v>4</v>
      </c>
      <c r="P5" s="15">
        <v>4</v>
      </c>
      <c r="Q5" s="15">
        <v>4</v>
      </c>
      <c r="R5" s="15">
        <v>4</v>
      </c>
    </row>
    <row r="6" spans="1:27" ht="30" x14ac:dyDescent="0.25">
      <c r="A6" t="s">
        <v>49</v>
      </c>
      <c r="B6" t="s">
        <v>54</v>
      </c>
      <c r="C6" t="s">
        <v>55</v>
      </c>
      <c r="D6" t="s">
        <v>56</v>
      </c>
      <c r="E6" t="s">
        <v>30</v>
      </c>
      <c r="F6" t="s">
        <v>40</v>
      </c>
      <c r="G6" t="s">
        <v>32</v>
      </c>
      <c r="H6" t="s">
        <v>33</v>
      </c>
      <c r="I6" s="1" t="s">
        <v>57</v>
      </c>
      <c r="J6" s="1" t="s">
        <v>15</v>
      </c>
      <c r="K6" s="1" t="s">
        <v>58</v>
      </c>
      <c r="L6" s="13" t="str">
        <f t="shared" si="0"/>
        <v>09/13/22</v>
      </c>
      <c r="M6" s="15">
        <v>2</v>
      </c>
      <c r="N6" s="15">
        <v>5</v>
      </c>
      <c r="O6" s="15">
        <v>5</v>
      </c>
      <c r="P6" s="15">
        <v>5</v>
      </c>
      <c r="Q6" s="15">
        <v>5</v>
      </c>
      <c r="R6" s="15">
        <v>5</v>
      </c>
    </row>
    <row r="7" spans="1:27" ht="90" x14ac:dyDescent="0.25">
      <c r="A7" t="s">
        <v>59</v>
      </c>
      <c r="B7" t="s">
        <v>54</v>
      </c>
      <c r="C7" t="s">
        <v>50</v>
      </c>
      <c r="D7" t="s">
        <v>60</v>
      </c>
      <c r="E7" t="s">
        <v>30</v>
      </c>
      <c r="F7" t="s">
        <v>61</v>
      </c>
      <c r="G7" t="s">
        <v>32</v>
      </c>
      <c r="H7" t="s">
        <v>33</v>
      </c>
      <c r="I7" s="1" t="s">
        <v>62</v>
      </c>
      <c r="J7" s="1" t="s">
        <v>21</v>
      </c>
      <c r="K7" s="1" t="s">
        <v>63</v>
      </c>
      <c r="L7" s="13" t="str">
        <f t="shared" si="0"/>
        <v>09/13/22</v>
      </c>
      <c r="M7" s="15">
        <v>2</v>
      </c>
      <c r="N7" s="15">
        <v>1</v>
      </c>
      <c r="O7" s="15">
        <v>1</v>
      </c>
      <c r="P7" s="15">
        <v>1</v>
      </c>
      <c r="Q7" s="15">
        <v>1</v>
      </c>
      <c r="R7" s="15">
        <v>1</v>
      </c>
    </row>
    <row r="8" spans="1:27" ht="60" x14ac:dyDescent="0.25">
      <c r="A8" t="s">
        <v>64</v>
      </c>
      <c r="B8" t="s">
        <v>54</v>
      </c>
      <c r="C8" t="s">
        <v>50</v>
      </c>
      <c r="D8" t="s">
        <v>65</v>
      </c>
      <c r="E8" t="s">
        <v>30</v>
      </c>
      <c r="F8" t="s">
        <v>61</v>
      </c>
      <c r="G8" t="s">
        <v>32</v>
      </c>
      <c r="H8" t="s">
        <v>33</v>
      </c>
      <c r="I8" s="1" t="s">
        <v>66</v>
      </c>
      <c r="J8" s="1" t="s">
        <v>15</v>
      </c>
      <c r="K8" s="1" t="s">
        <v>67</v>
      </c>
      <c r="L8" s="13" t="str">
        <f t="shared" si="0"/>
        <v>09/13/22</v>
      </c>
      <c r="M8" s="15">
        <v>2</v>
      </c>
      <c r="N8" s="15">
        <v>2</v>
      </c>
      <c r="O8" s="15">
        <v>2</v>
      </c>
      <c r="P8" s="15">
        <v>2</v>
      </c>
      <c r="Q8" s="15">
        <v>2</v>
      </c>
      <c r="R8" s="15">
        <v>2</v>
      </c>
    </row>
    <row r="9" spans="1:27" ht="180" x14ac:dyDescent="0.25">
      <c r="A9" t="s">
        <v>26</v>
      </c>
      <c r="B9" t="s">
        <v>43</v>
      </c>
      <c r="C9" t="s">
        <v>44</v>
      </c>
      <c r="D9" t="s">
        <v>68</v>
      </c>
      <c r="E9" t="s">
        <v>30</v>
      </c>
      <c r="F9" t="s">
        <v>40</v>
      </c>
      <c r="G9" t="s">
        <v>69</v>
      </c>
      <c r="H9" t="s">
        <v>33</v>
      </c>
      <c r="I9" s="1" t="s">
        <v>70</v>
      </c>
      <c r="J9" s="1" t="s">
        <v>71</v>
      </c>
      <c r="K9" s="1" t="s">
        <v>72</v>
      </c>
      <c r="L9" s="13" t="str">
        <f t="shared" si="0"/>
        <v>09/14/22</v>
      </c>
      <c r="M9" s="15">
        <v>3</v>
      </c>
      <c r="N9" s="15">
        <v>3</v>
      </c>
      <c r="O9" s="15">
        <v>3</v>
      </c>
      <c r="P9" s="15">
        <v>3</v>
      </c>
      <c r="Q9" s="15">
        <v>3</v>
      </c>
      <c r="R9" s="15">
        <v>3</v>
      </c>
    </row>
    <row r="10" spans="1:27" ht="60" x14ac:dyDescent="0.25">
      <c r="A10" t="s">
        <v>64</v>
      </c>
      <c r="B10" t="s">
        <v>54</v>
      </c>
      <c r="C10" t="s">
        <v>73</v>
      </c>
      <c r="D10" t="s">
        <v>74</v>
      </c>
      <c r="E10" t="s">
        <v>30</v>
      </c>
      <c r="F10" t="s">
        <v>61</v>
      </c>
      <c r="G10" t="s">
        <v>32</v>
      </c>
      <c r="H10" t="s">
        <v>33</v>
      </c>
      <c r="I10" s="1" t="s">
        <v>75</v>
      </c>
      <c r="J10" s="1" t="s">
        <v>76</v>
      </c>
      <c r="K10" s="1" t="s">
        <v>77</v>
      </c>
      <c r="L10" s="13" t="str">
        <f t="shared" si="0"/>
        <v>09/13/22</v>
      </c>
      <c r="M10" s="15">
        <v>4</v>
      </c>
      <c r="N10" s="15">
        <v>4</v>
      </c>
      <c r="O10" s="15">
        <v>4</v>
      </c>
      <c r="P10" s="15">
        <v>4</v>
      </c>
      <c r="Q10" s="15">
        <v>4</v>
      </c>
      <c r="R10" s="15">
        <v>4</v>
      </c>
    </row>
    <row r="11" spans="1:27" ht="60" x14ac:dyDescent="0.25">
      <c r="A11" t="s">
        <v>49</v>
      </c>
      <c r="B11" t="s">
        <v>54</v>
      </c>
      <c r="C11" t="s">
        <v>55</v>
      </c>
      <c r="D11" t="s">
        <v>78</v>
      </c>
      <c r="E11" t="s">
        <v>79</v>
      </c>
      <c r="F11" t="s">
        <v>80</v>
      </c>
      <c r="G11" t="s">
        <v>81</v>
      </c>
      <c r="H11" t="s">
        <v>33</v>
      </c>
      <c r="I11" s="1" t="s">
        <v>82</v>
      </c>
      <c r="J11" s="1" t="s">
        <v>83</v>
      </c>
      <c r="K11" s="1" t="s">
        <v>84</v>
      </c>
      <c r="L11" s="13" t="str">
        <f t="shared" si="0"/>
        <v>09/13/22</v>
      </c>
      <c r="M11" s="15">
        <v>5</v>
      </c>
      <c r="N11" s="15">
        <v>5</v>
      </c>
      <c r="O11" s="15">
        <v>5</v>
      </c>
      <c r="P11" s="15">
        <v>5</v>
      </c>
      <c r="Q11" s="15">
        <v>5</v>
      </c>
      <c r="R11" s="15">
        <v>5</v>
      </c>
    </row>
    <row r="12" spans="1:27" ht="105" x14ac:dyDescent="0.25">
      <c r="A12" t="s">
        <v>26</v>
      </c>
      <c r="B12" t="s">
        <v>54</v>
      </c>
      <c r="C12" t="s">
        <v>85</v>
      </c>
      <c r="D12" t="s">
        <v>86</v>
      </c>
      <c r="E12" t="s">
        <v>30</v>
      </c>
      <c r="F12" t="s">
        <v>61</v>
      </c>
      <c r="G12" t="s">
        <v>81</v>
      </c>
      <c r="H12" t="s">
        <v>87</v>
      </c>
      <c r="I12" s="1" t="s">
        <v>88</v>
      </c>
      <c r="J12" s="1" t="s">
        <v>89</v>
      </c>
      <c r="K12" s="1" t="s">
        <v>90</v>
      </c>
      <c r="L12" s="13" t="str">
        <f t="shared" si="0"/>
        <v>09/13/22</v>
      </c>
      <c r="M12" s="15">
        <v>2</v>
      </c>
      <c r="N12" s="15">
        <v>2</v>
      </c>
      <c r="O12" s="15">
        <v>2</v>
      </c>
      <c r="P12" s="15">
        <v>2</v>
      </c>
      <c r="Q12" s="15">
        <v>2</v>
      </c>
      <c r="R12" s="15">
        <v>2</v>
      </c>
    </row>
    <row r="13" spans="1:27" ht="90" x14ac:dyDescent="0.25">
      <c r="A13" t="s">
        <v>91</v>
      </c>
      <c r="B13" t="s">
        <v>54</v>
      </c>
      <c r="C13" t="s">
        <v>92</v>
      </c>
      <c r="D13" t="s">
        <v>93</v>
      </c>
      <c r="E13" t="s">
        <v>30</v>
      </c>
      <c r="F13" t="s">
        <v>94</v>
      </c>
      <c r="G13" t="s">
        <v>32</v>
      </c>
      <c r="H13" t="s">
        <v>87</v>
      </c>
      <c r="I13" s="1" t="s">
        <v>95</v>
      </c>
      <c r="L13" s="13" t="str">
        <f t="shared" si="0"/>
        <v>09/13/22</v>
      </c>
      <c r="M13" s="15">
        <v>2</v>
      </c>
      <c r="N13" s="15">
        <v>2</v>
      </c>
      <c r="O13" s="15">
        <v>2</v>
      </c>
      <c r="P13" s="15">
        <v>2</v>
      </c>
      <c r="Q13" s="15">
        <v>2</v>
      </c>
      <c r="R13" s="15">
        <v>2</v>
      </c>
    </row>
    <row r="14" spans="1:27" ht="105" x14ac:dyDescent="0.25">
      <c r="A14" t="s">
        <v>91</v>
      </c>
      <c r="B14" t="s">
        <v>54</v>
      </c>
      <c r="C14" t="s">
        <v>96</v>
      </c>
      <c r="D14" t="s">
        <v>97</v>
      </c>
      <c r="E14" t="s">
        <v>30</v>
      </c>
      <c r="F14" t="s">
        <v>98</v>
      </c>
      <c r="G14" t="s">
        <v>32</v>
      </c>
      <c r="H14" t="s">
        <v>87</v>
      </c>
      <c r="I14" s="1" t="s">
        <v>99</v>
      </c>
      <c r="K14" s="1" t="s">
        <v>100</v>
      </c>
      <c r="L14" s="13" t="str">
        <f t="shared" si="0"/>
        <v>09/13/22</v>
      </c>
      <c r="M14" s="15">
        <v>4</v>
      </c>
      <c r="N14" s="15">
        <v>4</v>
      </c>
      <c r="O14" s="15">
        <v>4</v>
      </c>
      <c r="P14" s="15">
        <v>4</v>
      </c>
      <c r="Q14" s="15">
        <v>4</v>
      </c>
      <c r="R14" s="15">
        <v>4</v>
      </c>
    </row>
    <row r="15" spans="1:27" ht="105" x14ac:dyDescent="0.25">
      <c r="A15" t="s">
        <v>37</v>
      </c>
      <c r="B15" t="s">
        <v>54</v>
      </c>
      <c r="C15" t="s">
        <v>32</v>
      </c>
      <c r="D15" t="s">
        <v>101</v>
      </c>
      <c r="E15" t="s">
        <v>30</v>
      </c>
      <c r="F15" t="s">
        <v>102</v>
      </c>
      <c r="G15" t="s">
        <v>81</v>
      </c>
      <c r="H15" t="s">
        <v>87</v>
      </c>
      <c r="I15" s="1" t="s">
        <v>103</v>
      </c>
      <c r="J15" s="1" t="s">
        <v>104</v>
      </c>
      <c r="K15" s="1" t="s">
        <v>105</v>
      </c>
      <c r="L15" s="13" t="str">
        <f t="shared" si="0"/>
        <v>09/13/22</v>
      </c>
      <c r="M15" s="15">
        <v>4</v>
      </c>
      <c r="N15" s="15">
        <v>4</v>
      </c>
      <c r="O15" s="15">
        <v>4</v>
      </c>
      <c r="P15" s="15">
        <v>4</v>
      </c>
      <c r="Q15" s="15">
        <v>4</v>
      </c>
      <c r="R15" s="15">
        <v>4</v>
      </c>
    </row>
    <row r="16" spans="1:27" ht="90" x14ac:dyDescent="0.25">
      <c r="A16" t="s">
        <v>59</v>
      </c>
      <c r="B16" t="s">
        <v>43</v>
      </c>
      <c r="C16" t="s">
        <v>106</v>
      </c>
      <c r="D16" t="s">
        <v>107</v>
      </c>
      <c r="E16" t="s">
        <v>30</v>
      </c>
      <c r="F16" t="s">
        <v>108</v>
      </c>
      <c r="G16" t="s">
        <v>69</v>
      </c>
      <c r="H16" t="s">
        <v>87</v>
      </c>
      <c r="I16" s="1" t="s">
        <v>109</v>
      </c>
      <c r="J16" s="1" t="s">
        <v>71</v>
      </c>
      <c r="K16" s="1" t="s">
        <v>110</v>
      </c>
      <c r="L16" s="13" t="str">
        <f t="shared" si="0"/>
        <v>09/14/22</v>
      </c>
      <c r="M16" s="15">
        <v>4</v>
      </c>
      <c r="N16" s="15">
        <v>4</v>
      </c>
      <c r="O16" s="15">
        <v>4</v>
      </c>
      <c r="P16" s="15">
        <v>4</v>
      </c>
      <c r="Q16" s="15">
        <v>4</v>
      </c>
      <c r="R16" s="15">
        <v>4</v>
      </c>
    </row>
    <row r="17" spans="1:12" ht="120" x14ac:dyDescent="0.25">
      <c r="A17" t="s">
        <v>26</v>
      </c>
      <c r="B17" t="s">
        <v>54</v>
      </c>
      <c r="C17" t="s">
        <v>92</v>
      </c>
      <c r="D17" t="s">
        <v>111</v>
      </c>
      <c r="E17" t="s">
        <v>30</v>
      </c>
      <c r="F17" t="s">
        <v>112</v>
      </c>
      <c r="G17" t="s">
        <v>32</v>
      </c>
      <c r="H17" t="s">
        <v>87</v>
      </c>
      <c r="I17" s="1" t="s">
        <v>113</v>
      </c>
      <c r="J17" s="1" t="s">
        <v>71</v>
      </c>
      <c r="K17" s="1" t="s">
        <v>114</v>
      </c>
      <c r="L17" s="13" t="str">
        <f t="shared" si="0"/>
        <v>09/13/22</v>
      </c>
    </row>
    <row r="18" spans="1:12" ht="120" x14ac:dyDescent="0.25">
      <c r="A18" t="s">
        <v>26</v>
      </c>
      <c r="B18" t="s">
        <v>54</v>
      </c>
      <c r="C18" t="s">
        <v>92</v>
      </c>
      <c r="D18" t="s">
        <v>111</v>
      </c>
      <c r="E18" t="s">
        <v>30</v>
      </c>
      <c r="F18" t="s">
        <v>94</v>
      </c>
      <c r="G18" t="s">
        <v>81</v>
      </c>
      <c r="H18" t="s">
        <v>87</v>
      </c>
      <c r="I18" s="1" t="s">
        <v>115</v>
      </c>
      <c r="J18" s="1" t="s">
        <v>116</v>
      </c>
      <c r="K18" s="1" t="s">
        <v>117</v>
      </c>
      <c r="L18" s="13" t="str">
        <f t="shared" si="0"/>
        <v>09/13/22</v>
      </c>
    </row>
    <row r="19" spans="1:12" ht="150" x14ac:dyDescent="0.25">
      <c r="A19" t="s">
        <v>49</v>
      </c>
      <c r="B19" t="s">
        <v>54</v>
      </c>
      <c r="C19" t="s">
        <v>106</v>
      </c>
      <c r="D19" t="s">
        <v>118</v>
      </c>
      <c r="E19" t="s">
        <v>30</v>
      </c>
      <c r="F19" t="s">
        <v>119</v>
      </c>
      <c r="G19" t="s">
        <v>81</v>
      </c>
      <c r="H19" t="s">
        <v>87</v>
      </c>
      <c r="I19" s="1" t="s">
        <v>120</v>
      </c>
      <c r="J19" s="1" t="s">
        <v>71</v>
      </c>
      <c r="K19" s="1" t="s">
        <v>121</v>
      </c>
      <c r="L19" s="13" t="str">
        <f t="shared" si="0"/>
        <v>09/13/22</v>
      </c>
    </row>
    <row r="20" spans="1:12" ht="30" x14ac:dyDescent="0.25">
      <c r="A20" t="s">
        <v>49</v>
      </c>
      <c r="B20" t="s">
        <v>54</v>
      </c>
      <c r="C20" t="s">
        <v>50</v>
      </c>
      <c r="D20" t="s">
        <v>122</v>
      </c>
      <c r="E20" t="s">
        <v>30</v>
      </c>
      <c r="F20" t="s">
        <v>112</v>
      </c>
      <c r="G20" t="s">
        <v>32</v>
      </c>
      <c r="H20" t="s">
        <v>87</v>
      </c>
      <c r="I20" s="1" t="s">
        <v>123</v>
      </c>
      <c r="J20" s="1" t="s">
        <v>71</v>
      </c>
      <c r="K20" s="1" t="s">
        <v>124</v>
      </c>
      <c r="L20" s="13" t="str">
        <f t="shared" si="0"/>
        <v>09/13/22</v>
      </c>
    </row>
    <row r="21" spans="1:12" ht="45" x14ac:dyDescent="0.25">
      <c r="A21" t="s">
        <v>26</v>
      </c>
      <c r="B21" t="s">
        <v>54</v>
      </c>
      <c r="C21" t="s">
        <v>44</v>
      </c>
      <c r="D21" t="s">
        <v>125</v>
      </c>
      <c r="E21" t="s">
        <v>79</v>
      </c>
      <c r="F21" t="s">
        <v>126</v>
      </c>
      <c r="G21" t="s">
        <v>81</v>
      </c>
      <c r="H21" t="s">
        <v>87</v>
      </c>
      <c r="I21" s="1" t="s">
        <v>127</v>
      </c>
      <c r="J21" s="1" t="s">
        <v>71</v>
      </c>
      <c r="K21" s="1" t="s">
        <v>128</v>
      </c>
      <c r="L21" s="13" t="str">
        <f t="shared" si="0"/>
        <v>09/13/22</v>
      </c>
    </row>
    <row r="22" spans="1:12" ht="75" x14ac:dyDescent="0.25">
      <c r="A22" t="s">
        <v>26</v>
      </c>
      <c r="B22" t="s">
        <v>54</v>
      </c>
      <c r="C22" t="s">
        <v>28</v>
      </c>
      <c r="D22" t="s">
        <v>129</v>
      </c>
      <c r="E22" t="s">
        <v>30</v>
      </c>
      <c r="F22" t="s">
        <v>130</v>
      </c>
      <c r="G22" t="s">
        <v>69</v>
      </c>
      <c r="H22" t="s">
        <v>87</v>
      </c>
      <c r="I22" s="1" t="s">
        <v>131</v>
      </c>
      <c r="J22" s="1" t="s">
        <v>71</v>
      </c>
      <c r="K22" s="1" t="s">
        <v>132</v>
      </c>
      <c r="L22" s="13" t="str">
        <f t="shared" si="0"/>
        <v>09/13/22</v>
      </c>
    </row>
    <row r="23" spans="1:12" ht="75" x14ac:dyDescent="0.25">
      <c r="A23" t="s">
        <v>26</v>
      </c>
      <c r="B23" t="s">
        <v>43</v>
      </c>
      <c r="C23" t="s">
        <v>92</v>
      </c>
      <c r="D23" t="s">
        <v>111</v>
      </c>
      <c r="E23" t="s">
        <v>30</v>
      </c>
      <c r="F23" t="s">
        <v>94</v>
      </c>
      <c r="G23" t="s">
        <v>69</v>
      </c>
      <c r="H23" t="s">
        <v>87</v>
      </c>
      <c r="I23" s="1" t="s">
        <v>133</v>
      </c>
      <c r="J23" s="1" t="s">
        <v>134</v>
      </c>
      <c r="K23" s="1" t="s">
        <v>135</v>
      </c>
      <c r="L23" s="13" t="str">
        <f t="shared" si="0"/>
        <v>09/14/22</v>
      </c>
    </row>
    <row r="24" spans="1:12" ht="105" x14ac:dyDescent="0.25">
      <c r="A24" t="s">
        <v>26</v>
      </c>
      <c r="B24" t="s">
        <v>43</v>
      </c>
      <c r="C24" t="s">
        <v>50</v>
      </c>
      <c r="D24" t="s">
        <v>122</v>
      </c>
      <c r="E24" t="s">
        <v>30</v>
      </c>
      <c r="F24" t="s">
        <v>136</v>
      </c>
      <c r="G24" t="s">
        <v>32</v>
      </c>
      <c r="H24" t="s">
        <v>87</v>
      </c>
      <c r="I24" s="1" t="s">
        <v>137</v>
      </c>
      <c r="J24" s="1" t="s">
        <v>134</v>
      </c>
      <c r="K24" s="1" t="s">
        <v>138</v>
      </c>
      <c r="L24" s="13" t="str">
        <f t="shared" si="0"/>
        <v>09/14/22</v>
      </c>
    </row>
    <row r="25" spans="1:12" ht="45" x14ac:dyDescent="0.25">
      <c r="A25" t="s">
        <v>26</v>
      </c>
      <c r="B25" t="s">
        <v>43</v>
      </c>
      <c r="C25" t="s">
        <v>96</v>
      </c>
      <c r="D25" t="s">
        <v>139</v>
      </c>
      <c r="E25" t="s">
        <v>30</v>
      </c>
      <c r="F25" t="s">
        <v>140</v>
      </c>
      <c r="G25" t="s">
        <v>32</v>
      </c>
      <c r="H25" t="s">
        <v>87</v>
      </c>
      <c r="I25" s="1" t="s">
        <v>141</v>
      </c>
      <c r="J25" s="1" t="s">
        <v>17</v>
      </c>
      <c r="K25" s="1" t="s">
        <v>142</v>
      </c>
      <c r="L25" s="13" t="str">
        <f t="shared" si="0"/>
        <v>09/14/22</v>
      </c>
    </row>
    <row r="26" spans="1:12" ht="30" x14ac:dyDescent="0.25">
      <c r="A26" t="s">
        <v>26</v>
      </c>
      <c r="B26" t="s">
        <v>43</v>
      </c>
      <c r="C26" t="s">
        <v>38</v>
      </c>
      <c r="D26" t="s">
        <v>143</v>
      </c>
      <c r="E26" t="s">
        <v>30</v>
      </c>
      <c r="F26" t="s">
        <v>61</v>
      </c>
      <c r="G26" t="s">
        <v>32</v>
      </c>
      <c r="H26" t="s">
        <v>87</v>
      </c>
      <c r="I26" s="1" t="s">
        <v>144</v>
      </c>
      <c r="J26" s="1" t="s">
        <v>17</v>
      </c>
      <c r="K26" s="1" t="s">
        <v>145</v>
      </c>
      <c r="L26" s="13" t="str">
        <f t="shared" si="0"/>
        <v>09/14/22</v>
      </c>
    </row>
    <row r="27" spans="1:12" ht="105" x14ac:dyDescent="0.25">
      <c r="A27" t="s">
        <v>26</v>
      </c>
      <c r="B27" t="s">
        <v>43</v>
      </c>
      <c r="C27" t="s">
        <v>44</v>
      </c>
      <c r="D27" t="s">
        <v>146</v>
      </c>
      <c r="E27" t="s">
        <v>79</v>
      </c>
      <c r="F27" t="s">
        <v>147</v>
      </c>
      <c r="G27" t="s">
        <v>38</v>
      </c>
      <c r="H27" t="s">
        <v>87</v>
      </c>
      <c r="I27" s="1" t="s">
        <v>148</v>
      </c>
      <c r="J27" s="1" t="s">
        <v>17</v>
      </c>
      <c r="K27" s="1" t="s">
        <v>149</v>
      </c>
      <c r="L27" s="13" t="str">
        <f t="shared" si="0"/>
        <v>09/14/22</v>
      </c>
    </row>
    <row r="28" spans="1:12" ht="30" x14ac:dyDescent="0.25">
      <c r="A28" t="s">
        <v>91</v>
      </c>
      <c r="B28" t="s">
        <v>43</v>
      </c>
      <c r="C28" t="s">
        <v>106</v>
      </c>
      <c r="D28" t="s">
        <v>150</v>
      </c>
      <c r="E28" t="s">
        <v>79</v>
      </c>
      <c r="F28" t="s">
        <v>102</v>
      </c>
      <c r="G28" t="s">
        <v>32</v>
      </c>
      <c r="H28" t="s">
        <v>87</v>
      </c>
      <c r="I28" s="1" t="s">
        <v>151</v>
      </c>
      <c r="J28" s="1" t="s">
        <v>17</v>
      </c>
      <c r="K28" s="1" t="s">
        <v>152</v>
      </c>
      <c r="L28" s="13" t="str">
        <f t="shared" si="0"/>
        <v>09/14/22</v>
      </c>
    </row>
    <row r="29" spans="1:12" ht="60" x14ac:dyDescent="0.25">
      <c r="A29" t="s">
        <v>37</v>
      </c>
      <c r="B29" t="s">
        <v>43</v>
      </c>
      <c r="C29" t="s">
        <v>28</v>
      </c>
      <c r="D29" t="s">
        <v>153</v>
      </c>
      <c r="E29" t="s">
        <v>30</v>
      </c>
      <c r="F29" t="s">
        <v>154</v>
      </c>
      <c r="G29" t="s">
        <v>69</v>
      </c>
      <c r="H29" t="s">
        <v>87</v>
      </c>
      <c r="I29" s="1" t="s">
        <v>155</v>
      </c>
      <c r="J29" s="1" t="s">
        <v>17</v>
      </c>
      <c r="K29" s="1" t="s">
        <v>156</v>
      </c>
      <c r="L29" s="13" t="str">
        <f t="shared" si="0"/>
        <v>09/14/22</v>
      </c>
    </row>
    <row r="30" spans="1:12" ht="30" x14ac:dyDescent="0.25">
      <c r="A30" t="s">
        <v>26</v>
      </c>
      <c r="B30" t="s">
        <v>54</v>
      </c>
      <c r="C30" t="s">
        <v>73</v>
      </c>
      <c r="D30" t="s">
        <v>157</v>
      </c>
      <c r="E30" t="s">
        <v>30</v>
      </c>
      <c r="F30" t="s">
        <v>98</v>
      </c>
      <c r="G30" t="s">
        <v>32</v>
      </c>
      <c r="H30" t="s">
        <v>87</v>
      </c>
      <c r="I30" s="1" t="s">
        <v>158</v>
      </c>
      <c r="J30" s="1" t="s">
        <v>17</v>
      </c>
      <c r="K30" s="1" t="s">
        <v>159</v>
      </c>
      <c r="L30" s="13" t="str">
        <f t="shared" si="0"/>
        <v>09/13/22</v>
      </c>
    </row>
    <row r="31" spans="1:12" ht="60" x14ac:dyDescent="0.25">
      <c r="A31" t="s">
        <v>26</v>
      </c>
      <c r="B31" t="s">
        <v>43</v>
      </c>
      <c r="C31" t="s">
        <v>69</v>
      </c>
      <c r="D31" t="s">
        <v>160</v>
      </c>
      <c r="E31" t="s">
        <v>30</v>
      </c>
      <c r="F31" t="s">
        <v>161</v>
      </c>
      <c r="G31" t="s">
        <v>32</v>
      </c>
      <c r="H31" t="s">
        <v>87</v>
      </c>
      <c r="I31" s="1" t="s">
        <v>162</v>
      </c>
      <c r="J31" s="1" t="s">
        <v>163</v>
      </c>
      <c r="K31" s="1" t="s">
        <v>164</v>
      </c>
      <c r="L31" s="13" t="str">
        <f t="shared" si="0"/>
        <v>09/14/22</v>
      </c>
    </row>
    <row r="32" spans="1:12" ht="30" x14ac:dyDescent="0.25">
      <c r="A32" t="s">
        <v>59</v>
      </c>
      <c r="B32" t="s">
        <v>43</v>
      </c>
      <c r="C32" t="s">
        <v>44</v>
      </c>
      <c r="D32" t="s">
        <v>165</v>
      </c>
      <c r="E32" t="s">
        <v>30</v>
      </c>
      <c r="F32" t="s">
        <v>166</v>
      </c>
      <c r="G32" t="s">
        <v>69</v>
      </c>
      <c r="H32" t="s">
        <v>87</v>
      </c>
      <c r="I32" s="1" t="s">
        <v>167</v>
      </c>
      <c r="J32" s="1" t="s">
        <v>163</v>
      </c>
      <c r="K32" s="1" t="s">
        <v>168</v>
      </c>
      <c r="L32" s="13" t="str">
        <f t="shared" si="0"/>
        <v>09/14/22</v>
      </c>
    </row>
    <row r="33" spans="1:12" ht="105" x14ac:dyDescent="0.25">
      <c r="A33" t="s">
        <v>26</v>
      </c>
      <c r="B33" t="s">
        <v>54</v>
      </c>
      <c r="C33" t="s">
        <v>106</v>
      </c>
      <c r="D33" t="s">
        <v>169</v>
      </c>
      <c r="E33" t="s">
        <v>30</v>
      </c>
      <c r="F33" t="s">
        <v>52</v>
      </c>
      <c r="G33" t="s">
        <v>32</v>
      </c>
      <c r="H33" t="s">
        <v>87</v>
      </c>
      <c r="I33" s="1" t="s">
        <v>170</v>
      </c>
      <c r="J33" s="1" t="s">
        <v>163</v>
      </c>
      <c r="K33" s="1" t="s">
        <v>171</v>
      </c>
      <c r="L33" s="13" t="str">
        <f t="shared" si="0"/>
        <v>09/13/22</v>
      </c>
    </row>
    <row r="34" spans="1:12" ht="90" x14ac:dyDescent="0.25">
      <c r="A34" t="s">
        <v>26</v>
      </c>
      <c r="B34" t="s">
        <v>43</v>
      </c>
      <c r="C34" t="s">
        <v>96</v>
      </c>
      <c r="D34" t="s">
        <v>172</v>
      </c>
      <c r="E34" t="s">
        <v>30</v>
      </c>
      <c r="F34" t="s">
        <v>147</v>
      </c>
      <c r="G34" t="s">
        <v>32</v>
      </c>
      <c r="H34" t="s">
        <v>173</v>
      </c>
      <c r="I34" s="1" t="s">
        <v>174</v>
      </c>
      <c r="K34" s="1" t="s">
        <v>175</v>
      </c>
      <c r="L34" s="13" t="str">
        <f t="shared" si="0"/>
        <v>09/14/22</v>
      </c>
    </row>
    <row r="35" spans="1:12" ht="60" x14ac:dyDescent="0.25">
      <c r="A35" t="s">
        <v>26</v>
      </c>
      <c r="B35" t="s">
        <v>43</v>
      </c>
      <c r="C35" t="s">
        <v>96</v>
      </c>
      <c r="D35" t="s">
        <v>176</v>
      </c>
      <c r="E35" t="s">
        <v>79</v>
      </c>
      <c r="F35" t="s">
        <v>177</v>
      </c>
      <c r="G35" t="s">
        <v>69</v>
      </c>
      <c r="H35" t="s">
        <v>173</v>
      </c>
      <c r="I35" s="1" t="s">
        <v>178</v>
      </c>
      <c r="J35" s="1" t="s">
        <v>104</v>
      </c>
      <c r="K35" s="1" t="s">
        <v>179</v>
      </c>
      <c r="L35" s="13" t="str">
        <f t="shared" si="0"/>
        <v>09/14/22</v>
      </c>
    </row>
    <row r="36" spans="1:12" ht="30" x14ac:dyDescent="0.25">
      <c r="A36" t="s">
        <v>26</v>
      </c>
      <c r="B36" t="s">
        <v>43</v>
      </c>
      <c r="C36" t="s">
        <v>180</v>
      </c>
      <c r="D36" t="s">
        <v>181</v>
      </c>
      <c r="E36" t="s">
        <v>30</v>
      </c>
      <c r="F36" t="s">
        <v>182</v>
      </c>
      <c r="G36" t="s">
        <v>32</v>
      </c>
      <c r="H36" t="s">
        <v>173</v>
      </c>
      <c r="I36" s="1" t="s">
        <v>183</v>
      </c>
      <c r="K36" s="1" t="s">
        <v>184</v>
      </c>
      <c r="L36" s="13" t="str">
        <f t="shared" si="0"/>
        <v>09/14/22</v>
      </c>
    </row>
    <row r="37" spans="1:12" ht="75" x14ac:dyDescent="0.25">
      <c r="A37" t="s">
        <v>49</v>
      </c>
      <c r="B37" t="s">
        <v>54</v>
      </c>
      <c r="C37" t="s">
        <v>106</v>
      </c>
      <c r="D37" t="s">
        <v>185</v>
      </c>
      <c r="E37" t="s">
        <v>30</v>
      </c>
      <c r="F37" t="s">
        <v>186</v>
      </c>
      <c r="G37" t="s">
        <v>69</v>
      </c>
      <c r="H37" t="s">
        <v>173</v>
      </c>
      <c r="I37" s="1" t="s">
        <v>187</v>
      </c>
      <c r="K37" s="1" t="s">
        <v>188</v>
      </c>
      <c r="L37" s="13" t="str">
        <f t="shared" si="0"/>
        <v>09/13/22</v>
      </c>
    </row>
    <row r="38" spans="1:12" ht="135" x14ac:dyDescent="0.25">
      <c r="A38" t="s">
        <v>49</v>
      </c>
      <c r="B38" t="s">
        <v>54</v>
      </c>
      <c r="C38" t="s">
        <v>44</v>
      </c>
      <c r="D38" t="s">
        <v>45</v>
      </c>
      <c r="E38" t="s">
        <v>30</v>
      </c>
      <c r="F38" t="s">
        <v>189</v>
      </c>
      <c r="G38" t="s">
        <v>69</v>
      </c>
      <c r="H38" t="s">
        <v>173</v>
      </c>
      <c r="I38" s="1" t="s">
        <v>190</v>
      </c>
      <c r="K38" s="1" t="s">
        <v>191</v>
      </c>
      <c r="L38" s="13" t="str">
        <f t="shared" si="0"/>
        <v>09/13/22</v>
      </c>
    </row>
    <row r="39" spans="1:12" ht="75" x14ac:dyDescent="0.25">
      <c r="A39" t="s">
        <v>37</v>
      </c>
      <c r="B39" t="s">
        <v>54</v>
      </c>
      <c r="C39" t="s">
        <v>106</v>
      </c>
      <c r="D39" t="s">
        <v>192</v>
      </c>
      <c r="E39" t="s">
        <v>30</v>
      </c>
      <c r="F39" t="s">
        <v>46</v>
      </c>
      <c r="G39" t="s">
        <v>32</v>
      </c>
      <c r="H39" t="s">
        <v>173</v>
      </c>
      <c r="I39" s="1" t="s">
        <v>193</v>
      </c>
      <c r="K39" s="1" t="s">
        <v>194</v>
      </c>
      <c r="L39" s="13" t="str">
        <f t="shared" si="0"/>
        <v>09/13/22</v>
      </c>
    </row>
    <row r="40" spans="1:12" ht="75" x14ac:dyDescent="0.25">
      <c r="A40" t="s">
        <v>64</v>
      </c>
      <c r="B40" t="s">
        <v>54</v>
      </c>
      <c r="C40" t="s">
        <v>96</v>
      </c>
      <c r="D40" t="s">
        <v>195</v>
      </c>
      <c r="E40" t="s">
        <v>30</v>
      </c>
      <c r="F40" t="s">
        <v>196</v>
      </c>
      <c r="G40" t="s">
        <v>32</v>
      </c>
      <c r="H40" t="s">
        <v>173</v>
      </c>
      <c r="I40" s="1" t="s">
        <v>197</v>
      </c>
      <c r="K40" s="1" t="s">
        <v>198</v>
      </c>
      <c r="L40" s="13" t="str">
        <f t="shared" si="0"/>
        <v>09/13/22</v>
      </c>
    </row>
    <row r="41" spans="1:12" ht="75" x14ac:dyDescent="0.25">
      <c r="A41" t="s">
        <v>64</v>
      </c>
      <c r="B41" t="s">
        <v>54</v>
      </c>
      <c r="C41" t="s">
        <v>50</v>
      </c>
      <c r="D41" t="s">
        <v>122</v>
      </c>
      <c r="E41" t="s">
        <v>30</v>
      </c>
      <c r="F41" t="s">
        <v>154</v>
      </c>
      <c r="G41" t="s">
        <v>69</v>
      </c>
      <c r="H41" t="s">
        <v>173</v>
      </c>
      <c r="I41" s="1" t="s">
        <v>199</v>
      </c>
      <c r="K41" s="1" t="s">
        <v>200</v>
      </c>
      <c r="L41" s="13" t="str">
        <f t="shared" si="0"/>
        <v>09/13/22</v>
      </c>
    </row>
    <row r="42" spans="1:12" ht="105" x14ac:dyDescent="0.25">
      <c r="A42" t="s">
        <v>49</v>
      </c>
      <c r="B42" t="s">
        <v>27</v>
      </c>
      <c r="C42" t="s">
        <v>96</v>
      </c>
      <c r="D42" t="s">
        <v>201</v>
      </c>
      <c r="E42" t="s">
        <v>79</v>
      </c>
      <c r="F42" t="s">
        <v>202</v>
      </c>
      <c r="G42" t="s">
        <v>69</v>
      </c>
      <c r="H42" t="s">
        <v>173</v>
      </c>
      <c r="I42" s="1" t="s">
        <v>203</v>
      </c>
      <c r="J42" s="1" t="s">
        <v>71</v>
      </c>
      <c r="K42" s="1" t="s">
        <v>204</v>
      </c>
      <c r="L42" s="13" t="str">
        <f t="shared" si="0"/>
        <v>09/15/22</v>
      </c>
    </row>
    <row r="43" spans="1:12" ht="105" x14ac:dyDescent="0.25">
      <c r="A43" t="s">
        <v>26</v>
      </c>
      <c r="B43" t="s">
        <v>43</v>
      </c>
      <c r="C43" t="s">
        <v>92</v>
      </c>
      <c r="D43" t="s">
        <v>111</v>
      </c>
      <c r="E43" t="s">
        <v>30</v>
      </c>
      <c r="F43" t="s">
        <v>205</v>
      </c>
      <c r="G43" t="s">
        <v>32</v>
      </c>
      <c r="H43" t="s">
        <v>173</v>
      </c>
      <c r="I43" s="1" t="s">
        <v>206</v>
      </c>
      <c r="J43" s="1" t="s">
        <v>71</v>
      </c>
      <c r="K43" s="1" t="s">
        <v>207</v>
      </c>
      <c r="L43" s="13" t="str">
        <f t="shared" si="0"/>
        <v>09/14/22</v>
      </c>
    </row>
    <row r="44" spans="1:12" ht="45" x14ac:dyDescent="0.25">
      <c r="A44" t="s">
        <v>26</v>
      </c>
      <c r="B44" t="s">
        <v>43</v>
      </c>
      <c r="C44" t="s">
        <v>32</v>
      </c>
      <c r="D44" t="s">
        <v>208</v>
      </c>
      <c r="E44" t="s">
        <v>30</v>
      </c>
      <c r="F44" t="s">
        <v>209</v>
      </c>
      <c r="G44" t="s">
        <v>69</v>
      </c>
      <c r="H44" t="s">
        <v>173</v>
      </c>
      <c r="I44" s="1" t="s">
        <v>210</v>
      </c>
      <c r="J44" s="1" t="s">
        <v>71</v>
      </c>
      <c r="K44" s="1" t="s">
        <v>211</v>
      </c>
      <c r="L44" s="13" t="str">
        <f t="shared" si="0"/>
        <v>09/14/22</v>
      </c>
    </row>
    <row r="45" spans="1:12" ht="45" x14ac:dyDescent="0.25">
      <c r="A45" t="s">
        <v>37</v>
      </c>
      <c r="B45" t="s">
        <v>43</v>
      </c>
      <c r="C45" t="s">
        <v>69</v>
      </c>
      <c r="D45" t="s">
        <v>212</v>
      </c>
      <c r="E45" t="s">
        <v>30</v>
      </c>
      <c r="F45" t="s">
        <v>161</v>
      </c>
      <c r="G45" t="s">
        <v>81</v>
      </c>
      <c r="H45" t="s">
        <v>173</v>
      </c>
      <c r="I45" s="1" t="s">
        <v>213</v>
      </c>
      <c r="J45" s="1" t="s">
        <v>71</v>
      </c>
      <c r="K45" s="1" t="s">
        <v>214</v>
      </c>
      <c r="L45" s="13" t="str">
        <f t="shared" si="0"/>
        <v>09/14/22</v>
      </c>
    </row>
    <row r="46" spans="1:12" ht="75" x14ac:dyDescent="0.25">
      <c r="A46" t="s">
        <v>26</v>
      </c>
      <c r="B46" t="s">
        <v>54</v>
      </c>
      <c r="C46" t="s">
        <v>44</v>
      </c>
      <c r="D46" t="s">
        <v>215</v>
      </c>
      <c r="E46" t="s">
        <v>30</v>
      </c>
      <c r="F46" t="s">
        <v>216</v>
      </c>
      <c r="G46" t="s">
        <v>69</v>
      </c>
      <c r="H46" t="s">
        <v>173</v>
      </c>
      <c r="I46" s="1" t="s">
        <v>217</v>
      </c>
      <c r="J46" s="1" t="s">
        <v>71</v>
      </c>
      <c r="K46" s="1" t="s">
        <v>218</v>
      </c>
      <c r="L46" s="13" t="str">
        <f t="shared" si="0"/>
        <v>09/13/22</v>
      </c>
    </row>
    <row r="47" spans="1:12" ht="30" x14ac:dyDescent="0.25">
      <c r="A47" t="s">
        <v>37</v>
      </c>
      <c r="B47" t="s">
        <v>43</v>
      </c>
      <c r="C47" t="s">
        <v>106</v>
      </c>
      <c r="D47" t="s">
        <v>219</v>
      </c>
      <c r="E47" t="s">
        <v>30</v>
      </c>
      <c r="F47" t="s">
        <v>186</v>
      </c>
      <c r="G47" t="s">
        <v>81</v>
      </c>
      <c r="H47" t="s">
        <v>173</v>
      </c>
      <c r="I47" s="1" t="s">
        <v>220</v>
      </c>
      <c r="J47" s="1" t="s">
        <v>17</v>
      </c>
      <c r="K47" s="1" t="s">
        <v>221</v>
      </c>
      <c r="L47" s="13" t="str">
        <f t="shared" si="0"/>
        <v>09/14/22</v>
      </c>
    </row>
    <row r="48" spans="1:12" ht="60" x14ac:dyDescent="0.25">
      <c r="A48" t="s">
        <v>26</v>
      </c>
      <c r="B48" t="s">
        <v>54</v>
      </c>
      <c r="C48" t="s">
        <v>180</v>
      </c>
      <c r="D48" t="s">
        <v>222</v>
      </c>
      <c r="E48" t="s">
        <v>30</v>
      </c>
      <c r="F48" t="s">
        <v>223</v>
      </c>
      <c r="G48" t="s">
        <v>69</v>
      </c>
      <c r="H48" t="s">
        <v>173</v>
      </c>
      <c r="I48" s="1" t="s">
        <v>224</v>
      </c>
      <c r="J48" s="1" t="s">
        <v>17</v>
      </c>
      <c r="K48" s="1" t="s">
        <v>225</v>
      </c>
      <c r="L48" s="13" t="str">
        <f t="shared" si="0"/>
        <v>09/13/22</v>
      </c>
    </row>
    <row r="49" spans="1:12" ht="60" x14ac:dyDescent="0.25">
      <c r="A49" t="s">
        <v>37</v>
      </c>
      <c r="B49" t="s">
        <v>54</v>
      </c>
      <c r="C49" t="s">
        <v>50</v>
      </c>
      <c r="D49" t="s">
        <v>226</v>
      </c>
      <c r="E49" t="s">
        <v>30</v>
      </c>
      <c r="F49" t="s">
        <v>61</v>
      </c>
      <c r="G49" t="s">
        <v>69</v>
      </c>
      <c r="H49" t="s">
        <v>173</v>
      </c>
      <c r="I49" s="1" t="s">
        <v>227</v>
      </c>
      <c r="J49" s="1" t="s">
        <v>17</v>
      </c>
      <c r="K49" s="1" t="s">
        <v>228</v>
      </c>
      <c r="L49" s="13" t="str">
        <f t="shared" si="0"/>
        <v>09/13/22</v>
      </c>
    </row>
    <row r="50" spans="1:12" ht="90" x14ac:dyDescent="0.25">
      <c r="A50" t="s">
        <v>26</v>
      </c>
      <c r="B50" t="s">
        <v>43</v>
      </c>
      <c r="C50" t="s">
        <v>69</v>
      </c>
      <c r="D50" t="s">
        <v>229</v>
      </c>
      <c r="E50" t="s">
        <v>30</v>
      </c>
      <c r="F50" t="s">
        <v>177</v>
      </c>
      <c r="G50" t="s">
        <v>69</v>
      </c>
      <c r="H50" t="s">
        <v>173</v>
      </c>
      <c r="I50" s="1" t="s">
        <v>230</v>
      </c>
      <c r="J50" s="1" t="s">
        <v>163</v>
      </c>
      <c r="K50" s="1" t="s">
        <v>231</v>
      </c>
      <c r="L50" s="13" t="str">
        <f t="shared" si="0"/>
        <v>09/14/22</v>
      </c>
    </row>
    <row r="51" spans="1:12" ht="105" x14ac:dyDescent="0.25">
      <c r="A51" t="s">
        <v>49</v>
      </c>
      <c r="B51" t="s">
        <v>54</v>
      </c>
      <c r="C51" t="s">
        <v>96</v>
      </c>
      <c r="D51" t="s">
        <v>232</v>
      </c>
      <c r="E51" t="s">
        <v>79</v>
      </c>
      <c r="F51" t="s">
        <v>126</v>
      </c>
      <c r="G51" t="s">
        <v>32</v>
      </c>
      <c r="H51" t="s">
        <v>173</v>
      </c>
      <c r="I51" s="1" t="s">
        <v>233</v>
      </c>
      <c r="J51" s="1" t="s">
        <v>163</v>
      </c>
      <c r="K51" s="1" t="s">
        <v>234</v>
      </c>
      <c r="L51" s="13" t="str">
        <f t="shared" si="0"/>
        <v>09/13/22</v>
      </c>
    </row>
    <row r="52" spans="1:12" ht="75" x14ac:dyDescent="0.25">
      <c r="A52" t="s">
        <v>26</v>
      </c>
      <c r="B52" t="s">
        <v>43</v>
      </c>
      <c r="C52" t="s">
        <v>235</v>
      </c>
      <c r="D52" t="s">
        <v>236</v>
      </c>
      <c r="E52" t="s">
        <v>30</v>
      </c>
      <c r="F52" t="s">
        <v>130</v>
      </c>
      <c r="G52" t="s">
        <v>32</v>
      </c>
      <c r="H52" t="s">
        <v>173</v>
      </c>
      <c r="I52" s="1" t="s">
        <v>237</v>
      </c>
      <c r="J52" s="1" t="s">
        <v>238</v>
      </c>
      <c r="K52" s="1" t="s">
        <v>239</v>
      </c>
      <c r="L52" s="13" t="str">
        <f t="shared" si="0"/>
        <v>09/14/22</v>
      </c>
    </row>
    <row r="53" spans="1:12" ht="90" x14ac:dyDescent="0.25">
      <c r="A53" t="s">
        <v>49</v>
      </c>
      <c r="B53" t="s">
        <v>54</v>
      </c>
      <c r="C53" t="s">
        <v>240</v>
      </c>
      <c r="D53" t="s">
        <v>241</v>
      </c>
      <c r="E53" t="s">
        <v>30</v>
      </c>
      <c r="F53" t="s">
        <v>189</v>
      </c>
      <c r="G53" t="s">
        <v>32</v>
      </c>
      <c r="H53" t="s">
        <v>33</v>
      </c>
      <c r="I53" s="1" t="s">
        <v>242</v>
      </c>
      <c r="J53" s="1" t="s">
        <v>243</v>
      </c>
      <c r="K53" s="1" t="s">
        <v>244</v>
      </c>
      <c r="L53" s="13" t="str">
        <f t="shared" si="0"/>
        <v>09/13/22</v>
      </c>
    </row>
    <row r="54" spans="1:12" ht="105" x14ac:dyDescent="0.25">
      <c r="A54" t="s">
        <v>49</v>
      </c>
      <c r="B54" t="s">
        <v>27</v>
      </c>
      <c r="C54" t="s">
        <v>32</v>
      </c>
      <c r="D54" t="s">
        <v>245</v>
      </c>
      <c r="E54" t="s">
        <v>30</v>
      </c>
      <c r="F54" t="s">
        <v>246</v>
      </c>
      <c r="G54" t="s">
        <v>32</v>
      </c>
      <c r="H54" t="s">
        <v>33</v>
      </c>
      <c r="I54" s="1" t="s">
        <v>247</v>
      </c>
      <c r="J54" s="1" t="s">
        <v>243</v>
      </c>
      <c r="K54" s="1" t="s">
        <v>248</v>
      </c>
      <c r="L54" s="13" t="str">
        <f t="shared" si="0"/>
        <v>09/15/22</v>
      </c>
    </row>
    <row r="55" spans="1:12" ht="60" x14ac:dyDescent="0.25">
      <c r="A55" t="s">
        <v>26</v>
      </c>
      <c r="B55" t="s">
        <v>43</v>
      </c>
      <c r="C55" t="s">
        <v>249</v>
      </c>
      <c r="D55" t="s">
        <v>250</v>
      </c>
      <c r="E55" t="s">
        <v>30</v>
      </c>
      <c r="F55" t="s">
        <v>61</v>
      </c>
      <c r="G55" t="s">
        <v>32</v>
      </c>
      <c r="H55" t="s">
        <v>33</v>
      </c>
      <c r="I55" s="1" t="s">
        <v>251</v>
      </c>
      <c r="J55" s="1" t="s">
        <v>243</v>
      </c>
      <c r="K55" s="1" t="s">
        <v>252</v>
      </c>
      <c r="L55" s="13" t="str">
        <f t="shared" si="0"/>
        <v>09/14/22</v>
      </c>
    </row>
    <row r="56" spans="1:12" ht="60" x14ac:dyDescent="0.25">
      <c r="A56" t="s">
        <v>26</v>
      </c>
      <c r="B56" t="s">
        <v>43</v>
      </c>
      <c r="C56" t="s">
        <v>73</v>
      </c>
      <c r="D56" t="s">
        <v>253</v>
      </c>
      <c r="E56" t="s">
        <v>30</v>
      </c>
      <c r="F56" t="s">
        <v>46</v>
      </c>
      <c r="G56" t="s">
        <v>69</v>
      </c>
      <c r="H56" t="s">
        <v>33</v>
      </c>
      <c r="I56" s="1" t="s">
        <v>254</v>
      </c>
      <c r="J56" s="1" t="s">
        <v>243</v>
      </c>
      <c r="K56" s="1" t="s">
        <v>255</v>
      </c>
      <c r="L56" s="13" t="str">
        <f t="shared" si="0"/>
        <v>09/14/22</v>
      </c>
    </row>
    <row r="57" spans="1:12" ht="105" x14ac:dyDescent="0.25">
      <c r="A57" t="s">
        <v>26</v>
      </c>
      <c r="B57" t="s">
        <v>43</v>
      </c>
      <c r="C57" t="s">
        <v>92</v>
      </c>
      <c r="D57" t="s">
        <v>256</v>
      </c>
      <c r="E57" t="s">
        <v>30</v>
      </c>
      <c r="F57" t="s">
        <v>140</v>
      </c>
      <c r="G57" t="s">
        <v>32</v>
      </c>
      <c r="H57" t="s">
        <v>33</v>
      </c>
      <c r="I57" s="1" t="s">
        <v>257</v>
      </c>
      <c r="J57" s="1" t="s">
        <v>243</v>
      </c>
      <c r="K57" s="1" t="s">
        <v>258</v>
      </c>
      <c r="L57" s="13" t="str">
        <f t="shared" si="0"/>
        <v>09/14/22</v>
      </c>
    </row>
    <row r="58" spans="1:12" ht="105" x14ac:dyDescent="0.25">
      <c r="A58" t="s">
        <v>26</v>
      </c>
      <c r="B58" t="s">
        <v>43</v>
      </c>
      <c r="C58" t="s">
        <v>44</v>
      </c>
      <c r="D58" t="s">
        <v>259</v>
      </c>
      <c r="E58" t="s">
        <v>30</v>
      </c>
      <c r="F58" t="s">
        <v>260</v>
      </c>
      <c r="G58" t="s">
        <v>32</v>
      </c>
      <c r="H58" t="s">
        <v>33</v>
      </c>
      <c r="I58" s="1" t="s">
        <v>261</v>
      </c>
      <c r="J58" s="1" t="s">
        <v>243</v>
      </c>
      <c r="K58" s="1" t="s">
        <v>262</v>
      </c>
      <c r="L58" s="13" t="str">
        <f t="shared" si="0"/>
        <v>09/14/22</v>
      </c>
    </row>
    <row r="59" spans="1:12" ht="90" x14ac:dyDescent="0.25">
      <c r="A59" t="s">
        <v>49</v>
      </c>
      <c r="B59" t="s">
        <v>43</v>
      </c>
      <c r="C59" t="s">
        <v>263</v>
      </c>
      <c r="D59" t="s">
        <v>264</v>
      </c>
      <c r="E59" t="s">
        <v>30</v>
      </c>
      <c r="F59" t="s">
        <v>46</v>
      </c>
      <c r="G59" t="s">
        <v>32</v>
      </c>
      <c r="H59" t="s">
        <v>33</v>
      </c>
      <c r="I59" s="1" t="s">
        <v>265</v>
      </c>
      <c r="J59" s="1" t="s">
        <v>243</v>
      </c>
      <c r="K59" s="1" t="s">
        <v>266</v>
      </c>
      <c r="L59" s="13" t="str">
        <f t="shared" si="0"/>
        <v>09/14/22</v>
      </c>
    </row>
    <row r="60" spans="1:12" ht="105" x14ac:dyDescent="0.25">
      <c r="A60" t="s">
        <v>49</v>
      </c>
      <c r="B60" t="s">
        <v>43</v>
      </c>
      <c r="C60" t="s">
        <v>240</v>
      </c>
      <c r="D60" t="s">
        <v>267</v>
      </c>
      <c r="E60" t="s">
        <v>30</v>
      </c>
      <c r="F60" t="s">
        <v>205</v>
      </c>
      <c r="G60" t="s">
        <v>32</v>
      </c>
      <c r="H60" t="s">
        <v>33</v>
      </c>
      <c r="I60" s="1" t="s">
        <v>268</v>
      </c>
      <c r="J60" s="1" t="s">
        <v>243</v>
      </c>
      <c r="K60" s="1" t="s">
        <v>269</v>
      </c>
      <c r="L60" s="13" t="str">
        <f t="shared" si="0"/>
        <v>09/14/22</v>
      </c>
    </row>
    <row r="61" spans="1:12" ht="105" x14ac:dyDescent="0.25">
      <c r="A61" t="s">
        <v>26</v>
      </c>
      <c r="B61" t="s">
        <v>43</v>
      </c>
      <c r="C61" t="s">
        <v>235</v>
      </c>
      <c r="D61" t="s">
        <v>270</v>
      </c>
      <c r="E61" t="s">
        <v>30</v>
      </c>
      <c r="F61" t="s">
        <v>154</v>
      </c>
      <c r="G61" t="s">
        <v>32</v>
      </c>
      <c r="H61" t="s">
        <v>33</v>
      </c>
      <c r="I61" s="1" t="s">
        <v>271</v>
      </c>
      <c r="J61" s="1" t="s">
        <v>243</v>
      </c>
      <c r="K61" s="1" t="s">
        <v>272</v>
      </c>
      <c r="L61" s="13" t="str">
        <f t="shared" si="0"/>
        <v>09/14/22</v>
      </c>
    </row>
    <row r="62" spans="1:12" ht="45" x14ac:dyDescent="0.25">
      <c r="A62" t="s">
        <v>49</v>
      </c>
      <c r="B62" t="s">
        <v>43</v>
      </c>
      <c r="C62" t="s">
        <v>28</v>
      </c>
      <c r="D62" t="s">
        <v>273</v>
      </c>
      <c r="E62" t="s">
        <v>30</v>
      </c>
      <c r="F62" t="s">
        <v>166</v>
      </c>
      <c r="G62" t="s">
        <v>32</v>
      </c>
      <c r="H62" t="s">
        <v>33</v>
      </c>
      <c r="I62" s="1" t="s">
        <v>274</v>
      </c>
      <c r="J62" s="1" t="s">
        <v>243</v>
      </c>
      <c r="K62" s="1" t="s">
        <v>275</v>
      </c>
      <c r="L62" s="13" t="str">
        <f t="shared" si="0"/>
        <v>09/14/22</v>
      </c>
    </row>
    <row r="63" spans="1:12" ht="60" x14ac:dyDescent="0.25">
      <c r="A63" t="s">
        <v>26</v>
      </c>
      <c r="B63" t="s">
        <v>43</v>
      </c>
      <c r="C63" t="s">
        <v>180</v>
      </c>
      <c r="D63" t="s">
        <v>276</v>
      </c>
      <c r="E63" t="s">
        <v>30</v>
      </c>
      <c r="F63" t="s">
        <v>61</v>
      </c>
      <c r="G63" t="s">
        <v>81</v>
      </c>
      <c r="H63" t="s">
        <v>33</v>
      </c>
      <c r="I63" s="1" t="s">
        <v>277</v>
      </c>
      <c r="J63" s="1" t="s">
        <v>243</v>
      </c>
      <c r="K63" s="1" t="s">
        <v>278</v>
      </c>
      <c r="L63" s="13" t="str">
        <f t="shared" si="0"/>
        <v>09/14/22</v>
      </c>
    </row>
    <row r="64" spans="1:12" ht="90" x14ac:dyDescent="0.25">
      <c r="A64" t="s">
        <v>26</v>
      </c>
      <c r="B64" t="s">
        <v>43</v>
      </c>
      <c r="C64" t="s">
        <v>55</v>
      </c>
      <c r="D64" t="s">
        <v>279</v>
      </c>
      <c r="E64" t="s">
        <v>79</v>
      </c>
      <c r="F64" t="s">
        <v>280</v>
      </c>
      <c r="G64" t="s">
        <v>69</v>
      </c>
      <c r="H64" t="s">
        <v>33</v>
      </c>
      <c r="I64" s="1" t="s">
        <v>281</v>
      </c>
      <c r="J64" s="1" t="s">
        <v>243</v>
      </c>
      <c r="K64" s="1" t="s">
        <v>282</v>
      </c>
      <c r="L64" s="13" t="str">
        <f t="shared" si="0"/>
        <v>09/14/22</v>
      </c>
    </row>
    <row r="65" spans="1:12" ht="105" x14ac:dyDescent="0.25">
      <c r="A65" t="s">
        <v>49</v>
      </c>
      <c r="B65" t="s">
        <v>43</v>
      </c>
      <c r="C65" t="s">
        <v>69</v>
      </c>
      <c r="D65" t="s">
        <v>283</v>
      </c>
      <c r="E65" t="s">
        <v>30</v>
      </c>
      <c r="F65" t="s">
        <v>61</v>
      </c>
      <c r="G65" t="s">
        <v>32</v>
      </c>
      <c r="H65" t="s">
        <v>33</v>
      </c>
      <c r="I65" s="1" t="s">
        <v>284</v>
      </c>
      <c r="J65" s="1" t="s">
        <v>243</v>
      </c>
      <c r="K65" s="1" t="s">
        <v>285</v>
      </c>
      <c r="L65" s="13" t="str">
        <f t="shared" si="0"/>
        <v>09/14/22</v>
      </c>
    </row>
    <row r="66" spans="1:12" ht="90" x14ac:dyDescent="0.25">
      <c r="A66" t="s">
        <v>37</v>
      </c>
      <c r="B66" t="s">
        <v>43</v>
      </c>
      <c r="C66" t="s">
        <v>50</v>
      </c>
      <c r="D66" t="s">
        <v>286</v>
      </c>
      <c r="E66" t="s">
        <v>30</v>
      </c>
      <c r="F66" t="s">
        <v>287</v>
      </c>
      <c r="G66" t="s">
        <v>32</v>
      </c>
      <c r="H66" t="s">
        <v>33</v>
      </c>
      <c r="I66" s="1" t="s">
        <v>288</v>
      </c>
      <c r="J66" s="1" t="s">
        <v>243</v>
      </c>
      <c r="K66" s="1" t="s">
        <v>289</v>
      </c>
      <c r="L66" s="13" t="str">
        <f t="shared" si="0"/>
        <v>09/14/22</v>
      </c>
    </row>
    <row r="67" spans="1:12" ht="75" x14ac:dyDescent="0.25">
      <c r="A67" t="s">
        <v>64</v>
      </c>
      <c r="B67" t="s">
        <v>43</v>
      </c>
      <c r="C67" t="s">
        <v>44</v>
      </c>
      <c r="D67" t="s">
        <v>215</v>
      </c>
      <c r="E67" t="s">
        <v>79</v>
      </c>
      <c r="F67" t="s">
        <v>290</v>
      </c>
      <c r="G67" t="s">
        <v>32</v>
      </c>
      <c r="H67" t="s">
        <v>33</v>
      </c>
      <c r="I67" s="1" t="s">
        <v>291</v>
      </c>
      <c r="J67" s="1" t="s">
        <v>243</v>
      </c>
      <c r="K67" s="1" t="s">
        <v>292</v>
      </c>
      <c r="L67" s="13" t="str">
        <f t="shared" ref="L67:L130" si="1">TEXT(+B67, "MM/DD/YY")</f>
        <v>09/14/22</v>
      </c>
    </row>
    <row r="68" spans="1:12" ht="120" x14ac:dyDescent="0.25">
      <c r="A68" t="s">
        <v>37</v>
      </c>
      <c r="B68" t="s">
        <v>43</v>
      </c>
      <c r="C68" t="s">
        <v>73</v>
      </c>
      <c r="D68" t="s">
        <v>293</v>
      </c>
      <c r="E68" t="s">
        <v>79</v>
      </c>
      <c r="F68" t="s">
        <v>294</v>
      </c>
      <c r="G68" t="s">
        <v>32</v>
      </c>
      <c r="H68" t="s">
        <v>33</v>
      </c>
      <c r="I68" s="1" t="s">
        <v>295</v>
      </c>
      <c r="J68" s="1" t="s">
        <v>243</v>
      </c>
      <c r="K68" s="1" t="s">
        <v>296</v>
      </c>
      <c r="L68" s="13" t="str">
        <f t="shared" si="1"/>
        <v>09/14/22</v>
      </c>
    </row>
    <row r="69" spans="1:12" ht="60" x14ac:dyDescent="0.25">
      <c r="A69" t="s">
        <v>37</v>
      </c>
      <c r="B69" t="s">
        <v>43</v>
      </c>
      <c r="C69" t="s">
        <v>69</v>
      </c>
      <c r="D69" t="s">
        <v>297</v>
      </c>
      <c r="E69" t="s">
        <v>30</v>
      </c>
      <c r="F69" t="s">
        <v>189</v>
      </c>
      <c r="G69" t="s">
        <v>263</v>
      </c>
      <c r="H69" t="s">
        <v>33</v>
      </c>
      <c r="I69" s="1" t="s">
        <v>298</v>
      </c>
      <c r="J69" s="1" t="s">
        <v>243</v>
      </c>
      <c r="K69" s="1" t="s">
        <v>299</v>
      </c>
      <c r="L69" s="13" t="str">
        <f t="shared" si="1"/>
        <v>09/14/22</v>
      </c>
    </row>
    <row r="70" spans="1:12" ht="105" x14ac:dyDescent="0.25">
      <c r="A70" t="s">
        <v>37</v>
      </c>
      <c r="B70" t="s">
        <v>43</v>
      </c>
      <c r="C70" t="s">
        <v>44</v>
      </c>
      <c r="D70" t="s">
        <v>300</v>
      </c>
      <c r="E70" t="s">
        <v>30</v>
      </c>
      <c r="F70" t="s">
        <v>102</v>
      </c>
      <c r="G70" t="s">
        <v>32</v>
      </c>
      <c r="H70" t="s">
        <v>33</v>
      </c>
      <c r="I70" s="1" t="s">
        <v>301</v>
      </c>
      <c r="J70" s="1" t="s">
        <v>243</v>
      </c>
      <c r="K70" s="1" t="s">
        <v>302</v>
      </c>
      <c r="L70" s="13" t="str">
        <f t="shared" si="1"/>
        <v>09/14/22</v>
      </c>
    </row>
    <row r="71" spans="1:12" ht="45" x14ac:dyDescent="0.25">
      <c r="A71" t="s">
        <v>26</v>
      </c>
      <c r="B71" t="s">
        <v>54</v>
      </c>
      <c r="C71" t="s">
        <v>249</v>
      </c>
      <c r="D71" t="s">
        <v>303</v>
      </c>
      <c r="E71" t="s">
        <v>30</v>
      </c>
      <c r="F71" t="s">
        <v>98</v>
      </c>
      <c r="G71" t="s">
        <v>32</v>
      </c>
      <c r="H71" t="s">
        <v>33</v>
      </c>
      <c r="I71" s="1" t="s">
        <v>304</v>
      </c>
      <c r="J71" s="1" t="s">
        <v>243</v>
      </c>
      <c r="K71" s="1" t="s">
        <v>305</v>
      </c>
      <c r="L71" s="13" t="str">
        <f t="shared" si="1"/>
        <v>09/13/22</v>
      </c>
    </row>
    <row r="72" spans="1:12" ht="120" x14ac:dyDescent="0.25">
      <c r="A72" t="s">
        <v>26</v>
      </c>
      <c r="B72" t="s">
        <v>54</v>
      </c>
      <c r="C72" t="s">
        <v>249</v>
      </c>
      <c r="D72" t="s">
        <v>306</v>
      </c>
      <c r="E72" t="s">
        <v>30</v>
      </c>
      <c r="F72" t="s">
        <v>307</v>
      </c>
      <c r="G72" t="s">
        <v>69</v>
      </c>
      <c r="H72" t="s">
        <v>33</v>
      </c>
      <c r="I72" s="1" t="s">
        <v>308</v>
      </c>
      <c r="J72" s="1" t="s">
        <v>243</v>
      </c>
      <c r="K72" s="1" t="s">
        <v>309</v>
      </c>
      <c r="L72" s="13" t="str">
        <f t="shared" si="1"/>
        <v>09/13/22</v>
      </c>
    </row>
    <row r="73" spans="1:12" ht="105" x14ac:dyDescent="0.25">
      <c r="A73" t="s">
        <v>26</v>
      </c>
      <c r="B73" t="s">
        <v>54</v>
      </c>
      <c r="C73" t="s">
        <v>263</v>
      </c>
      <c r="D73" t="s">
        <v>310</v>
      </c>
      <c r="E73" t="s">
        <v>30</v>
      </c>
      <c r="F73" t="s">
        <v>246</v>
      </c>
      <c r="G73" t="s">
        <v>32</v>
      </c>
      <c r="H73" t="s">
        <v>33</v>
      </c>
      <c r="I73" s="1" t="s">
        <v>311</v>
      </c>
      <c r="J73" s="1" t="s">
        <v>243</v>
      </c>
      <c r="K73" s="1" t="s">
        <v>312</v>
      </c>
      <c r="L73" s="13" t="str">
        <f t="shared" si="1"/>
        <v>09/13/22</v>
      </c>
    </row>
    <row r="74" spans="1:12" ht="60" x14ac:dyDescent="0.25">
      <c r="A74" t="s">
        <v>26</v>
      </c>
      <c r="B74" t="s">
        <v>54</v>
      </c>
      <c r="C74" t="s">
        <v>73</v>
      </c>
      <c r="D74" t="s">
        <v>313</v>
      </c>
      <c r="E74" t="s">
        <v>30</v>
      </c>
      <c r="F74" t="s">
        <v>112</v>
      </c>
      <c r="G74" t="s">
        <v>32</v>
      </c>
      <c r="H74" t="s">
        <v>33</v>
      </c>
      <c r="I74" s="1" t="s">
        <v>314</v>
      </c>
      <c r="J74" s="1" t="s">
        <v>243</v>
      </c>
      <c r="K74" s="1" t="s">
        <v>315</v>
      </c>
      <c r="L74" s="13" t="str">
        <f t="shared" si="1"/>
        <v>09/13/22</v>
      </c>
    </row>
    <row r="75" spans="1:12" ht="75" x14ac:dyDescent="0.25">
      <c r="A75" t="s">
        <v>26</v>
      </c>
      <c r="B75" t="s">
        <v>54</v>
      </c>
      <c r="C75" t="s">
        <v>92</v>
      </c>
      <c r="D75" t="s">
        <v>316</v>
      </c>
      <c r="E75" t="s">
        <v>30</v>
      </c>
      <c r="F75" t="s">
        <v>130</v>
      </c>
      <c r="G75" t="s">
        <v>32</v>
      </c>
      <c r="H75" t="s">
        <v>33</v>
      </c>
      <c r="I75" s="1" t="s">
        <v>317</v>
      </c>
      <c r="J75" s="1" t="s">
        <v>243</v>
      </c>
      <c r="K75" s="1" t="s">
        <v>318</v>
      </c>
      <c r="L75" s="13" t="str">
        <f t="shared" si="1"/>
        <v>09/13/22</v>
      </c>
    </row>
    <row r="76" spans="1:12" ht="150" x14ac:dyDescent="0.25">
      <c r="A76" t="s">
        <v>26</v>
      </c>
      <c r="B76" t="s">
        <v>54</v>
      </c>
      <c r="C76" t="s">
        <v>240</v>
      </c>
      <c r="D76" t="s">
        <v>319</v>
      </c>
      <c r="E76" t="s">
        <v>30</v>
      </c>
      <c r="F76" t="s">
        <v>280</v>
      </c>
      <c r="G76" t="s">
        <v>32</v>
      </c>
      <c r="H76" t="s">
        <v>33</v>
      </c>
      <c r="I76" s="1" t="s">
        <v>320</v>
      </c>
      <c r="J76" s="1" t="s">
        <v>243</v>
      </c>
      <c r="K76" s="1" t="s">
        <v>321</v>
      </c>
      <c r="L76" s="13" t="str">
        <f t="shared" si="1"/>
        <v>09/13/22</v>
      </c>
    </row>
    <row r="77" spans="1:12" ht="105" x14ac:dyDescent="0.25">
      <c r="A77" t="s">
        <v>26</v>
      </c>
      <c r="B77" t="s">
        <v>54</v>
      </c>
      <c r="C77" t="s">
        <v>50</v>
      </c>
      <c r="D77" t="s">
        <v>322</v>
      </c>
      <c r="E77" t="s">
        <v>30</v>
      </c>
      <c r="F77" t="s">
        <v>246</v>
      </c>
      <c r="G77" t="s">
        <v>32</v>
      </c>
      <c r="H77" t="s">
        <v>33</v>
      </c>
      <c r="I77" s="1" t="s">
        <v>323</v>
      </c>
      <c r="J77" s="1" t="s">
        <v>243</v>
      </c>
      <c r="K77" s="1" t="s">
        <v>324</v>
      </c>
      <c r="L77" s="13" t="str">
        <f t="shared" si="1"/>
        <v>09/13/22</v>
      </c>
    </row>
    <row r="78" spans="1:12" ht="45" x14ac:dyDescent="0.25">
      <c r="A78" t="s">
        <v>26</v>
      </c>
      <c r="B78" t="s">
        <v>54</v>
      </c>
      <c r="C78" t="s">
        <v>235</v>
      </c>
      <c r="D78" t="s">
        <v>270</v>
      </c>
      <c r="E78" t="s">
        <v>30</v>
      </c>
      <c r="F78" t="s">
        <v>202</v>
      </c>
      <c r="G78" t="s">
        <v>32</v>
      </c>
      <c r="H78" t="s">
        <v>33</v>
      </c>
      <c r="I78" s="1" t="s">
        <v>325</v>
      </c>
      <c r="J78" s="1" t="s">
        <v>243</v>
      </c>
      <c r="K78" s="1" t="s">
        <v>326</v>
      </c>
      <c r="L78" s="13" t="str">
        <f t="shared" si="1"/>
        <v>09/13/22</v>
      </c>
    </row>
    <row r="79" spans="1:12" ht="105" x14ac:dyDescent="0.25">
      <c r="A79" t="s">
        <v>26</v>
      </c>
      <c r="B79" t="s">
        <v>54</v>
      </c>
      <c r="C79" t="s">
        <v>235</v>
      </c>
      <c r="D79" t="s">
        <v>327</v>
      </c>
      <c r="E79" t="s">
        <v>30</v>
      </c>
      <c r="F79" t="s">
        <v>280</v>
      </c>
      <c r="G79" t="s">
        <v>32</v>
      </c>
      <c r="H79" t="s">
        <v>33</v>
      </c>
      <c r="I79" s="1" t="s">
        <v>328</v>
      </c>
      <c r="J79" s="1" t="s">
        <v>243</v>
      </c>
      <c r="K79" s="1" t="s">
        <v>329</v>
      </c>
      <c r="L79" s="13" t="str">
        <f t="shared" si="1"/>
        <v>09/13/22</v>
      </c>
    </row>
    <row r="80" spans="1:12" ht="120" x14ac:dyDescent="0.25">
      <c r="A80" t="s">
        <v>49</v>
      </c>
      <c r="B80" t="s">
        <v>54</v>
      </c>
      <c r="C80" t="s">
        <v>180</v>
      </c>
      <c r="D80" t="s">
        <v>330</v>
      </c>
      <c r="E80" t="s">
        <v>30</v>
      </c>
      <c r="F80" t="s">
        <v>331</v>
      </c>
      <c r="G80" t="s">
        <v>32</v>
      </c>
      <c r="H80" t="s">
        <v>33</v>
      </c>
      <c r="I80" s="1" t="s">
        <v>332</v>
      </c>
      <c r="J80" s="1" t="s">
        <v>243</v>
      </c>
      <c r="K80" s="1" t="s">
        <v>333</v>
      </c>
      <c r="L80" s="13" t="str">
        <f t="shared" si="1"/>
        <v>09/13/22</v>
      </c>
    </row>
    <row r="81" spans="1:12" ht="30" x14ac:dyDescent="0.25">
      <c r="A81" t="s">
        <v>26</v>
      </c>
      <c r="B81" t="s">
        <v>54</v>
      </c>
      <c r="C81" t="s">
        <v>50</v>
      </c>
      <c r="D81" t="s">
        <v>334</v>
      </c>
      <c r="E81" t="s">
        <v>30</v>
      </c>
      <c r="F81">
        <v>63</v>
      </c>
      <c r="G81">
        <v>5</v>
      </c>
      <c r="H81" t="s">
        <v>33</v>
      </c>
      <c r="J81" s="1" t="s">
        <v>243</v>
      </c>
      <c r="K81" s="1" t="s">
        <v>335</v>
      </c>
      <c r="L81" s="13" t="str">
        <f t="shared" si="1"/>
        <v>09/13/22</v>
      </c>
    </row>
    <row r="82" spans="1:12" ht="30" x14ac:dyDescent="0.25">
      <c r="A82" t="s">
        <v>49</v>
      </c>
      <c r="B82" t="s">
        <v>54</v>
      </c>
      <c r="C82" t="s">
        <v>28</v>
      </c>
      <c r="D82" t="s">
        <v>273</v>
      </c>
      <c r="E82" t="s">
        <v>30</v>
      </c>
      <c r="F82" t="s">
        <v>94</v>
      </c>
      <c r="G82" t="s">
        <v>32</v>
      </c>
      <c r="H82" t="s">
        <v>33</v>
      </c>
      <c r="I82" s="1" t="s">
        <v>336</v>
      </c>
      <c r="J82" s="1" t="s">
        <v>243</v>
      </c>
      <c r="K82" s="1" t="s">
        <v>337</v>
      </c>
      <c r="L82" s="13" t="str">
        <f t="shared" si="1"/>
        <v>09/13/22</v>
      </c>
    </row>
    <row r="83" spans="1:12" ht="30" x14ac:dyDescent="0.25">
      <c r="A83" t="s">
        <v>26</v>
      </c>
      <c r="B83" t="s">
        <v>54</v>
      </c>
      <c r="C83" t="s">
        <v>85</v>
      </c>
      <c r="D83" t="s">
        <v>338</v>
      </c>
      <c r="E83" t="s">
        <v>79</v>
      </c>
      <c r="F83" t="s">
        <v>46</v>
      </c>
      <c r="G83" t="s">
        <v>32</v>
      </c>
      <c r="H83" t="s">
        <v>33</v>
      </c>
      <c r="I83" s="1" t="s">
        <v>339</v>
      </c>
      <c r="J83" s="1" t="s">
        <v>243</v>
      </c>
      <c r="K83" s="1" t="s">
        <v>340</v>
      </c>
      <c r="L83" s="13" t="str">
        <f t="shared" si="1"/>
        <v>09/13/22</v>
      </c>
    </row>
    <row r="84" spans="1:12" ht="45" x14ac:dyDescent="0.25">
      <c r="A84" t="s">
        <v>49</v>
      </c>
      <c r="B84" t="s">
        <v>54</v>
      </c>
      <c r="C84" t="s">
        <v>55</v>
      </c>
      <c r="D84" t="s">
        <v>341</v>
      </c>
      <c r="E84" t="s">
        <v>30</v>
      </c>
      <c r="F84" t="s">
        <v>98</v>
      </c>
      <c r="G84" t="s">
        <v>32</v>
      </c>
      <c r="H84" t="s">
        <v>33</v>
      </c>
      <c r="I84" s="1" t="s">
        <v>342</v>
      </c>
      <c r="J84" s="1" t="s">
        <v>243</v>
      </c>
      <c r="K84" s="1" t="s">
        <v>343</v>
      </c>
      <c r="L84" s="13" t="str">
        <f t="shared" si="1"/>
        <v>09/13/22</v>
      </c>
    </row>
    <row r="85" spans="1:12" ht="60" x14ac:dyDescent="0.25">
      <c r="A85" t="s">
        <v>26</v>
      </c>
      <c r="B85" t="s">
        <v>54</v>
      </c>
      <c r="C85" t="s">
        <v>28</v>
      </c>
      <c r="D85" t="s">
        <v>344</v>
      </c>
      <c r="E85" t="s">
        <v>79</v>
      </c>
      <c r="F85" t="s">
        <v>130</v>
      </c>
      <c r="G85" t="s">
        <v>32</v>
      </c>
      <c r="H85" t="s">
        <v>33</v>
      </c>
      <c r="I85" s="1" t="s">
        <v>345</v>
      </c>
      <c r="J85" s="1" t="s">
        <v>243</v>
      </c>
      <c r="K85" s="1" t="s">
        <v>346</v>
      </c>
      <c r="L85" s="13" t="str">
        <f t="shared" si="1"/>
        <v>09/13/22</v>
      </c>
    </row>
    <row r="86" spans="1:12" ht="60" x14ac:dyDescent="0.25">
      <c r="A86" t="s">
        <v>49</v>
      </c>
      <c r="B86" t="s">
        <v>54</v>
      </c>
      <c r="C86" t="s">
        <v>50</v>
      </c>
      <c r="D86" t="s">
        <v>334</v>
      </c>
      <c r="E86" t="s">
        <v>79</v>
      </c>
      <c r="F86" t="s">
        <v>126</v>
      </c>
      <c r="G86" t="s">
        <v>32</v>
      </c>
      <c r="H86" t="s">
        <v>33</v>
      </c>
      <c r="I86" s="1" t="s">
        <v>347</v>
      </c>
      <c r="J86" s="1" t="s">
        <v>243</v>
      </c>
      <c r="K86" s="1" t="s">
        <v>348</v>
      </c>
      <c r="L86" s="13" t="str">
        <f t="shared" si="1"/>
        <v>09/13/22</v>
      </c>
    </row>
    <row r="87" spans="1:12" ht="90" x14ac:dyDescent="0.25">
      <c r="A87" t="s">
        <v>49</v>
      </c>
      <c r="B87" t="s">
        <v>54</v>
      </c>
      <c r="C87" t="s">
        <v>69</v>
      </c>
      <c r="D87" t="s">
        <v>349</v>
      </c>
      <c r="E87" t="s">
        <v>30</v>
      </c>
      <c r="F87" t="s">
        <v>98</v>
      </c>
      <c r="G87" t="s">
        <v>32</v>
      </c>
      <c r="H87" t="s">
        <v>33</v>
      </c>
      <c r="I87" s="1" t="s">
        <v>350</v>
      </c>
      <c r="J87" s="1" t="s">
        <v>243</v>
      </c>
      <c r="K87" s="1" t="s">
        <v>351</v>
      </c>
      <c r="L87" s="13" t="str">
        <f t="shared" si="1"/>
        <v>09/13/22</v>
      </c>
    </row>
    <row r="88" spans="1:12" ht="75" x14ac:dyDescent="0.25">
      <c r="A88" t="s">
        <v>49</v>
      </c>
      <c r="B88" t="s">
        <v>54</v>
      </c>
      <c r="C88" t="s">
        <v>28</v>
      </c>
      <c r="D88" t="s">
        <v>352</v>
      </c>
      <c r="E88" t="s">
        <v>79</v>
      </c>
      <c r="F88" t="s">
        <v>140</v>
      </c>
      <c r="G88" t="s">
        <v>32</v>
      </c>
      <c r="H88" t="s">
        <v>33</v>
      </c>
      <c r="I88" s="1" t="s">
        <v>353</v>
      </c>
      <c r="J88" s="1" t="s">
        <v>243</v>
      </c>
      <c r="K88" s="1" t="s">
        <v>354</v>
      </c>
      <c r="L88" s="13" t="str">
        <f t="shared" si="1"/>
        <v>09/13/22</v>
      </c>
    </row>
    <row r="89" spans="1:12" ht="45" x14ac:dyDescent="0.25">
      <c r="A89" t="s">
        <v>91</v>
      </c>
      <c r="B89" t="s">
        <v>54</v>
      </c>
      <c r="C89" t="s">
        <v>249</v>
      </c>
      <c r="D89" t="s">
        <v>355</v>
      </c>
      <c r="E89" t="s">
        <v>30</v>
      </c>
      <c r="F89" t="s">
        <v>182</v>
      </c>
      <c r="G89" t="s">
        <v>32</v>
      </c>
      <c r="H89" t="s">
        <v>33</v>
      </c>
      <c r="I89" s="1" t="s">
        <v>356</v>
      </c>
      <c r="J89" s="1" t="s">
        <v>243</v>
      </c>
      <c r="K89" s="1" t="s">
        <v>357</v>
      </c>
      <c r="L89" s="13" t="str">
        <f t="shared" si="1"/>
        <v>09/13/22</v>
      </c>
    </row>
    <row r="90" spans="1:12" ht="120" x14ac:dyDescent="0.25">
      <c r="A90" t="s">
        <v>26</v>
      </c>
      <c r="B90" t="s">
        <v>43</v>
      </c>
      <c r="C90" t="s">
        <v>32</v>
      </c>
      <c r="D90" t="s">
        <v>358</v>
      </c>
      <c r="E90" t="s">
        <v>30</v>
      </c>
      <c r="F90" t="s">
        <v>196</v>
      </c>
      <c r="G90" t="s">
        <v>32</v>
      </c>
      <c r="H90" t="s">
        <v>33</v>
      </c>
      <c r="I90" s="1" t="s">
        <v>359</v>
      </c>
      <c r="J90" s="1" t="s">
        <v>360</v>
      </c>
      <c r="K90" s="1" t="s">
        <v>361</v>
      </c>
      <c r="L90" s="13" t="str">
        <f t="shared" si="1"/>
        <v>09/14/22</v>
      </c>
    </row>
    <row r="91" spans="1:12" ht="60" x14ac:dyDescent="0.25">
      <c r="A91" t="s">
        <v>37</v>
      </c>
      <c r="B91" t="s">
        <v>54</v>
      </c>
      <c r="C91" t="s">
        <v>50</v>
      </c>
      <c r="D91" t="s">
        <v>362</v>
      </c>
      <c r="E91" t="s">
        <v>30</v>
      </c>
      <c r="F91" t="s">
        <v>108</v>
      </c>
      <c r="G91" t="s">
        <v>32</v>
      </c>
      <c r="H91" t="s">
        <v>33</v>
      </c>
      <c r="I91" s="1" t="s">
        <v>363</v>
      </c>
      <c r="J91" s="1" t="s">
        <v>360</v>
      </c>
      <c r="K91" s="1" t="s">
        <v>364</v>
      </c>
      <c r="L91" s="13" t="str">
        <f t="shared" si="1"/>
        <v>09/13/22</v>
      </c>
    </row>
    <row r="92" spans="1:12" ht="45" x14ac:dyDescent="0.25">
      <c r="A92" t="s">
        <v>26</v>
      </c>
      <c r="B92" t="s">
        <v>27</v>
      </c>
      <c r="C92" t="s">
        <v>92</v>
      </c>
      <c r="D92" t="s">
        <v>111</v>
      </c>
      <c r="E92" t="s">
        <v>30</v>
      </c>
      <c r="F92" t="s">
        <v>365</v>
      </c>
      <c r="G92" t="s">
        <v>69</v>
      </c>
      <c r="H92" t="s">
        <v>87</v>
      </c>
      <c r="I92" s="1" t="s">
        <v>366</v>
      </c>
      <c r="J92" s="1" t="s">
        <v>243</v>
      </c>
      <c r="K92" s="1" t="s">
        <v>367</v>
      </c>
      <c r="L92" s="13" t="str">
        <f t="shared" si="1"/>
        <v>09/15/22</v>
      </c>
    </row>
    <row r="93" spans="1:12" ht="75" x14ac:dyDescent="0.25">
      <c r="A93" t="s">
        <v>26</v>
      </c>
      <c r="B93" t="s">
        <v>43</v>
      </c>
      <c r="C93" t="s">
        <v>50</v>
      </c>
      <c r="D93" t="s">
        <v>226</v>
      </c>
      <c r="E93" t="s">
        <v>30</v>
      </c>
      <c r="F93" t="s">
        <v>61</v>
      </c>
      <c r="G93" t="s">
        <v>32</v>
      </c>
      <c r="H93" t="s">
        <v>87</v>
      </c>
      <c r="I93" s="1" t="s">
        <v>368</v>
      </c>
      <c r="J93" s="1" t="s">
        <v>243</v>
      </c>
      <c r="K93" s="1" t="s">
        <v>369</v>
      </c>
      <c r="L93" s="13" t="str">
        <f t="shared" si="1"/>
        <v>09/14/22</v>
      </c>
    </row>
    <row r="94" spans="1:12" ht="75" x14ac:dyDescent="0.25">
      <c r="A94" t="s">
        <v>26</v>
      </c>
      <c r="B94" t="s">
        <v>43</v>
      </c>
      <c r="C94" t="s">
        <v>106</v>
      </c>
      <c r="D94" t="s">
        <v>370</v>
      </c>
      <c r="E94" t="s">
        <v>30</v>
      </c>
      <c r="F94" t="s">
        <v>223</v>
      </c>
      <c r="G94" t="s">
        <v>69</v>
      </c>
      <c r="H94" t="s">
        <v>87</v>
      </c>
      <c r="I94" s="1" t="s">
        <v>371</v>
      </c>
      <c r="J94" s="1" t="s">
        <v>243</v>
      </c>
      <c r="K94" s="1" t="s">
        <v>372</v>
      </c>
      <c r="L94" s="13" t="str">
        <f t="shared" si="1"/>
        <v>09/14/22</v>
      </c>
    </row>
    <row r="95" spans="1:12" ht="30" x14ac:dyDescent="0.25">
      <c r="A95" t="s">
        <v>26</v>
      </c>
      <c r="B95" t="s">
        <v>43</v>
      </c>
      <c r="C95" t="s">
        <v>85</v>
      </c>
      <c r="D95" t="s">
        <v>373</v>
      </c>
      <c r="E95" t="s">
        <v>30</v>
      </c>
      <c r="F95" t="s">
        <v>196</v>
      </c>
      <c r="G95" t="s">
        <v>81</v>
      </c>
      <c r="H95" t="s">
        <v>87</v>
      </c>
      <c r="I95" s="1" t="s">
        <v>374</v>
      </c>
      <c r="J95" s="1" t="s">
        <v>243</v>
      </c>
      <c r="K95" s="1" t="s">
        <v>375</v>
      </c>
      <c r="L95" s="13" t="str">
        <f t="shared" si="1"/>
        <v>09/14/22</v>
      </c>
    </row>
    <row r="96" spans="1:12" ht="105" x14ac:dyDescent="0.25">
      <c r="A96" t="s">
        <v>26</v>
      </c>
      <c r="B96" t="s">
        <v>43</v>
      </c>
      <c r="C96" t="s">
        <v>32</v>
      </c>
      <c r="D96" t="s">
        <v>376</v>
      </c>
      <c r="E96" t="s">
        <v>30</v>
      </c>
      <c r="F96" t="s">
        <v>260</v>
      </c>
      <c r="G96" t="s">
        <v>263</v>
      </c>
      <c r="H96" t="s">
        <v>87</v>
      </c>
      <c r="I96" s="1" t="s">
        <v>377</v>
      </c>
      <c r="J96" s="1" t="s">
        <v>243</v>
      </c>
      <c r="K96" s="1" t="s">
        <v>367</v>
      </c>
      <c r="L96" s="13" t="str">
        <f t="shared" si="1"/>
        <v>09/14/22</v>
      </c>
    </row>
    <row r="97" spans="1:24" ht="60" x14ac:dyDescent="0.25">
      <c r="A97" t="s">
        <v>37</v>
      </c>
      <c r="B97" t="s">
        <v>43</v>
      </c>
      <c r="C97" t="s">
        <v>85</v>
      </c>
      <c r="D97" t="s">
        <v>378</v>
      </c>
      <c r="E97" t="s">
        <v>79</v>
      </c>
      <c r="F97" t="s">
        <v>140</v>
      </c>
      <c r="G97" t="s">
        <v>32</v>
      </c>
      <c r="H97" t="s">
        <v>87</v>
      </c>
      <c r="I97" s="1" t="s">
        <v>379</v>
      </c>
      <c r="J97" s="1" t="s">
        <v>243</v>
      </c>
      <c r="K97" s="1" t="s">
        <v>375</v>
      </c>
      <c r="L97" s="13" t="str">
        <f t="shared" si="1"/>
        <v>09/14/22</v>
      </c>
    </row>
    <row r="98" spans="1:24" ht="165" x14ac:dyDescent="0.25">
      <c r="A98" t="s">
        <v>37</v>
      </c>
      <c r="B98" t="s">
        <v>43</v>
      </c>
      <c r="C98" t="s">
        <v>73</v>
      </c>
      <c r="D98" t="s">
        <v>253</v>
      </c>
      <c r="E98" t="s">
        <v>30</v>
      </c>
      <c r="F98" t="s">
        <v>182</v>
      </c>
      <c r="G98" t="s">
        <v>32</v>
      </c>
      <c r="H98" t="s">
        <v>87</v>
      </c>
      <c r="I98" s="1" t="s">
        <v>380</v>
      </c>
      <c r="J98" s="1" t="s">
        <v>243</v>
      </c>
      <c r="K98" s="1" t="s">
        <v>381</v>
      </c>
      <c r="L98" s="13" t="str">
        <f t="shared" si="1"/>
        <v>09/14/22</v>
      </c>
    </row>
    <row r="99" spans="1:24" ht="135" x14ac:dyDescent="0.25">
      <c r="A99" t="s">
        <v>49</v>
      </c>
      <c r="B99" t="s">
        <v>43</v>
      </c>
      <c r="C99" t="s">
        <v>55</v>
      </c>
      <c r="D99" t="s">
        <v>382</v>
      </c>
      <c r="E99" t="s">
        <v>30</v>
      </c>
      <c r="F99" t="s">
        <v>98</v>
      </c>
      <c r="G99" t="s">
        <v>69</v>
      </c>
      <c r="H99" t="s">
        <v>87</v>
      </c>
      <c r="I99" s="1" t="s">
        <v>383</v>
      </c>
      <c r="J99" s="1" t="s">
        <v>243</v>
      </c>
      <c r="K99" s="1" t="s">
        <v>384</v>
      </c>
      <c r="L99" s="13" t="str">
        <f t="shared" si="1"/>
        <v>09/14/22</v>
      </c>
    </row>
    <row r="100" spans="1:24" ht="45" x14ac:dyDescent="0.25">
      <c r="A100" t="s">
        <v>91</v>
      </c>
      <c r="B100" t="s">
        <v>43</v>
      </c>
      <c r="C100" t="s">
        <v>73</v>
      </c>
      <c r="D100" t="s">
        <v>385</v>
      </c>
      <c r="E100" t="s">
        <v>30</v>
      </c>
      <c r="F100" t="s">
        <v>40</v>
      </c>
      <c r="G100" t="s">
        <v>32</v>
      </c>
      <c r="H100" t="s">
        <v>87</v>
      </c>
      <c r="I100" s="1" t="s">
        <v>386</v>
      </c>
      <c r="J100" s="1" t="s">
        <v>243</v>
      </c>
      <c r="K100" s="1" t="s">
        <v>387</v>
      </c>
      <c r="L100" s="13" t="str">
        <f t="shared" si="1"/>
        <v>09/14/22</v>
      </c>
    </row>
    <row r="101" spans="1:24" ht="90" x14ac:dyDescent="0.25">
      <c r="A101" t="s">
        <v>26</v>
      </c>
      <c r="B101" t="s">
        <v>54</v>
      </c>
      <c r="C101" t="s">
        <v>28</v>
      </c>
      <c r="D101" t="s">
        <v>388</v>
      </c>
      <c r="E101" t="s">
        <v>30</v>
      </c>
      <c r="F101" t="s">
        <v>389</v>
      </c>
      <c r="G101" t="s">
        <v>69</v>
      </c>
      <c r="H101" t="s">
        <v>87</v>
      </c>
      <c r="I101" s="1" t="s">
        <v>390</v>
      </c>
      <c r="J101" s="1" t="s">
        <v>243</v>
      </c>
      <c r="K101" s="1" t="s">
        <v>391</v>
      </c>
      <c r="L101" s="13" t="str">
        <f t="shared" si="1"/>
        <v>09/13/22</v>
      </c>
    </row>
    <row r="102" spans="1:24" ht="90" x14ac:dyDescent="0.25">
      <c r="A102" t="s">
        <v>26</v>
      </c>
      <c r="B102" t="s">
        <v>54</v>
      </c>
      <c r="C102" t="s">
        <v>55</v>
      </c>
      <c r="D102" t="s">
        <v>392</v>
      </c>
      <c r="E102" t="s">
        <v>30</v>
      </c>
      <c r="F102" t="s">
        <v>52</v>
      </c>
      <c r="G102" t="s">
        <v>81</v>
      </c>
      <c r="H102" t="s">
        <v>87</v>
      </c>
      <c r="I102" s="1" t="s">
        <v>393</v>
      </c>
      <c r="J102" s="1" t="s">
        <v>243</v>
      </c>
      <c r="K102" s="1" t="s">
        <v>394</v>
      </c>
      <c r="L102" s="13" t="str">
        <f t="shared" si="1"/>
        <v>09/13/22</v>
      </c>
    </row>
    <row r="103" spans="1:24" ht="105" x14ac:dyDescent="0.25">
      <c r="A103" t="s">
        <v>26</v>
      </c>
      <c r="B103" t="s">
        <v>54</v>
      </c>
      <c r="C103" t="s">
        <v>249</v>
      </c>
      <c r="D103" t="s">
        <v>306</v>
      </c>
      <c r="E103" t="s">
        <v>30</v>
      </c>
      <c r="F103" t="s">
        <v>46</v>
      </c>
      <c r="G103" t="s">
        <v>38</v>
      </c>
      <c r="H103" t="s">
        <v>87</v>
      </c>
      <c r="I103" s="1" t="s">
        <v>395</v>
      </c>
      <c r="J103" s="1" t="s">
        <v>396</v>
      </c>
      <c r="K103" s="1" t="s">
        <v>397</v>
      </c>
      <c r="L103" s="13" t="str">
        <f t="shared" si="1"/>
        <v>09/13/22</v>
      </c>
    </row>
    <row r="104" spans="1:24" ht="150" x14ac:dyDescent="0.25">
      <c r="A104" t="s">
        <v>49</v>
      </c>
      <c r="B104" t="s">
        <v>54</v>
      </c>
      <c r="C104" t="s">
        <v>69</v>
      </c>
      <c r="D104" t="s">
        <v>398</v>
      </c>
      <c r="E104" t="s">
        <v>30</v>
      </c>
      <c r="F104" t="s">
        <v>126</v>
      </c>
      <c r="G104" t="s">
        <v>69</v>
      </c>
      <c r="H104" t="s">
        <v>87</v>
      </c>
      <c r="I104" s="1" t="s">
        <v>399</v>
      </c>
      <c r="J104" s="1" t="s">
        <v>396</v>
      </c>
      <c r="K104" s="1" t="s">
        <v>400</v>
      </c>
      <c r="L104" s="13" t="str">
        <f t="shared" si="1"/>
        <v>09/13/22</v>
      </c>
    </row>
    <row r="105" spans="1:24" ht="45" x14ac:dyDescent="0.25">
      <c r="A105" t="s">
        <v>26</v>
      </c>
      <c r="B105" t="s">
        <v>27</v>
      </c>
      <c r="C105" t="s">
        <v>249</v>
      </c>
      <c r="D105" t="s">
        <v>401</v>
      </c>
      <c r="E105" t="s">
        <v>30</v>
      </c>
      <c r="F105" t="s">
        <v>290</v>
      </c>
      <c r="G105" t="s">
        <v>69</v>
      </c>
      <c r="H105" t="s">
        <v>173</v>
      </c>
      <c r="I105" s="1" t="s">
        <v>402</v>
      </c>
      <c r="J105" s="1" t="s">
        <v>243</v>
      </c>
      <c r="K105" s="1" t="s">
        <v>367</v>
      </c>
      <c r="L105" s="13" t="str">
        <f t="shared" si="1"/>
        <v>09/15/22</v>
      </c>
    </row>
    <row r="106" spans="1:24" ht="60" x14ac:dyDescent="0.25">
      <c r="A106" t="s">
        <v>26</v>
      </c>
      <c r="B106" t="s">
        <v>27</v>
      </c>
      <c r="C106" t="s">
        <v>235</v>
      </c>
      <c r="D106" t="s">
        <v>403</v>
      </c>
      <c r="E106" t="s">
        <v>30</v>
      </c>
      <c r="F106" t="s">
        <v>216</v>
      </c>
      <c r="G106" t="s">
        <v>38</v>
      </c>
      <c r="H106" t="s">
        <v>173</v>
      </c>
      <c r="I106" s="1" t="s">
        <v>404</v>
      </c>
      <c r="J106" s="1" t="s">
        <v>243</v>
      </c>
      <c r="K106" s="1" t="s">
        <v>367</v>
      </c>
      <c r="L106" s="13" t="str">
        <f t="shared" si="1"/>
        <v>09/15/22</v>
      </c>
    </row>
    <row r="107" spans="1:24" ht="90" x14ac:dyDescent="0.25">
      <c r="A107" t="s">
        <v>64</v>
      </c>
      <c r="B107" t="s">
        <v>43</v>
      </c>
      <c r="C107" t="s">
        <v>85</v>
      </c>
      <c r="D107" t="s">
        <v>405</v>
      </c>
      <c r="E107" t="s">
        <v>30</v>
      </c>
      <c r="F107" t="s">
        <v>389</v>
      </c>
      <c r="G107" t="s">
        <v>32</v>
      </c>
      <c r="H107" t="s">
        <v>173</v>
      </c>
      <c r="I107" s="1" t="s">
        <v>406</v>
      </c>
      <c r="J107" s="1" t="s">
        <v>243</v>
      </c>
      <c r="K107" s="1" t="s">
        <v>407</v>
      </c>
      <c r="L107" s="13" t="str">
        <f t="shared" si="1"/>
        <v>09/14/22</v>
      </c>
    </row>
    <row r="108" spans="1:24" ht="60" x14ac:dyDescent="0.25">
      <c r="A108" t="s">
        <v>49</v>
      </c>
      <c r="B108" t="s">
        <v>43</v>
      </c>
      <c r="C108" t="s">
        <v>73</v>
      </c>
      <c r="D108" t="s">
        <v>408</v>
      </c>
      <c r="E108" t="s">
        <v>30</v>
      </c>
      <c r="F108" t="s">
        <v>202</v>
      </c>
      <c r="G108" t="s">
        <v>32</v>
      </c>
      <c r="H108" t="s">
        <v>173</v>
      </c>
      <c r="I108" s="1" t="s">
        <v>409</v>
      </c>
      <c r="J108" s="1" t="s">
        <v>243</v>
      </c>
      <c r="K108" s="1" t="s">
        <v>410</v>
      </c>
      <c r="L108" s="13" t="str">
        <f t="shared" si="1"/>
        <v>09/14/22</v>
      </c>
    </row>
    <row r="109" spans="1:24" ht="90" x14ac:dyDescent="0.25">
      <c r="A109" t="s">
        <v>26</v>
      </c>
      <c r="B109" t="s">
        <v>54</v>
      </c>
      <c r="C109" t="s">
        <v>249</v>
      </c>
      <c r="D109" t="s">
        <v>411</v>
      </c>
      <c r="E109" t="s">
        <v>79</v>
      </c>
      <c r="F109" t="s">
        <v>389</v>
      </c>
      <c r="G109" t="s">
        <v>69</v>
      </c>
      <c r="H109" t="s">
        <v>173</v>
      </c>
      <c r="I109" s="1" t="s">
        <v>412</v>
      </c>
      <c r="J109" s="1" t="s">
        <v>243</v>
      </c>
      <c r="K109" s="1" t="s">
        <v>413</v>
      </c>
      <c r="L109" s="13" t="str">
        <f t="shared" si="1"/>
        <v>09/13/22</v>
      </c>
    </row>
    <row r="110" spans="1:24" ht="90" x14ac:dyDescent="0.25">
      <c r="A110" t="s">
        <v>26</v>
      </c>
      <c r="B110" t="s">
        <v>54</v>
      </c>
      <c r="C110" t="s">
        <v>28</v>
      </c>
      <c r="D110" t="s">
        <v>388</v>
      </c>
      <c r="E110" t="s">
        <v>30</v>
      </c>
      <c r="F110" t="s">
        <v>46</v>
      </c>
      <c r="G110" t="s">
        <v>32</v>
      </c>
      <c r="H110" t="s">
        <v>173</v>
      </c>
      <c r="I110" s="1" t="s">
        <v>414</v>
      </c>
      <c r="J110" s="1" t="s">
        <v>243</v>
      </c>
      <c r="K110" s="1" t="s">
        <v>415</v>
      </c>
      <c r="L110" s="13" t="str">
        <f t="shared" si="1"/>
        <v>09/13/22</v>
      </c>
    </row>
    <row r="111" spans="1:24" ht="60" x14ac:dyDescent="0.25">
      <c r="A111" t="s">
        <v>49</v>
      </c>
      <c r="B111" t="s">
        <v>54</v>
      </c>
      <c r="C111" t="s">
        <v>96</v>
      </c>
      <c r="D111" t="s">
        <v>416</v>
      </c>
      <c r="E111" t="s">
        <v>30</v>
      </c>
      <c r="F111" t="s">
        <v>417</v>
      </c>
      <c r="G111" t="s">
        <v>32</v>
      </c>
      <c r="H111" t="s">
        <v>173</v>
      </c>
      <c r="I111" s="1" t="s">
        <v>418</v>
      </c>
      <c r="J111" s="1" t="s">
        <v>243</v>
      </c>
      <c r="K111" s="1" t="s">
        <v>419</v>
      </c>
      <c r="L111" s="13" t="str">
        <f t="shared" si="1"/>
        <v>09/13/22</v>
      </c>
    </row>
    <row r="112" spans="1:24" s="5" customFormat="1" ht="135" x14ac:dyDescent="0.25">
      <c r="A112" s="5" t="s">
        <v>26</v>
      </c>
      <c r="B112" s="5" t="s">
        <v>54</v>
      </c>
      <c r="C112" s="5" t="s">
        <v>249</v>
      </c>
      <c r="D112" s="5" t="s">
        <v>420</v>
      </c>
      <c r="E112" s="5" t="s">
        <v>30</v>
      </c>
      <c r="F112" s="5" t="s">
        <v>102</v>
      </c>
      <c r="G112" s="5" t="s">
        <v>32</v>
      </c>
      <c r="H112" s="5" t="s">
        <v>33</v>
      </c>
      <c r="I112" s="6" t="s">
        <v>421</v>
      </c>
      <c r="J112" s="6" t="s">
        <v>243</v>
      </c>
      <c r="K112" s="6" t="s">
        <v>422</v>
      </c>
      <c r="L112" s="13" t="str">
        <f t="shared" si="1"/>
        <v>09/13/22</v>
      </c>
      <c r="M112" s="15"/>
      <c r="N112" s="15"/>
      <c r="O112" s="15"/>
      <c r="P112" s="15"/>
      <c r="Q112" s="15"/>
      <c r="R112" s="15"/>
      <c r="S112" s="15"/>
      <c r="T112" s="15"/>
      <c r="U112" s="15"/>
      <c r="V112" s="15"/>
      <c r="W112" s="15"/>
      <c r="X112" s="15"/>
    </row>
    <row r="113" spans="1:12" ht="60" x14ac:dyDescent="0.25">
      <c r="A113" t="s">
        <v>26</v>
      </c>
      <c r="B113" t="s">
        <v>423</v>
      </c>
      <c r="C113" t="s">
        <v>249</v>
      </c>
      <c r="D113" t="s">
        <v>424</v>
      </c>
      <c r="E113" t="s">
        <v>30</v>
      </c>
      <c r="F113" t="s">
        <v>61</v>
      </c>
      <c r="G113" t="s">
        <v>32</v>
      </c>
      <c r="H113" t="s">
        <v>33</v>
      </c>
      <c r="I113" s="1" t="s">
        <v>425</v>
      </c>
      <c r="J113" s="1" t="s">
        <v>426</v>
      </c>
      <c r="L113" s="13" t="str">
        <f t="shared" si="1"/>
        <v>09/25/22</v>
      </c>
    </row>
    <row r="114" spans="1:12" ht="30" x14ac:dyDescent="0.25">
      <c r="A114" t="s">
        <v>26</v>
      </c>
      <c r="B114" t="s">
        <v>423</v>
      </c>
      <c r="C114" t="s">
        <v>235</v>
      </c>
      <c r="D114" t="s">
        <v>427</v>
      </c>
      <c r="E114" t="s">
        <v>30</v>
      </c>
      <c r="F114" t="s">
        <v>161</v>
      </c>
      <c r="G114" t="s">
        <v>69</v>
      </c>
      <c r="H114" t="s">
        <v>33</v>
      </c>
      <c r="I114" s="1" t="s">
        <v>428</v>
      </c>
      <c r="J114" s="1" t="s">
        <v>426</v>
      </c>
      <c r="L114" s="13" t="str">
        <f t="shared" si="1"/>
        <v>09/25/22</v>
      </c>
    </row>
    <row r="115" spans="1:12" ht="90" x14ac:dyDescent="0.25">
      <c r="A115" t="s">
        <v>49</v>
      </c>
      <c r="B115" t="s">
        <v>423</v>
      </c>
      <c r="C115" t="s">
        <v>85</v>
      </c>
      <c r="D115" t="s">
        <v>405</v>
      </c>
      <c r="E115" t="s">
        <v>30</v>
      </c>
      <c r="F115" t="s">
        <v>140</v>
      </c>
      <c r="G115" t="s">
        <v>32</v>
      </c>
      <c r="H115" t="s">
        <v>33</v>
      </c>
      <c r="I115" s="1" t="s">
        <v>429</v>
      </c>
      <c r="J115" s="1" t="s">
        <v>15</v>
      </c>
      <c r="L115" s="13" t="str">
        <f t="shared" si="1"/>
        <v>09/25/22</v>
      </c>
    </row>
    <row r="116" spans="1:12" ht="90" x14ac:dyDescent="0.25">
      <c r="A116" t="s">
        <v>26</v>
      </c>
      <c r="B116" t="s">
        <v>423</v>
      </c>
      <c r="C116" t="s">
        <v>106</v>
      </c>
      <c r="D116" t="s">
        <v>185</v>
      </c>
      <c r="E116" t="s">
        <v>30</v>
      </c>
      <c r="F116" t="s">
        <v>140</v>
      </c>
      <c r="G116" t="s">
        <v>32</v>
      </c>
      <c r="H116" t="s">
        <v>33</v>
      </c>
      <c r="I116" s="1" t="s">
        <v>430</v>
      </c>
      <c r="J116" s="1" t="s">
        <v>426</v>
      </c>
      <c r="L116" s="13" t="str">
        <f t="shared" si="1"/>
        <v>09/25/22</v>
      </c>
    </row>
    <row r="117" spans="1:12" ht="30" x14ac:dyDescent="0.25">
      <c r="A117" t="s">
        <v>26</v>
      </c>
      <c r="B117" t="s">
        <v>423</v>
      </c>
      <c r="C117" t="s">
        <v>106</v>
      </c>
      <c r="D117" t="s">
        <v>431</v>
      </c>
      <c r="E117" t="s">
        <v>79</v>
      </c>
      <c r="F117" t="s">
        <v>102</v>
      </c>
      <c r="G117" t="s">
        <v>32</v>
      </c>
      <c r="H117" t="s">
        <v>33</v>
      </c>
      <c r="I117" s="1" t="s">
        <v>432</v>
      </c>
      <c r="J117" s="1" t="s">
        <v>426</v>
      </c>
      <c r="L117" s="13" t="str">
        <f t="shared" si="1"/>
        <v>09/25/22</v>
      </c>
    </row>
    <row r="118" spans="1:12" ht="30" x14ac:dyDescent="0.25">
      <c r="A118" t="s">
        <v>26</v>
      </c>
      <c r="B118" t="s">
        <v>423</v>
      </c>
      <c r="C118" t="s">
        <v>69</v>
      </c>
      <c r="D118" t="s">
        <v>160</v>
      </c>
      <c r="E118" t="s">
        <v>30</v>
      </c>
      <c r="F118" t="s">
        <v>189</v>
      </c>
      <c r="G118" t="s">
        <v>32</v>
      </c>
      <c r="H118" t="s">
        <v>87</v>
      </c>
      <c r="I118" s="1" t="s">
        <v>433</v>
      </c>
      <c r="J118" s="1" t="s">
        <v>71</v>
      </c>
      <c r="L118" s="13" t="str">
        <f t="shared" si="1"/>
        <v>09/25/22</v>
      </c>
    </row>
    <row r="119" spans="1:12" ht="90" x14ac:dyDescent="0.25">
      <c r="A119" t="s">
        <v>49</v>
      </c>
      <c r="B119" t="s">
        <v>423</v>
      </c>
      <c r="C119" t="s">
        <v>85</v>
      </c>
      <c r="D119" t="s">
        <v>434</v>
      </c>
      <c r="E119" t="s">
        <v>79</v>
      </c>
      <c r="F119" t="s">
        <v>294</v>
      </c>
      <c r="G119" t="s">
        <v>81</v>
      </c>
      <c r="H119" t="s">
        <v>173</v>
      </c>
      <c r="I119" s="1" t="s">
        <v>435</v>
      </c>
      <c r="J119" s="1" t="s">
        <v>436</v>
      </c>
      <c r="L119" s="13" t="str">
        <f t="shared" si="1"/>
        <v>09/25/22</v>
      </c>
    </row>
    <row r="120" spans="1:12" ht="30" x14ac:dyDescent="0.25">
      <c r="A120" t="s">
        <v>26</v>
      </c>
      <c r="B120" t="s">
        <v>423</v>
      </c>
      <c r="C120" t="s">
        <v>85</v>
      </c>
      <c r="D120" t="s">
        <v>437</v>
      </c>
      <c r="E120" t="s">
        <v>79</v>
      </c>
      <c r="F120" t="s">
        <v>186</v>
      </c>
      <c r="G120" t="s">
        <v>32</v>
      </c>
      <c r="H120" t="s">
        <v>87</v>
      </c>
      <c r="I120" s="1" t="s">
        <v>438</v>
      </c>
      <c r="J120" s="1" t="s">
        <v>243</v>
      </c>
      <c r="L120" s="13" t="str">
        <f t="shared" si="1"/>
        <v>09/25/22</v>
      </c>
    </row>
    <row r="121" spans="1:12" ht="120" x14ac:dyDescent="0.25">
      <c r="A121" t="s">
        <v>26</v>
      </c>
      <c r="B121" t="s">
        <v>423</v>
      </c>
      <c r="C121" t="s">
        <v>180</v>
      </c>
      <c r="D121" t="s">
        <v>439</v>
      </c>
      <c r="E121" t="s">
        <v>30</v>
      </c>
      <c r="F121" t="s">
        <v>94</v>
      </c>
      <c r="G121" t="s">
        <v>32</v>
      </c>
      <c r="H121" t="s">
        <v>173</v>
      </c>
      <c r="I121" s="1" t="s">
        <v>440</v>
      </c>
      <c r="J121" s="1" t="s">
        <v>441</v>
      </c>
      <c r="L121" s="13" t="str">
        <f t="shared" si="1"/>
        <v>09/25/22</v>
      </c>
    </row>
    <row r="122" spans="1:12" ht="30" x14ac:dyDescent="0.25">
      <c r="A122" t="s">
        <v>37</v>
      </c>
      <c r="B122" t="s">
        <v>423</v>
      </c>
      <c r="C122" t="s">
        <v>180</v>
      </c>
      <c r="D122" t="s">
        <v>439</v>
      </c>
      <c r="E122" t="s">
        <v>30</v>
      </c>
      <c r="F122" t="s">
        <v>287</v>
      </c>
      <c r="G122" t="s">
        <v>32</v>
      </c>
      <c r="H122" t="s">
        <v>173</v>
      </c>
      <c r="I122" s="1" t="s">
        <v>442</v>
      </c>
      <c r="J122" s="1" t="s">
        <v>426</v>
      </c>
      <c r="L122" s="13" t="str">
        <f t="shared" si="1"/>
        <v>09/25/22</v>
      </c>
    </row>
    <row r="123" spans="1:12" ht="45" x14ac:dyDescent="0.25">
      <c r="A123" t="s">
        <v>49</v>
      </c>
      <c r="B123" t="s">
        <v>423</v>
      </c>
      <c r="C123" t="s">
        <v>69</v>
      </c>
      <c r="D123" t="s">
        <v>443</v>
      </c>
      <c r="E123" t="s">
        <v>30</v>
      </c>
      <c r="F123" t="s">
        <v>94</v>
      </c>
      <c r="G123" t="s">
        <v>32</v>
      </c>
      <c r="H123" t="s">
        <v>33</v>
      </c>
      <c r="I123" s="1" t="s">
        <v>444</v>
      </c>
      <c r="J123" s="1" t="s">
        <v>426</v>
      </c>
      <c r="L123" s="13" t="str">
        <f t="shared" si="1"/>
        <v>09/25/22</v>
      </c>
    </row>
    <row r="124" spans="1:12" ht="105" x14ac:dyDescent="0.25">
      <c r="A124" t="s">
        <v>37</v>
      </c>
      <c r="B124" t="s">
        <v>423</v>
      </c>
      <c r="C124" t="s">
        <v>44</v>
      </c>
      <c r="D124" t="s">
        <v>445</v>
      </c>
      <c r="E124" t="s">
        <v>79</v>
      </c>
      <c r="F124" t="s">
        <v>446</v>
      </c>
      <c r="G124" t="s">
        <v>69</v>
      </c>
      <c r="H124" t="s">
        <v>87</v>
      </c>
      <c r="I124" s="1" t="s">
        <v>447</v>
      </c>
      <c r="J124" s="1" t="s">
        <v>448</v>
      </c>
      <c r="L124" s="13" t="str">
        <f t="shared" si="1"/>
        <v>09/25/22</v>
      </c>
    </row>
    <row r="125" spans="1:12" ht="90" x14ac:dyDescent="0.25">
      <c r="A125" t="s">
        <v>37</v>
      </c>
      <c r="B125" t="s">
        <v>423</v>
      </c>
      <c r="C125" t="s">
        <v>44</v>
      </c>
      <c r="D125" t="s">
        <v>267</v>
      </c>
      <c r="E125" t="s">
        <v>79</v>
      </c>
      <c r="F125" t="s">
        <v>216</v>
      </c>
      <c r="G125" t="s">
        <v>38</v>
      </c>
      <c r="H125" t="s">
        <v>173</v>
      </c>
      <c r="I125" s="1" t="s">
        <v>449</v>
      </c>
      <c r="J125" s="1" t="s">
        <v>450</v>
      </c>
      <c r="L125" s="13" t="str">
        <f t="shared" si="1"/>
        <v>09/25/22</v>
      </c>
    </row>
    <row r="126" spans="1:12" ht="45" x14ac:dyDescent="0.25">
      <c r="A126" t="s">
        <v>26</v>
      </c>
      <c r="B126" t="s">
        <v>451</v>
      </c>
      <c r="C126" t="s">
        <v>92</v>
      </c>
      <c r="D126" t="s">
        <v>452</v>
      </c>
      <c r="E126" t="s">
        <v>30</v>
      </c>
      <c r="F126" t="s">
        <v>216</v>
      </c>
      <c r="G126" t="s">
        <v>69</v>
      </c>
      <c r="H126" t="s">
        <v>87</v>
      </c>
      <c r="I126" s="1" t="s">
        <v>453</v>
      </c>
      <c r="J126" s="1" t="s">
        <v>454</v>
      </c>
      <c r="L126" s="13" t="str">
        <f t="shared" si="1"/>
        <v>09/24/22</v>
      </c>
    </row>
    <row r="127" spans="1:12" ht="75" x14ac:dyDescent="0.25">
      <c r="A127" t="s">
        <v>26</v>
      </c>
      <c r="B127" t="s">
        <v>451</v>
      </c>
      <c r="C127" t="s">
        <v>73</v>
      </c>
      <c r="D127" t="s">
        <v>455</v>
      </c>
      <c r="E127" t="s">
        <v>30</v>
      </c>
      <c r="F127" t="s">
        <v>389</v>
      </c>
      <c r="G127" t="s">
        <v>38</v>
      </c>
      <c r="H127" t="s">
        <v>173</v>
      </c>
      <c r="I127" s="1" t="s">
        <v>456</v>
      </c>
      <c r="J127" s="1" t="s">
        <v>15</v>
      </c>
      <c r="L127" s="13" t="str">
        <f t="shared" si="1"/>
        <v>09/24/22</v>
      </c>
    </row>
    <row r="128" spans="1:12" ht="60" x14ac:dyDescent="0.25">
      <c r="A128" t="s">
        <v>26</v>
      </c>
      <c r="B128" t="s">
        <v>451</v>
      </c>
      <c r="C128" t="s">
        <v>263</v>
      </c>
      <c r="D128" t="s">
        <v>457</v>
      </c>
      <c r="E128" t="s">
        <v>30</v>
      </c>
      <c r="F128" t="s">
        <v>112</v>
      </c>
      <c r="G128" t="s">
        <v>32</v>
      </c>
      <c r="H128" t="s">
        <v>33</v>
      </c>
      <c r="I128" s="1" t="s">
        <v>458</v>
      </c>
      <c r="J128" s="1" t="s">
        <v>448</v>
      </c>
      <c r="L128" s="13" t="str">
        <f t="shared" si="1"/>
        <v>09/24/22</v>
      </c>
    </row>
    <row r="129" spans="1:12" ht="30" x14ac:dyDescent="0.25">
      <c r="A129" t="s">
        <v>26</v>
      </c>
      <c r="B129" t="s">
        <v>451</v>
      </c>
      <c r="C129" t="s">
        <v>249</v>
      </c>
      <c r="D129" t="s">
        <v>355</v>
      </c>
      <c r="E129" t="s">
        <v>30</v>
      </c>
      <c r="F129" t="s">
        <v>154</v>
      </c>
      <c r="G129" t="s">
        <v>32</v>
      </c>
      <c r="H129" t="s">
        <v>33</v>
      </c>
      <c r="I129" s="1" t="s">
        <v>459</v>
      </c>
      <c r="J129" s="1" t="s">
        <v>15</v>
      </c>
      <c r="L129" s="13" t="str">
        <f t="shared" si="1"/>
        <v>09/24/22</v>
      </c>
    </row>
    <row r="130" spans="1:12" ht="135" x14ac:dyDescent="0.25">
      <c r="A130" t="s">
        <v>26</v>
      </c>
      <c r="B130" t="s">
        <v>451</v>
      </c>
      <c r="C130" t="s">
        <v>96</v>
      </c>
      <c r="D130" t="s">
        <v>139</v>
      </c>
      <c r="E130" t="s">
        <v>30</v>
      </c>
      <c r="F130" t="s">
        <v>205</v>
      </c>
      <c r="G130" t="s">
        <v>69</v>
      </c>
      <c r="H130" t="s">
        <v>33</v>
      </c>
      <c r="I130" s="1" t="s">
        <v>460</v>
      </c>
      <c r="J130" s="1" t="s">
        <v>426</v>
      </c>
      <c r="L130" s="13" t="str">
        <f t="shared" si="1"/>
        <v>09/24/22</v>
      </c>
    </row>
    <row r="131" spans="1:12" ht="75" x14ac:dyDescent="0.25">
      <c r="A131" t="s">
        <v>26</v>
      </c>
      <c r="B131" t="s">
        <v>451</v>
      </c>
      <c r="C131" t="s">
        <v>92</v>
      </c>
      <c r="D131" t="s">
        <v>452</v>
      </c>
      <c r="E131" t="s">
        <v>30</v>
      </c>
      <c r="F131" t="s">
        <v>112</v>
      </c>
      <c r="G131" t="s">
        <v>69</v>
      </c>
      <c r="H131" t="s">
        <v>33</v>
      </c>
      <c r="I131" s="1" t="s">
        <v>461</v>
      </c>
      <c r="J131" s="1" t="s">
        <v>21</v>
      </c>
      <c r="L131" s="13" t="str">
        <f t="shared" ref="L131:L194" si="2">TEXT(+B131, "MM/DD/YY")</f>
        <v>09/24/22</v>
      </c>
    </row>
    <row r="132" spans="1:12" ht="75" x14ac:dyDescent="0.25">
      <c r="A132" t="s">
        <v>26</v>
      </c>
      <c r="B132" t="s">
        <v>451</v>
      </c>
      <c r="C132" t="s">
        <v>263</v>
      </c>
      <c r="D132" t="s">
        <v>462</v>
      </c>
      <c r="E132" t="s">
        <v>30</v>
      </c>
      <c r="F132" t="s">
        <v>112</v>
      </c>
      <c r="G132" t="s">
        <v>32</v>
      </c>
      <c r="H132" t="s">
        <v>87</v>
      </c>
      <c r="I132" s="1" t="s">
        <v>463</v>
      </c>
      <c r="J132" s="1" t="s">
        <v>21</v>
      </c>
      <c r="L132" s="13" t="str">
        <f t="shared" si="2"/>
        <v>09/24/22</v>
      </c>
    </row>
    <row r="133" spans="1:12" ht="60" x14ac:dyDescent="0.25">
      <c r="A133" t="s">
        <v>26</v>
      </c>
      <c r="B133" t="s">
        <v>451</v>
      </c>
      <c r="C133" t="s">
        <v>92</v>
      </c>
      <c r="D133" t="s">
        <v>452</v>
      </c>
      <c r="E133" t="s">
        <v>30</v>
      </c>
      <c r="F133" t="s">
        <v>102</v>
      </c>
      <c r="G133" t="s">
        <v>32</v>
      </c>
      <c r="H133" t="s">
        <v>33</v>
      </c>
      <c r="I133" s="1" t="s">
        <v>464</v>
      </c>
      <c r="J133" s="1" t="s">
        <v>21</v>
      </c>
      <c r="L133" s="13" t="str">
        <f t="shared" si="2"/>
        <v>09/24/22</v>
      </c>
    </row>
    <row r="134" spans="1:12" ht="75" x14ac:dyDescent="0.25">
      <c r="A134" t="s">
        <v>26</v>
      </c>
      <c r="B134" t="s">
        <v>451</v>
      </c>
      <c r="C134" t="s">
        <v>28</v>
      </c>
      <c r="D134" t="s">
        <v>388</v>
      </c>
      <c r="E134" t="s">
        <v>30</v>
      </c>
      <c r="F134" t="s">
        <v>290</v>
      </c>
      <c r="G134" t="s">
        <v>69</v>
      </c>
      <c r="H134" t="s">
        <v>87</v>
      </c>
      <c r="I134" s="1" t="s">
        <v>465</v>
      </c>
      <c r="J134" s="1" t="s">
        <v>15</v>
      </c>
      <c r="L134" s="13" t="str">
        <f t="shared" si="2"/>
        <v>09/24/22</v>
      </c>
    </row>
    <row r="135" spans="1:12" ht="75" x14ac:dyDescent="0.25">
      <c r="A135" t="s">
        <v>26</v>
      </c>
      <c r="B135" t="s">
        <v>451</v>
      </c>
      <c r="C135" t="s">
        <v>38</v>
      </c>
      <c r="D135" t="s">
        <v>466</v>
      </c>
      <c r="E135" t="s">
        <v>30</v>
      </c>
      <c r="F135" t="s">
        <v>216</v>
      </c>
      <c r="G135" t="s">
        <v>69</v>
      </c>
      <c r="H135" t="s">
        <v>87</v>
      </c>
      <c r="I135" s="1" t="s">
        <v>467</v>
      </c>
      <c r="J135" s="1" t="s">
        <v>15</v>
      </c>
      <c r="L135" s="13" t="str">
        <f t="shared" si="2"/>
        <v>09/24/22</v>
      </c>
    </row>
    <row r="136" spans="1:12" ht="90" x14ac:dyDescent="0.25">
      <c r="A136" t="s">
        <v>26</v>
      </c>
      <c r="B136" t="s">
        <v>451</v>
      </c>
      <c r="C136" t="s">
        <v>249</v>
      </c>
      <c r="D136" t="s">
        <v>306</v>
      </c>
      <c r="E136" t="s">
        <v>30</v>
      </c>
      <c r="F136" t="s">
        <v>52</v>
      </c>
      <c r="G136" t="s">
        <v>32</v>
      </c>
      <c r="H136" t="s">
        <v>87</v>
      </c>
      <c r="I136" s="1" t="s">
        <v>468</v>
      </c>
      <c r="J136" s="1" t="s">
        <v>71</v>
      </c>
      <c r="L136" s="13" t="str">
        <f t="shared" si="2"/>
        <v>09/24/22</v>
      </c>
    </row>
    <row r="137" spans="1:12" ht="105" x14ac:dyDescent="0.25">
      <c r="A137" t="s">
        <v>26</v>
      </c>
      <c r="B137" t="s">
        <v>451</v>
      </c>
      <c r="C137" t="s">
        <v>92</v>
      </c>
      <c r="D137" t="s">
        <v>111</v>
      </c>
      <c r="E137" t="s">
        <v>79</v>
      </c>
      <c r="F137" t="s">
        <v>112</v>
      </c>
      <c r="G137" t="s">
        <v>81</v>
      </c>
      <c r="H137" t="s">
        <v>87</v>
      </c>
      <c r="I137" s="1" t="s">
        <v>469</v>
      </c>
      <c r="J137" s="1" t="s">
        <v>71</v>
      </c>
      <c r="L137" s="13" t="str">
        <f t="shared" si="2"/>
        <v>09/24/22</v>
      </c>
    </row>
    <row r="138" spans="1:12" ht="60" x14ac:dyDescent="0.25">
      <c r="A138" t="s">
        <v>26</v>
      </c>
      <c r="B138" t="s">
        <v>451</v>
      </c>
      <c r="C138" t="s">
        <v>28</v>
      </c>
      <c r="D138" t="s">
        <v>470</v>
      </c>
      <c r="E138" t="s">
        <v>30</v>
      </c>
      <c r="F138" t="s">
        <v>216</v>
      </c>
      <c r="G138" t="s">
        <v>32</v>
      </c>
      <c r="H138" t="s">
        <v>33</v>
      </c>
      <c r="I138" s="1" t="s">
        <v>471</v>
      </c>
      <c r="J138" s="1" t="s">
        <v>426</v>
      </c>
      <c r="L138" s="13" t="str">
        <f t="shared" si="2"/>
        <v>09/24/22</v>
      </c>
    </row>
    <row r="139" spans="1:12" ht="105" x14ac:dyDescent="0.25">
      <c r="A139" t="s">
        <v>26</v>
      </c>
      <c r="B139" t="s">
        <v>451</v>
      </c>
      <c r="C139" t="s">
        <v>472</v>
      </c>
      <c r="D139" t="s">
        <v>473</v>
      </c>
      <c r="E139" t="s">
        <v>30</v>
      </c>
      <c r="F139" t="s">
        <v>154</v>
      </c>
      <c r="G139" t="s">
        <v>32</v>
      </c>
      <c r="H139" t="s">
        <v>33</v>
      </c>
      <c r="I139" s="1" t="s">
        <v>474</v>
      </c>
      <c r="J139" s="1" t="s">
        <v>426</v>
      </c>
      <c r="L139" s="13" t="str">
        <f t="shared" si="2"/>
        <v>09/24/22</v>
      </c>
    </row>
    <row r="140" spans="1:12" ht="30" x14ac:dyDescent="0.25">
      <c r="A140" t="s">
        <v>26</v>
      </c>
      <c r="B140" t="s">
        <v>451</v>
      </c>
      <c r="C140" t="s">
        <v>106</v>
      </c>
      <c r="D140" t="s">
        <v>475</v>
      </c>
      <c r="E140" t="s">
        <v>30</v>
      </c>
      <c r="F140" t="s">
        <v>205</v>
      </c>
      <c r="G140" t="s">
        <v>81</v>
      </c>
      <c r="H140" t="s">
        <v>173</v>
      </c>
      <c r="I140" s="1" t="s">
        <v>476</v>
      </c>
      <c r="J140" s="1" t="s">
        <v>15</v>
      </c>
      <c r="L140" s="13" t="str">
        <f t="shared" si="2"/>
        <v>09/24/22</v>
      </c>
    </row>
    <row r="141" spans="1:12" ht="105" x14ac:dyDescent="0.25">
      <c r="A141" t="s">
        <v>26</v>
      </c>
      <c r="B141" t="s">
        <v>451</v>
      </c>
      <c r="C141" t="s">
        <v>92</v>
      </c>
      <c r="D141" t="s">
        <v>477</v>
      </c>
      <c r="E141" t="s">
        <v>30</v>
      </c>
      <c r="F141" t="s">
        <v>61</v>
      </c>
      <c r="G141" t="s">
        <v>32</v>
      </c>
      <c r="H141" t="s">
        <v>87</v>
      </c>
      <c r="I141" s="1" t="s">
        <v>478</v>
      </c>
      <c r="J141" s="1" t="s">
        <v>71</v>
      </c>
      <c r="L141" s="13" t="str">
        <f t="shared" si="2"/>
        <v>09/24/22</v>
      </c>
    </row>
    <row r="142" spans="1:12" ht="105" x14ac:dyDescent="0.25">
      <c r="A142" t="s">
        <v>26</v>
      </c>
      <c r="B142" t="s">
        <v>451</v>
      </c>
      <c r="C142" t="s">
        <v>55</v>
      </c>
      <c r="D142" t="s">
        <v>479</v>
      </c>
      <c r="E142" t="s">
        <v>30</v>
      </c>
      <c r="F142" t="s">
        <v>446</v>
      </c>
      <c r="G142" t="s">
        <v>32</v>
      </c>
      <c r="H142" t="s">
        <v>87</v>
      </c>
      <c r="I142" s="1" t="s">
        <v>480</v>
      </c>
      <c r="J142" s="1" t="s">
        <v>481</v>
      </c>
      <c r="L142" s="13" t="str">
        <f t="shared" si="2"/>
        <v>09/24/22</v>
      </c>
    </row>
    <row r="143" spans="1:12" ht="30" x14ac:dyDescent="0.25">
      <c r="A143" t="s">
        <v>26</v>
      </c>
      <c r="B143" t="s">
        <v>451</v>
      </c>
      <c r="C143" t="s">
        <v>69</v>
      </c>
      <c r="D143" t="s">
        <v>160</v>
      </c>
      <c r="E143" t="s">
        <v>30</v>
      </c>
      <c r="F143" t="s">
        <v>446</v>
      </c>
      <c r="G143" t="s">
        <v>32</v>
      </c>
      <c r="H143" t="s">
        <v>87</v>
      </c>
      <c r="I143" s="1" t="s">
        <v>482</v>
      </c>
      <c r="J143" s="1" t="s">
        <v>17</v>
      </c>
      <c r="L143" s="13" t="str">
        <f t="shared" si="2"/>
        <v>09/24/22</v>
      </c>
    </row>
    <row r="144" spans="1:12" ht="75" x14ac:dyDescent="0.25">
      <c r="A144" t="s">
        <v>26</v>
      </c>
      <c r="B144" t="s">
        <v>451</v>
      </c>
      <c r="C144" t="s">
        <v>96</v>
      </c>
      <c r="D144" t="s">
        <v>176</v>
      </c>
      <c r="E144" t="s">
        <v>30</v>
      </c>
      <c r="F144" t="s">
        <v>52</v>
      </c>
      <c r="G144" t="s">
        <v>69</v>
      </c>
      <c r="H144" t="s">
        <v>33</v>
      </c>
      <c r="I144" s="1" t="s">
        <v>483</v>
      </c>
      <c r="J144" s="1" t="s">
        <v>15</v>
      </c>
      <c r="L144" s="13" t="str">
        <f t="shared" si="2"/>
        <v>09/24/22</v>
      </c>
    </row>
    <row r="145" spans="1:12" ht="105" x14ac:dyDescent="0.25">
      <c r="A145" t="s">
        <v>26</v>
      </c>
      <c r="B145" t="s">
        <v>451</v>
      </c>
      <c r="C145" t="s">
        <v>106</v>
      </c>
      <c r="D145" t="s">
        <v>484</v>
      </c>
      <c r="E145" t="s">
        <v>30</v>
      </c>
      <c r="F145" t="s">
        <v>205</v>
      </c>
      <c r="G145" t="s">
        <v>81</v>
      </c>
      <c r="H145" t="s">
        <v>173</v>
      </c>
      <c r="I145" s="1" t="s">
        <v>485</v>
      </c>
      <c r="J145" s="1" t="s">
        <v>15</v>
      </c>
      <c r="L145" s="13" t="str">
        <f t="shared" si="2"/>
        <v>09/24/22</v>
      </c>
    </row>
    <row r="146" spans="1:12" ht="45" x14ac:dyDescent="0.25">
      <c r="A146" t="s">
        <v>49</v>
      </c>
      <c r="B146" t="s">
        <v>451</v>
      </c>
      <c r="C146" t="s">
        <v>28</v>
      </c>
      <c r="D146" t="s">
        <v>486</v>
      </c>
      <c r="E146" t="s">
        <v>30</v>
      </c>
      <c r="F146" t="s">
        <v>94</v>
      </c>
      <c r="G146" t="s">
        <v>69</v>
      </c>
      <c r="H146" t="s">
        <v>87</v>
      </c>
      <c r="I146" s="1" t="s">
        <v>487</v>
      </c>
      <c r="J146" s="1" t="s">
        <v>17</v>
      </c>
      <c r="L146" s="13" t="str">
        <f t="shared" si="2"/>
        <v>09/24/22</v>
      </c>
    </row>
    <row r="147" spans="1:12" ht="45" x14ac:dyDescent="0.25">
      <c r="A147" t="s">
        <v>49</v>
      </c>
      <c r="B147" t="s">
        <v>451</v>
      </c>
      <c r="C147" t="s">
        <v>235</v>
      </c>
      <c r="D147" t="s">
        <v>327</v>
      </c>
      <c r="E147" t="s">
        <v>30</v>
      </c>
      <c r="F147" t="s">
        <v>246</v>
      </c>
      <c r="G147" t="s">
        <v>32</v>
      </c>
      <c r="H147" t="s">
        <v>87</v>
      </c>
      <c r="I147" s="1" t="s">
        <v>488</v>
      </c>
      <c r="J147" s="1" t="s">
        <v>17</v>
      </c>
      <c r="L147" s="13" t="str">
        <f t="shared" si="2"/>
        <v>09/24/22</v>
      </c>
    </row>
    <row r="148" spans="1:12" ht="75" x14ac:dyDescent="0.25">
      <c r="A148" t="s">
        <v>26</v>
      </c>
      <c r="B148" t="s">
        <v>451</v>
      </c>
      <c r="C148" t="s">
        <v>38</v>
      </c>
      <c r="D148" t="s">
        <v>489</v>
      </c>
      <c r="E148" t="s">
        <v>30</v>
      </c>
      <c r="F148" t="s">
        <v>61</v>
      </c>
      <c r="G148" t="s">
        <v>32</v>
      </c>
      <c r="H148" t="s">
        <v>173</v>
      </c>
      <c r="I148" s="1" t="s">
        <v>490</v>
      </c>
      <c r="J148" s="1" t="s">
        <v>491</v>
      </c>
      <c r="L148" s="13" t="str">
        <f t="shared" si="2"/>
        <v>09/24/22</v>
      </c>
    </row>
    <row r="149" spans="1:12" ht="120" x14ac:dyDescent="0.25">
      <c r="A149" t="s">
        <v>26</v>
      </c>
      <c r="B149" t="s">
        <v>451</v>
      </c>
      <c r="C149" t="s">
        <v>44</v>
      </c>
      <c r="D149" t="s">
        <v>165</v>
      </c>
      <c r="E149" t="s">
        <v>30</v>
      </c>
      <c r="F149" t="s">
        <v>492</v>
      </c>
      <c r="G149" t="s">
        <v>81</v>
      </c>
      <c r="H149" t="s">
        <v>173</v>
      </c>
      <c r="I149" s="1" t="s">
        <v>493</v>
      </c>
      <c r="J149" s="1" t="s">
        <v>494</v>
      </c>
      <c r="L149" s="13" t="str">
        <f t="shared" si="2"/>
        <v>09/24/22</v>
      </c>
    </row>
    <row r="150" spans="1:12" ht="60" x14ac:dyDescent="0.25">
      <c r="A150" t="s">
        <v>91</v>
      </c>
      <c r="B150" t="s">
        <v>451</v>
      </c>
      <c r="C150" t="s">
        <v>249</v>
      </c>
      <c r="D150" t="s">
        <v>495</v>
      </c>
      <c r="E150" t="s">
        <v>30</v>
      </c>
      <c r="F150" t="s">
        <v>205</v>
      </c>
      <c r="G150" t="s">
        <v>32</v>
      </c>
      <c r="H150" t="s">
        <v>87</v>
      </c>
      <c r="I150" s="1" t="s">
        <v>496</v>
      </c>
      <c r="J150" s="1" t="s">
        <v>481</v>
      </c>
      <c r="L150" s="13" t="str">
        <f t="shared" si="2"/>
        <v>09/24/22</v>
      </c>
    </row>
    <row r="151" spans="1:12" ht="30" x14ac:dyDescent="0.25">
      <c r="A151" t="s">
        <v>37</v>
      </c>
      <c r="B151" t="s">
        <v>451</v>
      </c>
      <c r="C151" t="s">
        <v>249</v>
      </c>
      <c r="D151" t="s">
        <v>497</v>
      </c>
      <c r="E151" t="s">
        <v>30</v>
      </c>
      <c r="F151" t="s">
        <v>205</v>
      </c>
      <c r="G151" t="s">
        <v>69</v>
      </c>
      <c r="H151" t="s">
        <v>87</v>
      </c>
      <c r="I151" s="1" t="s">
        <v>498</v>
      </c>
      <c r="J151" s="1" t="s">
        <v>499</v>
      </c>
      <c r="L151" s="13" t="str">
        <f t="shared" si="2"/>
        <v>09/24/22</v>
      </c>
    </row>
    <row r="152" spans="1:12" ht="45" x14ac:dyDescent="0.25">
      <c r="A152" t="s">
        <v>26</v>
      </c>
      <c r="B152" t="s">
        <v>451</v>
      </c>
      <c r="C152" t="s">
        <v>69</v>
      </c>
      <c r="D152" t="s">
        <v>500</v>
      </c>
      <c r="E152" t="s">
        <v>30</v>
      </c>
      <c r="F152" t="s">
        <v>189</v>
      </c>
      <c r="G152" t="s">
        <v>32</v>
      </c>
      <c r="H152" t="s">
        <v>33</v>
      </c>
      <c r="I152" s="1" t="s">
        <v>501</v>
      </c>
      <c r="J152" s="1" t="s">
        <v>17</v>
      </c>
      <c r="L152" s="13" t="str">
        <f t="shared" si="2"/>
        <v>09/24/22</v>
      </c>
    </row>
    <row r="153" spans="1:12" ht="135" x14ac:dyDescent="0.25">
      <c r="A153" t="s">
        <v>26</v>
      </c>
      <c r="B153" t="s">
        <v>451</v>
      </c>
      <c r="C153" t="s">
        <v>44</v>
      </c>
      <c r="D153" t="s">
        <v>502</v>
      </c>
      <c r="E153" t="s">
        <v>30</v>
      </c>
      <c r="F153" t="s">
        <v>166</v>
      </c>
      <c r="G153" t="s">
        <v>263</v>
      </c>
      <c r="H153" t="s">
        <v>87</v>
      </c>
      <c r="I153" s="1" t="s">
        <v>503</v>
      </c>
      <c r="J153" s="1" t="s">
        <v>71</v>
      </c>
      <c r="L153" s="13" t="str">
        <f t="shared" si="2"/>
        <v>09/24/22</v>
      </c>
    </row>
    <row r="154" spans="1:12" ht="90" x14ac:dyDescent="0.25">
      <c r="A154" t="s">
        <v>37</v>
      </c>
      <c r="B154" t="s">
        <v>451</v>
      </c>
      <c r="C154" t="s">
        <v>240</v>
      </c>
      <c r="D154" t="s">
        <v>504</v>
      </c>
      <c r="E154" t="s">
        <v>30</v>
      </c>
      <c r="F154" t="s">
        <v>126</v>
      </c>
      <c r="G154" t="s">
        <v>38</v>
      </c>
      <c r="H154" t="s">
        <v>87</v>
      </c>
      <c r="I154" s="1" t="s">
        <v>505</v>
      </c>
      <c r="J154" s="1" t="s">
        <v>243</v>
      </c>
      <c r="L154" s="13" t="str">
        <f t="shared" si="2"/>
        <v>09/24/22</v>
      </c>
    </row>
    <row r="155" spans="1:12" ht="30" x14ac:dyDescent="0.25">
      <c r="A155" t="s">
        <v>37</v>
      </c>
      <c r="B155" t="s">
        <v>451</v>
      </c>
      <c r="C155" t="s">
        <v>180</v>
      </c>
      <c r="D155" t="s">
        <v>181</v>
      </c>
      <c r="E155" t="s">
        <v>30</v>
      </c>
      <c r="F155" t="s">
        <v>94</v>
      </c>
      <c r="G155" t="s">
        <v>32</v>
      </c>
      <c r="H155" t="s">
        <v>173</v>
      </c>
      <c r="I155" s="1" t="s">
        <v>506</v>
      </c>
      <c r="J155" s="1" t="s">
        <v>499</v>
      </c>
      <c r="L155" s="13" t="str">
        <f t="shared" si="2"/>
        <v>09/24/22</v>
      </c>
    </row>
    <row r="156" spans="1:12" ht="30" x14ac:dyDescent="0.25">
      <c r="A156" t="s">
        <v>26</v>
      </c>
      <c r="B156" t="s">
        <v>451</v>
      </c>
      <c r="C156" t="s">
        <v>69</v>
      </c>
      <c r="D156" t="s">
        <v>507</v>
      </c>
      <c r="E156" t="s">
        <v>30</v>
      </c>
      <c r="F156" t="s">
        <v>94</v>
      </c>
      <c r="G156" t="s">
        <v>69</v>
      </c>
      <c r="H156" t="s">
        <v>87</v>
      </c>
      <c r="I156" s="1" t="s">
        <v>508</v>
      </c>
      <c r="J156" s="1" t="s">
        <v>509</v>
      </c>
      <c r="L156" s="13" t="str">
        <f t="shared" si="2"/>
        <v>09/24/22</v>
      </c>
    </row>
    <row r="157" spans="1:12" ht="30" x14ac:dyDescent="0.25">
      <c r="A157" t="s">
        <v>26</v>
      </c>
      <c r="B157" t="s">
        <v>451</v>
      </c>
      <c r="C157" t="s">
        <v>85</v>
      </c>
      <c r="D157" t="s">
        <v>510</v>
      </c>
      <c r="E157" t="s">
        <v>30</v>
      </c>
      <c r="F157" t="s">
        <v>205</v>
      </c>
      <c r="G157" t="s">
        <v>69</v>
      </c>
      <c r="H157" t="s">
        <v>33</v>
      </c>
      <c r="I157" s="1" t="s">
        <v>511</v>
      </c>
      <c r="J157" s="1" t="s">
        <v>15</v>
      </c>
      <c r="L157" s="13" t="str">
        <f t="shared" si="2"/>
        <v>09/24/22</v>
      </c>
    </row>
    <row r="158" spans="1:12" ht="90" x14ac:dyDescent="0.25">
      <c r="A158" t="s">
        <v>26</v>
      </c>
      <c r="B158" t="s">
        <v>451</v>
      </c>
      <c r="C158" t="s">
        <v>44</v>
      </c>
      <c r="D158" t="s">
        <v>165</v>
      </c>
      <c r="E158" t="s">
        <v>30</v>
      </c>
      <c r="F158" t="s">
        <v>205</v>
      </c>
      <c r="G158" t="s">
        <v>32</v>
      </c>
      <c r="H158" t="s">
        <v>33</v>
      </c>
      <c r="I158" s="1" t="s">
        <v>512</v>
      </c>
      <c r="J158" s="1" t="s">
        <v>243</v>
      </c>
      <c r="L158" s="13" t="str">
        <f t="shared" si="2"/>
        <v>09/24/22</v>
      </c>
    </row>
    <row r="159" spans="1:12" ht="45" x14ac:dyDescent="0.25">
      <c r="A159" t="s">
        <v>37</v>
      </c>
      <c r="B159" t="s">
        <v>451</v>
      </c>
      <c r="C159" t="s">
        <v>85</v>
      </c>
      <c r="D159" t="s">
        <v>86</v>
      </c>
      <c r="E159" t="s">
        <v>30</v>
      </c>
      <c r="F159" t="s">
        <v>40</v>
      </c>
      <c r="G159" t="s">
        <v>32</v>
      </c>
      <c r="H159" t="s">
        <v>33</v>
      </c>
      <c r="I159" s="1" t="s">
        <v>513</v>
      </c>
      <c r="J159" s="1" t="s">
        <v>426</v>
      </c>
      <c r="L159" s="13" t="str">
        <f t="shared" si="2"/>
        <v>09/24/22</v>
      </c>
    </row>
    <row r="160" spans="1:12" ht="45" x14ac:dyDescent="0.25">
      <c r="A160" t="s">
        <v>26</v>
      </c>
      <c r="B160" t="s">
        <v>451</v>
      </c>
      <c r="C160" t="s">
        <v>44</v>
      </c>
      <c r="D160" t="s">
        <v>514</v>
      </c>
      <c r="E160" t="s">
        <v>30</v>
      </c>
      <c r="F160" t="s">
        <v>154</v>
      </c>
      <c r="G160" t="s">
        <v>69</v>
      </c>
      <c r="H160" t="s">
        <v>87</v>
      </c>
      <c r="I160" s="1" t="s">
        <v>515</v>
      </c>
      <c r="J160" s="1" t="s">
        <v>516</v>
      </c>
      <c r="L160" s="13" t="str">
        <f t="shared" si="2"/>
        <v>09/24/22</v>
      </c>
    </row>
    <row r="161" spans="1:12" ht="75" x14ac:dyDescent="0.25">
      <c r="A161" t="s">
        <v>26</v>
      </c>
      <c r="B161" t="s">
        <v>451</v>
      </c>
      <c r="C161" t="s">
        <v>28</v>
      </c>
      <c r="D161" t="s">
        <v>517</v>
      </c>
      <c r="E161" t="s">
        <v>30</v>
      </c>
      <c r="F161" t="s">
        <v>112</v>
      </c>
      <c r="G161" t="s">
        <v>69</v>
      </c>
      <c r="H161" t="s">
        <v>173</v>
      </c>
      <c r="I161" s="1" t="s">
        <v>518</v>
      </c>
      <c r="J161" s="1" t="s">
        <v>436</v>
      </c>
      <c r="L161" s="13" t="str">
        <f t="shared" si="2"/>
        <v>09/24/22</v>
      </c>
    </row>
    <row r="162" spans="1:12" ht="90" x14ac:dyDescent="0.25">
      <c r="A162" t="s">
        <v>26</v>
      </c>
      <c r="B162" t="s">
        <v>451</v>
      </c>
      <c r="C162" t="s">
        <v>85</v>
      </c>
      <c r="D162" t="s">
        <v>519</v>
      </c>
      <c r="E162" t="s">
        <v>79</v>
      </c>
      <c r="F162" t="s">
        <v>520</v>
      </c>
      <c r="G162" t="s">
        <v>81</v>
      </c>
      <c r="H162" t="s">
        <v>87</v>
      </c>
      <c r="I162" s="1" t="s">
        <v>521</v>
      </c>
      <c r="J162" s="1" t="s">
        <v>436</v>
      </c>
      <c r="L162" s="13" t="str">
        <f t="shared" si="2"/>
        <v>09/24/22</v>
      </c>
    </row>
    <row r="163" spans="1:12" ht="105" x14ac:dyDescent="0.25">
      <c r="A163" t="s">
        <v>37</v>
      </c>
      <c r="B163" t="s">
        <v>451</v>
      </c>
      <c r="C163" t="s">
        <v>28</v>
      </c>
      <c r="D163" t="s">
        <v>522</v>
      </c>
      <c r="E163" t="s">
        <v>30</v>
      </c>
      <c r="F163" t="s">
        <v>98</v>
      </c>
      <c r="G163" t="s">
        <v>32</v>
      </c>
      <c r="H163" t="s">
        <v>87</v>
      </c>
      <c r="I163" s="1" t="s">
        <v>523</v>
      </c>
      <c r="J163" s="1" t="s">
        <v>481</v>
      </c>
      <c r="L163" s="13" t="str">
        <f t="shared" si="2"/>
        <v>09/24/22</v>
      </c>
    </row>
    <row r="164" spans="1:12" ht="60" x14ac:dyDescent="0.25">
      <c r="A164" t="s">
        <v>26</v>
      </c>
      <c r="B164" t="s">
        <v>451</v>
      </c>
      <c r="C164" t="s">
        <v>28</v>
      </c>
      <c r="D164" t="s">
        <v>388</v>
      </c>
      <c r="E164" t="s">
        <v>79</v>
      </c>
      <c r="F164" t="s">
        <v>216</v>
      </c>
      <c r="G164" t="s">
        <v>32</v>
      </c>
      <c r="H164" t="s">
        <v>33</v>
      </c>
      <c r="I164" s="1" t="s">
        <v>524</v>
      </c>
      <c r="J164" s="1" t="s">
        <v>426</v>
      </c>
      <c r="L164" s="13" t="str">
        <f t="shared" si="2"/>
        <v>09/24/22</v>
      </c>
    </row>
    <row r="165" spans="1:12" ht="30" x14ac:dyDescent="0.25">
      <c r="A165" t="s">
        <v>26</v>
      </c>
      <c r="B165" t="s">
        <v>451</v>
      </c>
      <c r="C165" t="s">
        <v>28</v>
      </c>
      <c r="D165" t="s">
        <v>522</v>
      </c>
      <c r="E165" t="s">
        <v>30</v>
      </c>
      <c r="F165" t="s">
        <v>61</v>
      </c>
      <c r="G165" t="s">
        <v>32</v>
      </c>
      <c r="H165" t="s">
        <v>33</v>
      </c>
      <c r="I165" s="1" t="s">
        <v>525</v>
      </c>
      <c r="J165" s="1" t="s">
        <v>436</v>
      </c>
      <c r="L165" s="13" t="str">
        <f t="shared" si="2"/>
        <v>09/24/22</v>
      </c>
    </row>
    <row r="166" spans="1:12" ht="30" x14ac:dyDescent="0.25">
      <c r="A166" t="s">
        <v>26</v>
      </c>
      <c r="B166" t="s">
        <v>451</v>
      </c>
      <c r="C166" t="s">
        <v>28</v>
      </c>
      <c r="D166" t="s">
        <v>526</v>
      </c>
      <c r="E166" t="s">
        <v>79</v>
      </c>
      <c r="F166" t="s">
        <v>136</v>
      </c>
      <c r="G166" t="s">
        <v>32</v>
      </c>
      <c r="H166" t="s">
        <v>33</v>
      </c>
      <c r="I166" s="1" t="s">
        <v>527</v>
      </c>
      <c r="J166" s="1" t="s">
        <v>426</v>
      </c>
      <c r="L166" s="13" t="str">
        <f t="shared" si="2"/>
        <v>09/24/22</v>
      </c>
    </row>
    <row r="167" spans="1:12" ht="45" x14ac:dyDescent="0.25">
      <c r="A167" t="s">
        <v>49</v>
      </c>
      <c r="B167" t="s">
        <v>451</v>
      </c>
      <c r="C167" t="s">
        <v>28</v>
      </c>
      <c r="D167" t="s">
        <v>528</v>
      </c>
      <c r="E167" t="s">
        <v>30</v>
      </c>
      <c r="F167" t="s">
        <v>246</v>
      </c>
      <c r="G167" t="s">
        <v>81</v>
      </c>
      <c r="H167" t="s">
        <v>87</v>
      </c>
      <c r="I167" s="1" t="s">
        <v>529</v>
      </c>
      <c r="J167" s="1" t="s">
        <v>530</v>
      </c>
      <c r="L167" s="13" t="str">
        <f t="shared" si="2"/>
        <v>09/24/22</v>
      </c>
    </row>
    <row r="168" spans="1:12" ht="60" x14ac:dyDescent="0.25">
      <c r="A168" t="s">
        <v>26</v>
      </c>
      <c r="B168" t="s">
        <v>451</v>
      </c>
      <c r="C168" t="s">
        <v>28</v>
      </c>
      <c r="D168" t="s">
        <v>528</v>
      </c>
      <c r="E168" t="s">
        <v>30</v>
      </c>
      <c r="F168" t="s">
        <v>166</v>
      </c>
      <c r="G168" t="s">
        <v>32</v>
      </c>
      <c r="H168" t="s">
        <v>87</v>
      </c>
      <c r="I168" s="1" t="s">
        <v>531</v>
      </c>
      <c r="J168" s="1" t="s">
        <v>21</v>
      </c>
      <c r="L168" s="13" t="str">
        <f t="shared" si="2"/>
        <v>09/24/22</v>
      </c>
    </row>
    <row r="169" spans="1:12" ht="45" x14ac:dyDescent="0.25">
      <c r="A169" t="s">
        <v>37</v>
      </c>
      <c r="B169" t="s">
        <v>451</v>
      </c>
      <c r="C169" t="s">
        <v>50</v>
      </c>
      <c r="D169" t="s">
        <v>226</v>
      </c>
      <c r="E169" t="s">
        <v>30</v>
      </c>
      <c r="F169" t="s">
        <v>182</v>
      </c>
      <c r="G169" t="s">
        <v>69</v>
      </c>
      <c r="H169" t="s">
        <v>87</v>
      </c>
      <c r="I169" s="1" t="s">
        <v>532</v>
      </c>
      <c r="J169" s="1" t="s">
        <v>17</v>
      </c>
      <c r="L169" s="13" t="str">
        <f t="shared" si="2"/>
        <v>09/24/22</v>
      </c>
    </row>
    <row r="170" spans="1:12" ht="45" x14ac:dyDescent="0.25">
      <c r="A170" t="s">
        <v>49</v>
      </c>
      <c r="B170" t="s">
        <v>451</v>
      </c>
      <c r="C170" t="s">
        <v>38</v>
      </c>
      <c r="D170" t="s">
        <v>533</v>
      </c>
      <c r="E170" t="s">
        <v>30</v>
      </c>
      <c r="F170" t="s">
        <v>94</v>
      </c>
      <c r="G170" t="s">
        <v>32</v>
      </c>
      <c r="H170" t="s">
        <v>33</v>
      </c>
      <c r="I170" s="1" t="s">
        <v>534</v>
      </c>
      <c r="J170" s="1" t="s">
        <v>426</v>
      </c>
      <c r="L170" s="13" t="str">
        <f t="shared" si="2"/>
        <v>09/24/22</v>
      </c>
    </row>
    <row r="171" spans="1:12" ht="30" x14ac:dyDescent="0.25">
      <c r="A171" t="s">
        <v>49</v>
      </c>
      <c r="B171" t="s">
        <v>451</v>
      </c>
      <c r="C171" t="s">
        <v>55</v>
      </c>
      <c r="D171" t="s">
        <v>535</v>
      </c>
      <c r="E171" t="s">
        <v>30</v>
      </c>
      <c r="F171" t="s">
        <v>61</v>
      </c>
      <c r="G171" t="s">
        <v>32</v>
      </c>
      <c r="H171" t="s">
        <v>33</v>
      </c>
      <c r="I171" s="1" t="s">
        <v>536</v>
      </c>
      <c r="J171" s="1" t="s">
        <v>426</v>
      </c>
      <c r="L171" s="13" t="str">
        <f t="shared" si="2"/>
        <v>09/24/22</v>
      </c>
    </row>
    <row r="172" spans="1:12" ht="30" x14ac:dyDescent="0.25">
      <c r="A172" t="s">
        <v>91</v>
      </c>
      <c r="B172" t="s">
        <v>451</v>
      </c>
      <c r="C172" t="s">
        <v>235</v>
      </c>
      <c r="D172" t="s">
        <v>537</v>
      </c>
      <c r="E172" t="s">
        <v>30</v>
      </c>
      <c r="F172" t="s">
        <v>52</v>
      </c>
      <c r="G172" t="s">
        <v>69</v>
      </c>
      <c r="H172" t="s">
        <v>173</v>
      </c>
      <c r="I172" s="1" t="s">
        <v>538</v>
      </c>
      <c r="J172" s="1" t="s">
        <v>15</v>
      </c>
      <c r="L172" s="13" t="str">
        <f t="shared" si="2"/>
        <v>09/24/22</v>
      </c>
    </row>
    <row r="173" spans="1:12" ht="30" x14ac:dyDescent="0.25">
      <c r="A173" t="s">
        <v>59</v>
      </c>
      <c r="B173" t="s">
        <v>451</v>
      </c>
      <c r="C173" t="s">
        <v>106</v>
      </c>
      <c r="D173" t="s">
        <v>539</v>
      </c>
      <c r="E173" t="s">
        <v>30</v>
      </c>
      <c r="F173" t="s">
        <v>46</v>
      </c>
      <c r="G173" t="s">
        <v>263</v>
      </c>
      <c r="H173" t="s">
        <v>33</v>
      </c>
      <c r="I173" s="1" t="s">
        <v>540</v>
      </c>
      <c r="J173" s="1" t="s">
        <v>104</v>
      </c>
      <c r="L173" s="13" t="str">
        <f t="shared" si="2"/>
        <v>09/24/22</v>
      </c>
    </row>
    <row r="174" spans="1:12" ht="120" x14ac:dyDescent="0.25">
      <c r="A174" t="s">
        <v>37</v>
      </c>
      <c r="B174" t="s">
        <v>451</v>
      </c>
      <c r="C174" t="s">
        <v>92</v>
      </c>
      <c r="D174" t="s">
        <v>541</v>
      </c>
      <c r="E174" t="s">
        <v>30</v>
      </c>
      <c r="F174" t="s">
        <v>186</v>
      </c>
      <c r="G174" t="s">
        <v>81</v>
      </c>
      <c r="H174" t="s">
        <v>87</v>
      </c>
      <c r="I174" s="1" t="s">
        <v>542</v>
      </c>
      <c r="J174" s="1" t="s">
        <v>436</v>
      </c>
      <c r="L174" s="13" t="str">
        <f t="shared" si="2"/>
        <v>09/24/22</v>
      </c>
    </row>
    <row r="175" spans="1:12" ht="75" x14ac:dyDescent="0.25">
      <c r="A175" t="s">
        <v>37</v>
      </c>
      <c r="B175" t="s">
        <v>451</v>
      </c>
      <c r="C175" t="s">
        <v>106</v>
      </c>
      <c r="D175" t="s">
        <v>539</v>
      </c>
      <c r="E175" t="s">
        <v>79</v>
      </c>
      <c r="F175" t="s">
        <v>543</v>
      </c>
      <c r="G175" t="s">
        <v>81</v>
      </c>
      <c r="H175" t="s">
        <v>173</v>
      </c>
      <c r="I175" s="1" t="s">
        <v>544</v>
      </c>
      <c r="J175" s="1" t="s">
        <v>441</v>
      </c>
      <c r="L175" s="13" t="str">
        <f t="shared" si="2"/>
        <v>09/24/22</v>
      </c>
    </row>
    <row r="176" spans="1:12" ht="45" x14ac:dyDescent="0.25">
      <c r="A176" t="s">
        <v>26</v>
      </c>
      <c r="B176" t="s">
        <v>545</v>
      </c>
      <c r="C176" t="s">
        <v>96</v>
      </c>
      <c r="D176" t="s">
        <v>546</v>
      </c>
      <c r="E176" t="s">
        <v>30</v>
      </c>
      <c r="F176" t="s">
        <v>280</v>
      </c>
      <c r="G176" t="s">
        <v>32</v>
      </c>
      <c r="H176" t="s">
        <v>33</v>
      </c>
      <c r="I176" s="1" t="s">
        <v>547</v>
      </c>
      <c r="J176" s="1" t="s">
        <v>426</v>
      </c>
      <c r="L176" s="13" t="str">
        <f t="shared" si="2"/>
        <v>09/23/22</v>
      </c>
    </row>
    <row r="177" spans="1:12" ht="105" x14ac:dyDescent="0.25">
      <c r="A177" t="s">
        <v>26</v>
      </c>
      <c r="B177" t="s">
        <v>545</v>
      </c>
      <c r="C177" t="s">
        <v>235</v>
      </c>
      <c r="D177" t="s">
        <v>548</v>
      </c>
      <c r="E177" t="s">
        <v>30</v>
      </c>
      <c r="F177" t="s">
        <v>246</v>
      </c>
      <c r="G177" t="s">
        <v>69</v>
      </c>
      <c r="H177" t="s">
        <v>173</v>
      </c>
      <c r="I177" s="1" t="s">
        <v>549</v>
      </c>
      <c r="J177" s="1" t="s">
        <v>436</v>
      </c>
      <c r="L177" s="13" t="str">
        <f t="shared" si="2"/>
        <v>09/23/22</v>
      </c>
    </row>
    <row r="178" spans="1:12" ht="75" x14ac:dyDescent="0.25">
      <c r="A178" t="s">
        <v>26</v>
      </c>
      <c r="B178" t="s">
        <v>545</v>
      </c>
      <c r="C178" t="s">
        <v>92</v>
      </c>
      <c r="D178" t="s">
        <v>111</v>
      </c>
      <c r="E178" t="s">
        <v>30</v>
      </c>
      <c r="F178" t="s">
        <v>287</v>
      </c>
      <c r="G178" t="s">
        <v>69</v>
      </c>
      <c r="H178" t="s">
        <v>87</v>
      </c>
      <c r="I178" s="1" t="s">
        <v>550</v>
      </c>
      <c r="J178" s="1" t="s">
        <v>71</v>
      </c>
      <c r="L178" s="13" t="str">
        <f t="shared" si="2"/>
        <v>09/23/22</v>
      </c>
    </row>
    <row r="179" spans="1:12" ht="75" x14ac:dyDescent="0.25">
      <c r="A179" t="s">
        <v>26</v>
      </c>
      <c r="B179" t="s">
        <v>545</v>
      </c>
      <c r="C179" t="s">
        <v>92</v>
      </c>
      <c r="D179" t="s">
        <v>452</v>
      </c>
      <c r="E179" t="s">
        <v>30</v>
      </c>
      <c r="F179" t="s">
        <v>112</v>
      </c>
      <c r="G179" t="s">
        <v>32</v>
      </c>
      <c r="H179" t="s">
        <v>87</v>
      </c>
      <c r="I179" s="1" t="s">
        <v>551</v>
      </c>
      <c r="J179" s="1" t="s">
        <v>21</v>
      </c>
      <c r="L179" s="13" t="str">
        <f t="shared" si="2"/>
        <v>09/23/22</v>
      </c>
    </row>
    <row r="180" spans="1:12" ht="30" x14ac:dyDescent="0.25">
      <c r="A180" t="s">
        <v>26</v>
      </c>
      <c r="B180" t="s">
        <v>545</v>
      </c>
      <c r="C180" t="s">
        <v>38</v>
      </c>
      <c r="D180" t="s">
        <v>552</v>
      </c>
      <c r="E180" t="s">
        <v>30</v>
      </c>
      <c r="F180" t="s">
        <v>140</v>
      </c>
      <c r="G180" t="s">
        <v>32</v>
      </c>
      <c r="H180" t="s">
        <v>33</v>
      </c>
      <c r="I180" s="1" t="s">
        <v>553</v>
      </c>
      <c r="J180" s="1" t="s">
        <v>554</v>
      </c>
      <c r="L180" s="13" t="str">
        <f t="shared" si="2"/>
        <v>09/23/22</v>
      </c>
    </row>
    <row r="181" spans="1:12" ht="30" x14ac:dyDescent="0.25">
      <c r="A181" t="s">
        <v>26</v>
      </c>
      <c r="B181" t="s">
        <v>545</v>
      </c>
      <c r="C181" t="s">
        <v>235</v>
      </c>
      <c r="D181" t="s">
        <v>537</v>
      </c>
      <c r="E181" t="s">
        <v>30</v>
      </c>
      <c r="F181" t="s">
        <v>260</v>
      </c>
      <c r="G181" t="s">
        <v>32</v>
      </c>
      <c r="H181" t="s">
        <v>33</v>
      </c>
      <c r="I181" s="1" t="s">
        <v>555</v>
      </c>
      <c r="J181" s="1" t="s">
        <v>426</v>
      </c>
      <c r="L181" s="13" t="str">
        <f t="shared" si="2"/>
        <v>09/23/22</v>
      </c>
    </row>
    <row r="182" spans="1:12" ht="75" x14ac:dyDescent="0.25">
      <c r="A182" t="s">
        <v>26</v>
      </c>
      <c r="B182" t="s">
        <v>545</v>
      </c>
      <c r="C182" t="s">
        <v>106</v>
      </c>
      <c r="D182" t="s">
        <v>431</v>
      </c>
      <c r="E182" t="s">
        <v>30</v>
      </c>
      <c r="F182" t="s">
        <v>46</v>
      </c>
      <c r="G182" t="s">
        <v>38</v>
      </c>
      <c r="H182" t="s">
        <v>173</v>
      </c>
      <c r="I182" s="1" t="s">
        <v>556</v>
      </c>
      <c r="J182" s="1" t="s">
        <v>436</v>
      </c>
      <c r="L182" s="13" t="str">
        <f t="shared" si="2"/>
        <v>09/23/22</v>
      </c>
    </row>
    <row r="183" spans="1:12" ht="120" x14ac:dyDescent="0.25">
      <c r="A183" t="s">
        <v>26</v>
      </c>
      <c r="B183" t="s">
        <v>545</v>
      </c>
      <c r="C183" t="s">
        <v>69</v>
      </c>
      <c r="D183" t="s">
        <v>557</v>
      </c>
      <c r="E183" t="s">
        <v>30</v>
      </c>
      <c r="F183" t="s">
        <v>94</v>
      </c>
      <c r="G183" t="s">
        <v>32</v>
      </c>
      <c r="H183" t="s">
        <v>33</v>
      </c>
      <c r="I183" s="1" t="s">
        <v>558</v>
      </c>
      <c r="J183" s="1" t="s">
        <v>71</v>
      </c>
      <c r="L183" s="13" t="str">
        <f t="shared" si="2"/>
        <v>09/23/22</v>
      </c>
    </row>
    <row r="184" spans="1:12" ht="45" x14ac:dyDescent="0.25">
      <c r="A184" t="s">
        <v>26</v>
      </c>
      <c r="B184" t="s">
        <v>545</v>
      </c>
      <c r="C184" t="s">
        <v>69</v>
      </c>
      <c r="D184" t="s">
        <v>160</v>
      </c>
      <c r="E184" t="s">
        <v>30</v>
      </c>
      <c r="F184" t="s">
        <v>61</v>
      </c>
      <c r="G184" t="s">
        <v>32</v>
      </c>
      <c r="H184" t="s">
        <v>173</v>
      </c>
      <c r="I184" s="1" t="s">
        <v>559</v>
      </c>
      <c r="J184" s="1" t="s">
        <v>560</v>
      </c>
      <c r="L184" s="13" t="str">
        <f t="shared" si="2"/>
        <v>09/23/22</v>
      </c>
    </row>
    <row r="185" spans="1:12" ht="30" x14ac:dyDescent="0.25">
      <c r="A185" t="s">
        <v>26</v>
      </c>
      <c r="B185" t="s">
        <v>545</v>
      </c>
      <c r="C185" t="s">
        <v>44</v>
      </c>
      <c r="D185" t="s">
        <v>165</v>
      </c>
      <c r="E185" t="s">
        <v>30</v>
      </c>
      <c r="F185" t="s">
        <v>561</v>
      </c>
      <c r="G185" t="s">
        <v>69</v>
      </c>
      <c r="H185" t="s">
        <v>173</v>
      </c>
      <c r="I185" s="1" t="s">
        <v>562</v>
      </c>
      <c r="J185" s="1" t="s">
        <v>71</v>
      </c>
      <c r="L185" s="13" t="str">
        <f t="shared" si="2"/>
        <v>09/23/22</v>
      </c>
    </row>
    <row r="186" spans="1:12" ht="90" x14ac:dyDescent="0.25">
      <c r="A186" t="s">
        <v>26</v>
      </c>
      <c r="B186" t="s">
        <v>545</v>
      </c>
      <c r="C186" t="s">
        <v>50</v>
      </c>
      <c r="D186" t="s">
        <v>563</v>
      </c>
      <c r="E186" t="s">
        <v>30</v>
      </c>
      <c r="F186" t="s">
        <v>119</v>
      </c>
      <c r="G186" t="s">
        <v>69</v>
      </c>
      <c r="H186" t="s">
        <v>173</v>
      </c>
      <c r="I186" s="1" t="s">
        <v>564</v>
      </c>
      <c r="J186" s="1" t="s">
        <v>481</v>
      </c>
      <c r="L186" s="13" t="str">
        <f t="shared" si="2"/>
        <v>09/23/22</v>
      </c>
    </row>
    <row r="187" spans="1:12" ht="30" x14ac:dyDescent="0.25">
      <c r="A187" t="s">
        <v>26</v>
      </c>
      <c r="B187" t="s">
        <v>545</v>
      </c>
      <c r="C187" t="s">
        <v>32</v>
      </c>
      <c r="D187" t="s">
        <v>101</v>
      </c>
      <c r="E187" t="s">
        <v>79</v>
      </c>
      <c r="F187" t="s">
        <v>446</v>
      </c>
      <c r="G187" t="s">
        <v>69</v>
      </c>
      <c r="H187" t="s">
        <v>33</v>
      </c>
      <c r="I187" s="1" t="s">
        <v>565</v>
      </c>
      <c r="J187" s="1" t="s">
        <v>15</v>
      </c>
      <c r="L187" s="13" t="str">
        <f t="shared" si="2"/>
        <v>09/23/22</v>
      </c>
    </row>
    <row r="188" spans="1:12" ht="30" x14ac:dyDescent="0.25">
      <c r="A188" t="s">
        <v>26</v>
      </c>
      <c r="B188" t="s">
        <v>545</v>
      </c>
      <c r="C188" t="s">
        <v>85</v>
      </c>
      <c r="D188" t="s">
        <v>566</v>
      </c>
      <c r="E188" t="s">
        <v>30</v>
      </c>
      <c r="F188" t="s">
        <v>102</v>
      </c>
      <c r="G188" t="s">
        <v>69</v>
      </c>
      <c r="H188" t="s">
        <v>87</v>
      </c>
      <c r="I188" s="1" t="s">
        <v>567</v>
      </c>
      <c r="J188" s="1" t="s">
        <v>17</v>
      </c>
      <c r="L188" s="13" t="str">
        <f t="shared" si="2"/>
        <v>09/23/22</v>
      </c>
    </row>
    <row r="189" spans="1:12" ht="75" x14ac:dyDescent="0.25">
      <c r="A189" t="s">
        <v>26</v>
      </c>
      <c r="B189" t="s">
        <v>545</v>
      </c>
      <c r="C189" t="s">
        <v>28</v>
      </c>
      <c r="D189" t="s">
        <v>129</v>
      </c>
      <c r="E189" t="s">
        <v>30</v>
      </c>
      <c r="F189" t="s">
        <v>561</v>
      </c>
      <c r="G189" t="s">
        <v>81</v>
      </c>
      <c r="H189" t="s">
        <v>87</v>
      </c>
      <c r="I189" s="1" t="s">
        <v>568</v>
      </c>
      <c r="J189" s="1" t="s">
        <v>21</v>
      </c>
      <c r="L189" s="13" t="str">
        <f t="shared" si="2"/>
        <v>09/23/22</v>
      </c>
    </row>
    <row r="190" spans="1:12" ht="105" x14ac:dyDescent="0.25">
      <c r="A190" t="s">
        <v>26</v>
      </c>
      <c r="B190" t="s">
        <v>545</v>
      </c>
      <c r="C190" t="s">
        <v>50</v>
      </c>
      <c r="D190" t="s">
        <v>569</v>
      </c>
      <c r="E190" t="s">
        <v>30</v>
      </c>
      <c r="F190" t="s">
        <v>446</v>
      </c>
      <c r="G190" t="s">
        <v>81</v>
      </c>
      <c r="H190" t="s">
        <v>87</v>
      </c>
      <c r="I190" s="1" t="s">
        <v>570</v>
      </c>
      <c r="J190" s="1" t="s">
        <v>554</v>
      </c>
      <c r="L190" s="13" t="str">
        <f t="shared" si="2"/>
        <v>09/23/22</v>
      </c>
    </row>
    <row r="191" spans="1:12" ht="45" x14ac:dyDescent="0.25">
      <c r="A191" t="s">
        <v>26</v>
      </c>
      <c r="B191" t="s">
        <v>545</v>
      </c>
      <c r="C191" t="s">
        <v>28</v>
      </c>
      <c r="D191" t="s">
        <v>571</v>
      </c>
      <c r="E191" t="s">
        <v>30</v>
      </c>
      <c r="F191" t="s">
        <v>52</v>
      </c>
      <c r="G191" t="s">
        <v>69</v>
      </c>
      <c r="H191" t="s">
        <v>173</v>
      </c>
      <c r="I191" s="1" t="s">
        <v>572</v>
      </c>
      <c r="J191" s="1" t="s">
        <v>21</v>
      </c>
      <c r="L191" s="13" t="str">
        <f t="shared" si="2"/>
        <v>09/23/22</v>
      </c>
    </row>
    <row r="192" spans="1:12" ht="60" x14ac:dyDescent="0.25">
      <c r="A192" t="s">
        <v>26</v>
      </c>
      <c r="B192" t="s">
        <v>545</v>
      </c>
      <c r="C192" t="s">
        <v>85</v>
      </c>
      <c r="D192" t="s">
        <v>510</v>
      </c>
      <c r="E192" t="s">
        <v>30</v>
      </c>
      <c r="F192" t="s">
        <v>446</v>
      </c>
      <c r="G192" t="s">
        <v>32</v>
      </c>
      <c r="H192" t="s">
        <v>33</v>
      </c>
      <c r="I192" s="1" t="s">
        <v>573</v>
      </c>
      <c r="J192" s="1" t="s">
        <v>481</v>
      </c>
      <c r="L192" s="13" t="str">
        <f t="shared" si="2"/>
        <v>09/23/22</v>
      </c>
    </row>
    <row r="193" spans="1:12" ht="30" x14ac:dyDescent="0.25">
      <c r="A193" t="s">
        <v>49</v>
      </c>
      <c r="B193" t="s">
        <v>545</v>
      </c>
      <c r="C193" t="s">
        <v>249</v>
      </c>
      <c r="D193" t="s">
        <v>574</v>
      </c>
      <c r="E193" t="s">
        <v>30</v>
      </c>
      <c r="F193" t="s">
        <v>98</v>
      </c>
      <c r="G193" t="s">
        <v>32</v>
      </c>
      <c r="H193" t="s">
        <v>33</v>
      </c>
      <c r="I193" s="1" t="s">
        <v>575</v>
      </c>
      <c r="J193" s="1" t="s">
        <v>15</v>
      </c>
      <c r="L193" s="13" t="str">
        <f t="shared" si="2"/>
        <v>09/23/22</v>
      </c>
    </row>
    <row r="194" spans="1:12" ht="45" x14ac:dyDescent="0.25">
      <c r="A194" t="s">
        <v>26</v>
      </c>
      <c r="B194" t="s">
        <v>545</v>
      </c>
      <c r="C194" t="s">
        <v>180</v>
      </c>
      <c r="D194" t="s">
        <v>576</v>
      </c>
      <c r="E194" t="s">
        <v>30</v>
      </c>
      <c r="F194" t="s">
        <v>166</v>
      </c>
      <c r="G194" t="s">
        <v>32</v>
      </c>
      <c r="H194" t="s">
        <v>33</v>
      </c>
      <c r="I194" s="1" t="s">
        <v>577</v>
      </c>
      <c r="J194" s="1" t="s">
        <v>578</v>
      </c>
      <c r="L194" s="13" t="str">
        <f t="shared" si="2"/>
        <v>09/23/22</v>
      </c>
    </row>
    <row r="195" spans="1:12" ht="75" x14ac:dyDescent="0.25">
      <c r="A195" t="s">
        <v>26</v>
      </c>
      <c r="B195" t="s">
        <v>545</v>
      </c>
      <c r="C195" t="s">
        <v>55</v>
      </c>
      <c r="D195" t="s">
        <v>579</v>
      </c>
      <c r="E195" t="s">
        <v>79</v>
      </c>
      <c r="F195" t="s">
        <v>136</v>
      </c>
      <c r="G195" t="s">
        <v>32</v>
      </c>
      <c r="H195" t="s">
        <v>33</v>
      </c>
      <c r="I195" s="1" t="s">
        <v>580</v>
      </c>
      <c r="J195" s="1" t="s">
        <v>426</v>
      </c>
      <c r="L195" s="13" t="str">
        <f t="shared" ref="L195:L258" si="3">TEXT(+B195, "MM/DD/YY")</f>
        <v>09/23/22</v>
      </c>
    </row>
    <row r="196" spans="1:12" ht="30" x14ac:dyDescent="0.25">
      <c r="A196" t="s">
        <v>26</v>
      </c>
      <c r="B196" t="s">
        <v>545</v>
      </c>
      <c r="C196" t="s">
        <v>28</v>
      </c>
      <c r="D196" t="s">
        <v>388</v>
      </c>
      <c r="E196" t="s">
        <v>30</v>
      </c>
      <c r="F196" t="s">
        <v>154</v>
      </c>
      <c r="G196" t="s">
        <v>32</v>
      </c>
      <c r="H196" t="s">
        <v>33</v>
      </c>
      <c r="I196" s="1" t="s">
        <v>581</v>
      </c>
      <c r="J196" s="1" t="s">
        <v>426</v>
      </c>
      <c r="L196" s="13" t="str">
        <f t="shared" si="3"/>
        <v>09/23/22</v>
      </c>
    </row>
    <row r="197" spans="1:12" ht="90" x14ac:dyDescent="0.25">
      <c r="A197" t="s">
        <v>49</v>
      </c>
      <c r="B197" t="s">
        <v>545</v>
      </c>
      <c r="C197" t="s">
        <v>50</v>
      </c>
      <c r="D197" t="s">
        <v>51</v>
      </c>
      <c r="E197" t="s">
        <v>79</v>
      </c>
      <c r="F197" t="s">
        <v>186</v>
      </c>
      <c r="G197" t="s">
        <v>69</v>
      </c>
      <c r="H197" t="s">
        <v>33</v>
      </c>
      <c r="I197" s="1" t="s">
        <v>582</v>
      </c>
      <c r="J197" s="1" t="s">
        <v>583</v>
      </c>
      <c r="L197" s="13" t="str">
        <f t="shared" si="3"/>
        <v>09/23/22</v>
      </c>
    </row>
    <row r="198" spans="1:12" ht="45" x14ac:dyDescent="0.25">
      <c r="A198" t="s">
        <v>26</v>
      </c>
      <c r="B198" t="s">
        <v>545</v>
      </c>
      <c r="C198" t="s">
        <v>69</v>
      </c>
      <c r="D198" t="s">
        <v>229</v>
      </c>
      <c r="E198" t="s">
        <v>30</v>
      </c>
      <c r="F198" t="s">
        <v>52</v>
      </c>
      <c r="G198" t="s">
        <v>32</v>
      </c>
      <c r="H198" t="s">
        <v>33</v>
      </c>
      <c r="I198" s="1" t="s">
        <v>584</v>
      </c>
      <c r="J198" s="1" t="s">
        <v>426</v>
      </c>
      <c r="L198" s="13" t="str">
        <f t="shared" si="3"/>
        <v>09/23/22</v>
      </c>
    </row>
    <row r="199" spans="1:12" ht="30" x14ac:dyDescent="0.25">
      <c r="A199" t="s">
        <v>49</v>
      </c>
      <c r="B199" t="s">
        <v>545</v>
      </c>
      <c r="C199" t="s">
        <v>235</v>
      </c>
      <c r="D199" t="s">
        <v>327</v>
      </c>
      <c r="E199" t="s">
        <v>30</v>
      </c>
      <c r="F199" t="s">
        <v>177</v>
      </c>
      <c r="G199" t="s">
        <v>32</v>
      </c>
      <c r="H199" t="s">
        <v>87</v>
      </c>
      <c r="I199" s="1" t="s">
        <v>585</v>
      </c>
      <c r="J199" s="1" t="s">
        <v>17</v>
      </c>
      <c r="L199" s="13" t="str">
        <f t="shared" si="3"/>
        <v>09/23/22</v>
      </c>
    </row>
    <row r="200" spans="1:12" ht="75" x14ac:dyDescent="0.25">
      <c r="A200" t="s">
        <v>26</v>
      </c>
      <c r="B200" t="s">
        <v>545</v>
      </c>
      <c r="C200" t="s">
        <v>28</v>
      </c>
      <c r="D200" t="s">
        <v>522</v>
      </c>
      <c r="E200" t="s">
        <v>30</v>
      </c>
      <c r="F200" t="s">
        <v>126</v>
      </c>
      <c r="G200" t="s">
        <v>32</v>
      </c>
      <c r="H200" t="s">
        <v>33</v>
      </c>
      <c r="I200" s="1" t="s">
        <v>586</v>
      </c>
      <c r="J200" s="1" t="s">
        <v>426</v>
      </c>
      <c r="L200" s="13" t="str">
        <f t="shared" si="3"/>
        <v>09/23/22</v>
      </c>
    </row>
    <row r="201" spans="1:12" ht="105" x14ac:dyDescent="0.25">
      <c r="A201" t="s">
        <v>49</v>
      </c>
      <c r="B201" t="s">
        <v>545</v>
      </c>
      <c r="C201" t="s">
        <v>28</v>
      </c>
      <c r="D201" t="s">
        <v>528</v>
      </c>
      <c r="E201" t="s">
        <v>30</v>
      </c>
      <c r="F201" t="s">
        <v>587</v>
      </c>
      <c r="G201" t="s">
        <v>32</v>
      </c>
      <c r="H201" t="s">
        <v>87</v>
      </c>
      <c r="I201" s="1" t="s">
        <v>588</v>
      </c>
      <c r="J201" s="1" t="s">
        <v>589</v>
      </c>
      <c r="L201" s="13" t="str">
        <f t="shared" si="3"/>
        <v>09/23/22</v>
      </c>
    </row>
    <row r="202" spans="1:12" ht="45" x14ac:dyDescent="0.25">
      <c r="A202" t="s">
        <v>26</v>
      </c>
      <c r="B202" t="s">
        <v>545</v>
      </c>
      <c r="C202" t="s">
        <v>69</v>
      </c>
      <c r="D202" t="s">
        <v>590</v>
      </c>
      <c r="E202" t="s">
        <v>30</v>
      </c>
      <c r="F202" t="s">
        <v>52</v>
      </c>
      <c r="G202" t="s">
        <v>81</v>
      </c>
      <c r="H202" t="s">
        <v>87</v>
      </c>
      <c r="I202" s="1" t="s">
        <v>591</v>
      </c>
      <c r="J202" s="1" t="s">
        <v>71</v>
      </c>
      <c r="L202" s="13" t="str">
        <f t="shared" si="3"/>
        <v>09/23/22</v>
      </c>
    </row>
    <row r="203" spans="1:12" ht="45" x14ac:dyDescent="0.25">
      <c r="A203" t="s">
        <v>49</v>
      </c>
      <c r="B203" t="s">
        <v>545</v>
      </c>
      <c r="C203" t="s">
        <v>85</v>
      </c>
      <c r="D203" t="s">
        <v>373</v>
      </c>
      <c r="E203" t="s">
        <v>30</v>
      </c>
      <c r="F203" t="s">
        <v>290</v>
      </c>
      <c r="G203" t="s">
        <v>32</v>
      </c>
      <c r="H203" t="s">
        <v>33</v>
      </c>
      <c r="I203" s="1" t="s">
        <v>592</v>
      </c>
      <c r="J203" s="1" t="s">
        <v>104</v>
      </c>
      <c r="L203" s="13" t="str">
        <f t="shared" si="3"/>
        <v>09/23/22</v>
      </c>
    </row>
    <row r="204" spans="1:12" ht="60" x14ac:dyDescent="0.25">
      <c r="A204" t="s">
        <v>26</v>
      </c>
      <c r="B204" t="s">
        <v>545</v>
      </c>
      <c r="C204" t="s">
        <v>28</v>
      </c>
      <c r="D204" t="s">
        <v>344</v>
      </c>
      <c r="E204" t="s">
        <v>30</v>
      </c>
      <c r="F204" t="s">
        <v>46</v>
      </c>
      <c r="G204" t="s">
        <v>32</v>
      </c>
      <c r="H204" t="s">
        <v>87</v>
      </c>
      <c r="I204" s="1" t="s">
        <v>593</v>
      </c>
      <c r="J204" s="1" t="s">
        <v>481</v>
      </c>
      <c r="L204" s="13" t="str">
        <f t="shared" si="3"/>
        <v>09/23/22</v>
      </c>
    </row>
    <row r="205" spans="1:12" ht="75" x14ac:dyDescent="0.25">
      <c r="A205" t="s">
        <v>49</v>
      </c>
      <c r="B205" t="s">
        <v>545</v>
      </c>
      <c r="C205" t="s">
        <v>28</v>
      </c>
      <c r="D205" t="s">
        <v>594</v>
      </c>
      <c r="E205" t="s">
        <v>30</v>
      </c>
      <c r="F205" t="s">
        <v>130</v>
      </c>
      <c r="G205" t="s">
        <v>32</v>
      </c>
      <c r="H205" t="s">
        <v>33</v>
      </c>
      <c r="I205" s="1" t="s">
        <v>595</v>
      </c>
      <c r="J205" s="1" t="s">
        <v>596</v>
      </c>
      <c r="L205" s="13" t="str">
        <f t="shared" si="3"/>
        <v>09/23/22</v>
      </c>
    </row>
    <row r="206" spans="1:12" ht="90" x14ac:dyDescent="0.25">
      <c r="A206" t="s">
        <v>49</v>
      </c>
      <c r="B206" t="s">
        <v>545</v>
      </c>
      <c r="C206" t="s">
        <v>240</v>
      </c>
      <c r="D206" t="s">
        <v>597</v>
      </c>
      <c r="E206" t="s">
        <v>30</v>
      </c>
      <c r="F206" t="s">
        <v>290</v>
      </c>
      <c r="G206" t="s">
        <v>81</v>
      </c>
      <c r="H206" t="s">
        <v>87</v>
      </c>
      <c r="I206" s="1" t="s">
        <v>598</v>
      </c>
      <c r="J206" s="1" t="s">
        <v>599</v>
      </c>
      <c r="L206" s="13" t="str">
        <f t="shared" si="3"/>
        <v>09/23/22</v>
      </c>
    </row>
    <row r="207" spans="1:12" ht="75" x14ac:dyDescent="0.25">
      <c r="A207" t="s">
        <v>91</v>
      </c>
      <c r="B207" t="s">
        <v>545</v>
      </c>
      <c r="C207" t="s">
        <v>85</v>
      </c>
      <c r="D207" t="s">
        <v>378</v>
      </c>
      <c r="E207" t="s">
        <v>30</v>
      </c>
      <c r="F207" t="s">
        <v>294</v>
      </c>
      <c r="G207" t="s">
        <v>69</v>
      </c>
      <c r="H207" t="s">
        <v>33</v>
      </c>
      <c r="I207" s="1" t="s">
        <v>600</v>
      </c>
      <c r="J207" s="1" t="s">
        <v>601</v>
      </c>
      <c r="L207" s="13" t="str">
        <f t="shared" si="3"/>
        <v>09/23/22</v>
      </c>
    </row>
    <row r="208" spans="1:12" ht="75" x14ac:dyDescent="0.25">
      <c r="A208" t="s">
        <v>49</v>
      </c>
      <c r="B208" t="s">
        <v>545</v>
      </c>
      <c r="C208" t="s">
        <v>240</v>
      </c>
      <c r="D208" t="s">
        <v>597</v>
      </c>
      <c r="E208" t="s">
        <v>30</v>
      </c>
      <c r="F208" t="s">
        <v>602</v>
      </c>
      <c r="G208" t="s">
        <v>81</v>
      </c>
      <c r="H208" t="s">
        <v>173</v>
      </c>
      <c r="I208" s="1" t="s">
        <v>603</v>
      </c>
      <c r="J208" s="1" t="s">
        <v>15</v>
      </c>
      <c r="L208" s="13" t="str">
        <f t="shared" si="3"/>
        <v>09/23/22</v>
      </c>
    </row>
    <row r="209" spans="1:12" ht="30" x14ac:dyDescent="0.25">
      <c r="A209" t="s">
        <v>91</v>
      </c>
      <c r="B209" t="s">
        <v>545</v>
      </c>
      <c r="C209" t="s">
        <v>106</v>
      </c>
      <c r="D209" t="s">
        <v>539</v>
      </c>
      <c r="E209" t="s">
        <v>30</v>
      </c>
      <c r="F209" t="s">
        <v>186</v>
      </c>
      <c r="G209" t="s">
        <v>32</v>
      </c>
      <c r="H209" t="s">
        <v>33</v>
      </c>
      <c r="I209" s="1" t="s">
        <v>604</v>
      </c>
      <c r="J209" s="1" t="s">
        <v>426</v>
      </c>
      <c r="L209" s="13" t="str">
        <f t="shared" si="3"/>
        <v>09/23/22</v>
      </c>
    </row>
    <row r="210" spans="1:12" ht="30" x14ac:dyDescent="0.25">
      <c r="A210" t="s">
        <v>49</v>
      </c>
      <c r="B210" t="s">
        <v>545</v>
      </c>
      <c r="C210" t="s">
        <v>106</v>
      </c>
      <c r="D210" t="s">
        <v>605</v>
      </c>
      <c r="E210" t="s">
        <v>30</v>
      </c>
      <c r="F210" t="s">
        <v>606</v>
      </c>
      <c r="G210" t="s">
        <v>32</v>
      </c>
      <c r="H210" t="s">
        <v>173</v>
      </c>
      <c r="I210" s="1" t="s">
        <v>607</v>
      </c>
      <c r="J210" s="1" t="s">
        <v>17</v>
      </c>
      <c r="L210" s="13" t="str">
        <f t="shared" si="3"/>
        <v>09/23/22</v>
      </c>
    </row>
    <row r="211" spans="1:12" ht="60" x14ac:dyDescent="0.25">
      <c r="A211" t="s">
        <v>37</v>
      </c>
      <c r="B211" t="s">
        <v>545</v>
      </c>
      <c r="C211" t="s">
        <v>32</v>
      </c>
      <c r="D211" t="s">
        <v>101</v>
      </c>
      <c r="E211" t="s">
        <v>30</v>
      </c>
      <c r="F211" t="s">
        <v>543</v>
      </c>
      <c r="G211" t="s">
        <v>69</v>
      </c>
      <c r="H211" t="s">
        <v>33</v>
      </c>
      <c r="I211" s="1" t="s">
        <v>608</v>
      </c>
      <c r="J211" s="1" t="s">
        <v>609</v>
      </c>
      <c r="L211" s="13" t="str">
        <f t="shared" si="3"/>
        <v>09/23/22</v>
      </c>
    </row>
    <row r="212" spans="1:12" ht="105" x14ac:dyDescent="0.25">
      <c r="A212" t="s">
        <v>49</v>
      </c>
      <c r="B212" t="s">
        <v>545</v>
      </c>
      <c r="C212" t="s">
        <v>106</v>
      </c>
      <c r="D212" t="s">
        <v>610</v>
      </c>
      <c r="E212" t="s">
        <v>30</v>
      </c>
      <c r="F212" t="s">
        <v>40</v>
      </c>
      <c r="G212" t="s">
        <v>81</v>
      </c>
      <c r="H212" t="s">
        <v>33</v>
      </c>
      <c r="I212" s="1" t="s">
        <v>611</v>
      </c>
      <c r="J212" s="1" t="s">
        <v>426</v>
      </c>
      <c r="L212" s="13" t="str">
        <f t="shared" si="3"/>
        <v>09/23/22</v>
      </c>
    </row>
    <row r="213" spans="1:12" ht="75" x14ac:dyDescent="0.25">
      <c r="A213" t="s">
        <v>91</v>
      </c>
      <c r="B213" t="s">
        <v>545</v>
      </c>
      <c r="C213" t="s">
        <v>235</v>
      </c>
      <c r="D213" t="s">
        <v>427</v>
      </c>
      <c r="E213" t="s">
        <v>30</v>
      </c>
      <c r="F213" t="s">
        <v>246</v>
      </c>
      <c r="G213" t="s">
        <v>32</v>
      </c>
      <c r="H213" t="s">
        <v>33</v>
      </c>
      <c r="I213" s="1" t="s">
        <v>612</v>
      </c>
      <c r="J213" s="1" t="s">
        <v>481</v>
      </c>
      <c r="L213" s="13" t="str">
        <f t="shared" si="3"/>
        <v>09/23/22</v>
      </c>
    </row>
    <row r="214" spans="1:12" ht="105" x14ac:dyDescent="0.25">
      <c r="A214" t="s">
        <v>49</v>
      </c>
      <c r="B214" t="s">
        <v>545</v>
      </c>
      <c r="C214" t="s">
        <v>28</v>
      </c>
      <c r="D214" t="s">
        <v>613</v>
      </c>
      <c r="E214" t="s">
        <v>30</v>
      </c>
      <c r="F214" t="s">
        <v>614</v>
      </c>
      <c r="G214" t="s">
        <v>69</v>
      </c>
      <c r="H214" t="s">
        <v>87</v>
      </c>
      <c r="I214" s="1" t="s">
        <v>615</v>
      </c>
      <c r="J214" s="1" t="s">
        <v>15</v>
      </c>
      <c r="L214" s="13" t="str">
        <f t="shared" si="3"/>
        <v>09/23/22</v>
      </c>
    </row>
    <row r="215" spans="1:12" ht="105" x14ac:dyDescent="0.25">
      <c r="A215" t="s">
        <v>37</v>
      </c>
      <c r="B215" t="s">
        <v>545</v>
      </c>
      <c r="C215" t="s">
        <v>44</v>
      </c>
      <c r="D215" t="s">
        <v>616</v>
      </c>
      <c r="E215" t="s">
        <v>30</v>
      </c>
      <c r="F215" t="s">
        <v>119</v>
      </c>
      <c r="G215" t="s">
        <v>32</v>
      </c>
      <c r="H215" t="s">
        <v>33</v>
      </c>
      <c r="I215" s="1" t="s">
        <v>617</v>
      </c>
      <c r="J215" s="1" t="s">
        <v>426</v>
      </c>
      <c r="L215" s="13" t="str">
        <f t="shared" si="3"/>
        <v>09/23/22</v>
      </c>
    </row>
    <row r="216" spans="1:12" ht="75" x14ac:dyDescent="0.25">
      <c r="A216" t="s">
        <v>49</v>
      </c>
      <c r="B216" t="s">
        <v>545</v>
      </c>
      <c r="C216" t="s">
        <v>38</v>
      </c>
      <c r="D216" t="s">
        <v>618</v>
      </c>
      <c r="E216" t="s">
        <v>30</v>
      </c>
      <c r="F216" t="s">
        <v>602</v>
      </c>
      <c r="G216" t="s">
        <v>32</v>
      </c>
      <c r="H216" t="s">
        <v>173</v>
      </c>
      <c r="I216" s="1" t="s">
        <v>619</v>
      </c>
      <c r="J216" s="1" t="s">
        <v>17</v>
      </c>
      <c r="L216" s="13" t="str">
        <f t="shared" si="3"/>
        <v>09/23/22</v>
      </c>
    </row>
    <row r="217" spans="1:12" ht="30" x14ac:dyDescent="0.25">
      <c r="A217" t="s">
        <v>37</v>
      </c>
      <c r="B217" t="s">
        <v>545</v>
      </c>
      <c r="C217" t="s">
        <v>249</v>
      </c>
      <c r="D217" t="s">
        <v>620</v>
      </c>
      <c r="E217" t="s">
        <v>30</v>
      </c>
      <c r="F217" t="s">
        <v>94</v>
      </c>
      <c r="G217" t="s">
        <v>81</v>
      </c>
      <c r="H217" t="s">
        <v>173</v>
      </c>
      <c r="I217" s="1" t="s">
        <v>621</v>
      </c>
      <c r="J217" s="1" t="s">
        <v>17</v>
      </c>
      <c r="L217" s="13" t="str">
        <f t="shared" si="3"/>
        <v>09/23/22</v>
      </c>
    </row>
    <row r="218" spans="1:12" ht="90" x14ac:dyDescent="0.25">
      <c r="A218" t="s">
        <v>91</v>
      </c>
      <c r="B218" t="s">
        <v>545</v>
      </c>
      <c r="C218" t="s">
        <v>44</v>
      </c>
      <c r="D218" t="s">
        <v>622</v>
      </c>
      <c r="E218" t="s">
        <v>79</v>
      </c>
      <c r="F218" t="s">
        <v>280</v>
      </c>
      <c r="G218" t="s">
        <v>81</v>
      </c>
      <c r="H218" t="s">
        <v>87</v>
      </c>
      <c r="I218" s="1" t="s">
        <v>623</v>
      </c>
      <c r="J218" s="1" t="s">
        <v>481</v>
      </c>
      <c r="L218" s="13" t="str">
        <f t="shared" si="3"/>
        <v>09/23/22</v>
      </c>
    </row>
    <row r="219" spans="1:12" ht="75" x14ac:dyDescent="0.25">
      <c r="A219" t="s">
        <v>64</v>
      </c>
      <c r="B219" t="s">
        <v>545</v>
      </c>
      <c r="C219" t="s">
        <v>96</v>
      </c>
      <c r="D219" t="s">
        <v>624</v>
      </c>
      <c r="E219" t="s">
        <v>30</v>
      </c>
      <c r="F219" t="s">
        <v>260</v>
      </c>
      <c r="G219" t="s">
        <v>69</v>
      </c>
      <c r="H219" t="s">
        <v>173</v>
      </c>
      <c r="I219" s="1" t="s">
        <v>625</v>
      </c>
      <c r="J219" s="1" t="s">
        <v>15</v>
      </c>
      <c r="L219" s="13" t="str">
        <f t="shared" si="3"/>
        <v>09/23/22</v>
      </c>
    </row>
    <row r="220" spans="1:12" ht="45" x14ac:dyDescent="0.25">
      <c r="A220" t="s">
        <v>49</v>
      </c>
      <c r="B220" t="s">
        <v>545</v>
      </c>
      <c r="C220" t="s">
        <v>69</v>
      </c>
      <c r="D220" t="s">
        <v>626</v>
      </c>
      <c r="E220" t="s">
        <v>30</v>
      </c>
      <c r="F220" t="s">
        <v>627</v>
      </c>
      <c r="G220" t="s">
        <v>32</v>
      </c>
      <c r="H220" t="s">
        <v>33</v>
      </c>
      <c r="I220" s="1" t="s">
        <v>628</v>
      </c>
      <c r="J220" s="1" t="s">
        <v>426</v>
      </c>
      <c r="L220" s="13" t="str">
        <f t="shared" si="3"/>
        <v>09/23/22</v>
      </c>
    </row>
    <row r="221" spans="1:12" ht="120" x14ac:dyDescent="0.25">
      <c r="A221" t="s">
        <v>37</v>
      </c>
      <c r="B221" t="s">
        <v>545</v>
      </c>
      <c r="C221" t="s">
        <v>92</v>
      </c>
      <c r="D221" t="s">
        <v>629</v>
      </c>
      <c r="E221" t="s">
        <v>30</v>
      </c>
      <c r="F221" t="s">
        <v>602</v>
      </c>
      <c r="G221" t="s">
        <v>69</v>
      </c>
      <c r="H221" t="s">
        <v>87</v>
      </c>
      <c r="I221" s="1" t="s">
        <v>630</v>
      </c>
      <c r="J221" s="1" t="s">
        <v>21</v>
      </c>
      <c r="L221" s="13" t="str">
        <f t="shared" si="3"/>
        <v>09/23/22</v>
      </c>
    </row>
    <row r="222" spans="1:12" ht="105" x14ac:dyDescent="0.25">
      <c r="A222" t="s">
        <v>37</v>
      </c>
      <c r="B222" t="s">
        <v>545</v>
      </c>
      <c r="C222" t="s">
        <v>106</v>
      </c>
      <c r="D222" t="s">
        <v>539</v>
      </c>
      <c r="E222" t="s">
        <v>79</v>
      </c>
      <c r="F222" t="s">
        <v>631</v>
      </c>
      <c r="G222" t="s">
        <v>263</v>
      </c>
      <c r="H222" t="s">
        <v>87</v>
      </c>
      <c r="I222" s="1" t="s">
        <v>632</v>
      </c>
      <c r="J222" s="1" t="s">
        <v>481</v>
      </c>
      <c r="L222" s="13" t="str">
        <f t="shared" si="3"/>
        <v>09/23/22</v>
      </c>
    </row>
    <row r="223" spans="1:12" ht="105" x14ac:dyDescent="0.25">
      <c r="A223" t="s">
        <v>37</v>
      </c>
      <c r="B223" t="s">
        <v>545</v>
      </c>
      <c r="C223" t="s">
        <v>96</v>
      </c>
      <c r="D223" t="s">
        <v>201</v>
      </c>
      <c r="E223" t="s">
        <v>30</v>
      </c>
      <c r="F223" t="s">
        <v>633</v>
      </c>
      <c r="G223" t="s">
        <v>69</v>
      </c>
      <c r="H223" t="s">
        <v>87</v>
      </c>
      <c r="I223" s="1" t="s">
        <v>634</v>
      </c>
      <c r="J223" s="1" t="s">
        <v>71</v>
      </c>
      <c r="L223" s="13" t="str">
        <f t="shared" si="3"/>
        <v>09/23/22</v>
      </c>
    </row>
    <row r="224" spans="1:12" ht="45" x14ac:dyDescent="0.25">
      <c r="A224" t="s">
        <v>91</v>
      </c>
      <c r="B224" t="s">
        <v>545</v>
      </c>
      <c r="C224" t="s">
        <v>235</v>
      </c>
      <c r="D224" t="s">
        <v>537</v>
      </c>
      <c r="E224" t="s">
        <v>30</v>
      </c>
      <c r="F224" t="s">
        <v>635</v>
      </c>
      <c r="G224" t="s">
        <v>69</v>
      </c>
      <c r="H224" t="s">
        <v>33</v>
      </c>
      <c r="I224" s="1" t="s">
        <v>636</v>
      </c>
      <c r="J224" s="1" t="s">
        <v>426</v>
      </c>
      <c r="L224" s="13" t="str">
        <f t="shared" si="3"/>
        <v>09/23/22</v>
      </c>
    </row>
    <row r="225" spans="1:12" ht="105" x14ac:dyDescent="0.25">
      <c r="A225" t="s">
        <v>37</v>
      </c>
      <c r="B225" t="s">
        <v>545</v>
      </c>
      <c r="C225" t="s">
        <v>28</v>
      </c>
      <c r="D225" t="s">
        <v>129</v>
      </c>
      <c r="E225" t="s">
        <v>30</v>
      </c>
      <c r="F225" t="s">
        <v>202</v>
      </c>
      <c r="G225" t="s">
        <v>69</v>
      </c>
      <c r="H225" t="s">
        <v>33</v>
      </c>
      <c r="I225" s="1" t="s">
        <v>637</v>
      </c>
      <c r="J225" s="1" t="s">
        <v>426</v>
      </c>
      <c r="L225" s="13" t="str">
        <f t="shared" si="3"/>
        <v>09/23/22</v>
      </c>
    </row>
    <row r="226" spans="1:12" ht="105" x14ac:dyDescent="0.25">
      <c r="A226" t="s">
        <v>64</v>
      </c>
      <c r="B226" t="s">
        <v>545</v>
      </c>
      <c r="C226" t="s">
        <v>50</v>
      </c>
      <c r="D226" t="s">
        <v>569</v>
      </c>
      <c r="E226" t="s">
        <v>30</v>
      </c>
      <c r="F226" t="s">
        <v>154</v>
      </c>
      <c r="G226" t="s">
        <v>32</v>
      </c>
      <c r="H226" t="s">
        <v>87</v>
      </c>
      <c r="I226" s="1" t="s">
        <v>638</v>
      </c>
      <c r="J226" s="1" t="s">
        <v>436</v>
      </c>
      <c r="L226" s="13" t="str">
        <f t="shared" si="3"/>
        <v>09/23/22</v>
      </c>
    </row>
    <row r="227" spans="1:12" ht="75" x14ac:dyDescent="0.25">
      <c r="A227" t="s">
        <v>64</v>
      </c>
      <c r="B227" t="s">
        <v>545</v>
      </c>
      <c r="C227" t="s">
        <v>249</v>
      </c>
      <c r="D227" t="s">
        <v>639</v>
      </c>
      <c r="E227" t="s">
        <v>30</v>
      </c>
      <c r="F227" t="s">
        <v>61</v>
      </c>
      <c r="G227" t="s">
        <v>32</v>
      </c>
      <c r="H227" t="s">
        <v>33</v>
      </c>
      <c r="I227" s="1" t="s">
        <v>640</v>
      </c>
      <c r="J227" s="1" t="s">
        <v>641</v>
      </c>
      <c r="L227" s="13" t="str">
        <f t="shared" si="3"/>
        <v>09/23/22</v>
      </c>
    </row>
    <row r="228" spans="1:12" ht="75" x14ac:dyDescent="0.25">
      <c r="A228" t="s">
        <v>91</v>
      </c>
      <c r="B228" t="s">
        <v>545</v>
      </c>
      <c r="C228" t="s">
        <v>44</v>
      </c>
      <c r="D228" t="s">
        <v>68</v>
      </c>
      <c r="E228" t="s">
        <v>30</v>
      </c>
      <c r="F228" t="s">
        <v>196</v>
      </c>
      <c r="G228" t="s">
        <v>81</v>
      </c>
      <c r="H228" t="s">
        <v>87</v>
      </c>
      <c r="I228" s="1" t="s">
        <v>642</v>
      </c>
      <c r="J228" s="1" t="s">
        <v>104</v>
      </c>
      <c r="L228" s="13" t="str">
        <f t="shared" si="3"/>
        <v>09/23/22</v>
      </c>
    </row>
    <row r="229" spans="1:12" ht="30" x14ac:dyDescent="0.25">
      <c r="A229" t="s">
        <v>64</v>
      </c>
      <c r="B229" t="s">
        <v>545</v>
      </c>
      <c r="C229" t="s">
        <v>44</v>
      </c>
      <c r="D229" t="s">
        <v>643</v>
      </c>
      <c r="E229" t="s">
        <v>30</v>
      </c>
      <c r="F229" t="s">
        <v>140</v>
      </c>
      <c r="G229" t="s">
        <v>32</v>
      </c>
      <c r="H229" t="s">
        <v>87</v>
      </c>
      <c r="I229" s="1" t="s">
        <v>644</v>
      </c>
      <c r="J229" s="1" t="s">
        <v>499</v>
      </c>
      <c r="L229" s="13" t="str">
        <f t="shared" si="3"/>
        <v>09/23/22</v>
      </c>
    </row>
    <row r="230" spans="1:12" ht="30" x14ac:dyDescent="0.25">
      <c r="A230" t="s">
        <v>64</v>
      </c>
      <c r="B230" t="s">
        <v>545</v>
      </c>
      <c r="C230" t="s">
        <v>69</v>
      </c>
      <c r="D230" t="s">
        <v>160</v>
      </c>
      <c r="E230" t="s">
        <v>79</v>
      </c>
      <c r="F230" t="s">
        <v>46</v>
      </c>
      <c r="G230" t="s">
        <v>32</v>
      </c>
      <c r="H230" t="s">
        <v>173</v>
      </c>
      <c r="I230" s="1" t="s">
        <v>645</v>
      </c>
      <c r="J230" s="1" t="s">
        <v>71</v>
      </c>
      <c r="L230" s="13" t="str">
        <f t="shared" si="3"/>
        <v>09/23/22</v>
      </c>
    </row>
    <row r="231" spans="1:12" ht="30" x14ac:dyDescent="0.25">
      <c r="A231" t="s">
        <v>64</v>
      </c>
      <c r="B231" t="s">
        <v>545</v>
      </c>
      <c r="C231" t="s">
        <v>44</v>
      </c>
      <c r="D231" t="s">
        <v>646</v>
      </c>
      <c r="E231" t="s">
        <v>30</v>
      </c>
      <c r="F231" t="s">
        <v>108</v>
      </c>
      <c r="G231" t="s">
        <v>32</v>
      </c>
      <c r="H231" t="s">
        <v>33</v>
      </c>
      <c r="I231" s="1" t="s">
        <v>647</v>
      </c>
      <c r="J231" s="1" t="s">
        <v>426</v>
      </c>
      <c r="L231" s="13" t="str">
        <f t="shared" si="3"/>
        <v>09/23/22</v>
      </c>
    </row>
    <row r="232" spans="1:12" ht="30" x14ac:dyDescent="0.25">
      <c r="A232" t="s">
        <v>26</v>
      </c>
      <c r="B232" t="s">
        <v>648</v>
      </c>
      <c r="C232" t="s">
        <v>69</v>
      </c>
      <c r="D232" t="s">
        <v>507</v>
      </c>
      <c r="E232" t="s">
        <v>30</v>
      </c>
      <c r="F232" t="s">
        <v>182</v>
      </c>
      <c r="G232" t="s">
        <v>32</v>
      </c>
      <c r="H232" t="s">
        <v>173</v>
      </c>
      <c r="I232" s="1" t="s">
        <v>649</v>
      </c>
      <c r="J232" s="1" t="s">
        <v>15</v>
      </c>
      <c r="L232" s="13" t="str">
        <f t="shared" si="3"/>
        <v>09/22/22</v>
      </c>
    </row>
    <row r="233" spans="1:12" ht="30" x14ac:dyDescent="0.25">
      <c r="A233" t="s">
        <v>26</v>
      </c>
      <c r="B233" t="s">
        <v>648</v>
      </c>
      <c r="C233" t="s">
        <v>263</v>
      </c>
      <c r="D233" t="s">
        <v>650</v>
      </c>
      <c r="E233" t="s">
        <v>30</v>
      </c>
      <c r="F233" t="s">
        <v>61</v>
      </c>
      <c r="G233" t="s">
        <v>32</v>
      </c>
      <c r="H233" t="s">
        <v>87</v>
      </c>
      <c r="I233" s="1" t="s">
        <v>651</v>
      </c>
      <c r="J233" s="1" t="s">
        <v>71</v>
      </c>
      <c r="L233" s="13" t="str">
        <f t="shared" si="3"/>
        <v>09/22/22</v>
      </c>
    </row>
    <row r="234" spans="1:12" ht="105" x14ac:dyDescent="0.25">
      <c r="A234" t="s">
        <v>26</v>
      </c>
      <c r="B234" t="s">
        <v>648</v>
      </c>
      <c r="C234" t="s">
        <v>32</v>
      </c>
      <c r="D234" t="s">
        <v>101</v>
      </c>
      <c r="E234" t="s">
        <v>30</v>
      </c>
      <c r="F234" t="s">
        <v>52</v>
      </c>
      <c r="G234" t="s">
        <v>81</v>
      </c>
      <c r="H234" t="s">
        <v>87</v>
      </c>
      <c r="I234" s="1" t="s">
        <v>652</v>
      </c>
      <c r="J234" s="1" t="s">
        <v>436</v>
      </c>
      <c r="L234" s="13" t="str">
        <f t="shared" si="3"/>
        <v>09/22/22</v>
      </c>
    </row>
    <row r="235" spans="1:12" ht="30" x14ac:dyDescent="0.25">
      <c r="A235" t="s">
        <v>37</v>
      </c>
      <c r="B235" t="s">
        <v>648</v>
      </c>
      <c r="C235" t="s">
        <v>73</v>
      </c>
      <c r="D235" t="s">
        <v>653</v>
      </c>
      <c r="E235" t="s">
        <v>30</v>
      </c>
      <c r="F235" t="s">
        <v>108</v>
      </c>
      <c r="G235" t="s">
        <v>32</v>
      </c>
      <c r="H235" t="s">
        <v>33</v>
      </c>
      <c r="I235" s="1" t="s">
        <v>654</v>
      </c>
      <c r="J235" s="1" t="s">
        <v>426</v>
      </c>
      <c r="L235" s="13" t="str">
        <f t="shared" si="3"/>
        <v>09/22/22</v>
      </c>
    </row>
    <row r="236" spans="1:12" ht="60" x14ac:dyDescent="0.25">
      <c r="A236" t="s">
        <v>26</v>
      </c>
      <c r="B236" t="s">
        <v>648</v>
      </c>
      <c r="C236" t="s">
        <v>44</v>
      </c>
      <c r="D236" t="s">
        <v>655</v>
      </c>
      <c r="E236" t="s">
        <v>79</v>
      </c>
      <c r="F236" t="s">
        <v>202</v>
      </c>
      <c r="G236" t="s">
        <v>81</v>
      </c>
      <c r="H236" t="s">
        <v>87</v>
      </c>
      <c r="I236" s="1" t="s">
        <v>656</v>
      </c>
      <c r="J236" s="1" t="s">
        <v>71</v>
      </c>
      <c r="L236" s="13" t="str">
        <f t="shared" si="3"/>
        <v>09/22/22</v>
      </c>
    </row>
    <row r="237" spans="1:12" ht="30" x14ac:dyDescent="0.25">
      <c r="A237" t="s">
        <v>26</v>
      </c>
      <c r="B237" t="s">
        <v>648</v>
      </c>
      <c r="C237" t="s">
        <v>249</v>
      </c>
      <c r="D237" t="s">
        <v>657</v>
      </c>
      <c r="E237" t="s">
        <v>30</v>
      </c>
      <c r="F237" t="s">
        <v>658</v>
      </c>
      <c r="G237" t="s">
        <v>81</v>
      </c>
      <c r="H237" t="s">
        <v>87</v>
      </c>
      <c r="I237" s="1" t="s">
        <v>659</v>
      </c>
      <c r="J237" s="1" t="s">
        <v>15</v>
      </c>
      <c r="L237" s="13" t="str">
        <f t="shared" si="3"/>
        <v>09/22/22</v>
      </c>
    </row>
    <row r="238" spans="1:12" ht="75" x14ac:dyDescent="0.25">
      <c r="A238" t="s">
        <v>37</v>
      </c>
      <c r="B238" t="s">
        <v>648</v>
      </c>
      <c r="C238" t="s">
        <v>50</v>
      </c>
      <c r="D238" t="s">
        <v>660</v>
      </c>
      <c r="E238" t="s">
        <v>30</v>
      </c>
      <c r="F238" t="s">
        <v>94</v>
      </c>
      <c r="G238" t="s">
        <v>32</v>
      </c>
      <c r="H238" t="s">
        <v>33</v>
      </c>
      <c r="I238" s="1" t="s">
        <v>661</v>
      </c>
      <c r="J238" s="1" t="s">
        <v>426</v>
      </c>
      <c r="L238" s="13" t="str">
        <f t="shared" si="3"/>
        <v>09/22/22</v>
      </c>
    </row>
    <row r="239" spans="1:12" ht="105" x14ac:dyDescent="0.25">
      <c r="A239" t="s">
        <v>26</v>
      </c>
      <c r="B239" t="s">
        <v>648</v>
      </c>
      <c r="C239" t="s">
        <v>92</v>
      </c>
      <c r="D239" t="s">
        <v>452</v>
      </c>
      <c r="E239" t="s">
        <v>30</v>
      </c>
      <c r="F239" t="s">
        <v>46</v>
      </c>
      <c r="G239" t="s">
        <v>32</v>
      </c>
      <c r="H239" t="s">
        <v>87</v>
      </c>
      <c r="I239" s="1" t="s">
        <v>662</v>
      </c>
      <c r="J239" s="1" t="s">
        <v>21</v>
      </c>
      <c r="L239" s="13" t="str">
        <f t="shared" si="3"/>
        <v>09/22/22</v>
      </c>
    </row>
    <row r="240" spans="1:12" ht="90" x14ac:dyDescent="0.25">
      <c r="A240" t="s">
        <v>59</v>
      </c>
      <c r="B240" t="s">
        <v>648</v>
      </c>
      <c r="C240" t="s">
        <v>240</v>
      </c>
      <c r="D240" t="s">
        <v>267</v>
      </c>
      <c r="E240" t="s">
        <v>30</v>
      </c>
      <c r="F240" t="s">
        <v>290</v>
      </c>
      <c r="G240" t="s">
        <v>69</v>
      </c>
      <c r="H240" t="s">
        <v>33</v>
      </c>
      <c r="I240" s="1" t="s">
        <v>663</v>
      </c>
      <c r="J240" s="1" t="s">
        <v>426</v>
      </c>
      <c r="L240" s="13" t="str">
        <f t="shared" si="3"/>
        <v>09/22/22</v>
      </c>
    </row>
    <row r="241" spans="1:12" ht="45" x14ac:dyDescent="0.25">
      <c r="A241" t="s">
        <v>26</v>
      </c>
      <c r="B241" t="s">
        <v>648</v>
      </c>
      <c r="C241" t="s">
        <v>69</v>
      </c>
      <c r="D241" t="s">
        <v>664</v>
      </c>
      <c r="E241" t="s">
        <v>30</v>
      </c>
      <c r="F241" t="s">
        <v>189</v>
      </c>
      <c r="G241" t="s">
        <v>32</v>
      </c>
      <c r="H241" t="s">
        <v>33</v>
      </c>
      <c r="I241" s="1" t="s">
        <v>665</v>
      </c>
      <c r="J241" s="1" t="s">
        <v>666</v>
      </c>
      <c r="L241" s="13" t="str">
        <f t="shared" si="3"/>
        <v>09/22/22</v>
      </c>
    </row>
    <row r="242" spans="1:12" ht="105" x14ac:dyDescent="0.25">
      <c r="A242" t="s">
        <v>64</v>
      </c>
      <c r="B242" t="s">
        <v>648</v>
      </c>
      <c r="C242" t="s">
        <v>85</v>
      </c>
      <c r="D242" t="s">
        <v>667</v>
      </c>
      <c r="E242" t="s">
        <v>79</v>
      </c>
      <c r="F242" t="s">
        <v>130</v>
      </c>
      <c r="G242" t="s">
        <v>32</v>
      </c>
      <c r="H242" t="s">
        <v>87</v>
      </c>
      <c r="I242" s="1" t="s">
        <v>668</v>
      </c>
      <c r="J242" s="1" t="s">
        <v>669</v>
      </c>
      <c r="L242" s="13" t="str">
        <f t="shared" si="3"/>
        <v>09/22/22</v>
      </c>
    </row>
    <row r="243" spans="1:12" ht="45" x14ac:dyDescent="0.25">
      <c r="A243" t="s">
        <v>37</v>
      </c>
      <c r="B243" t="s">
        <v>648</v>
      </c>
      <c r="C243" t="s">
        <v>28</v>
      </c>
      <c r="D243" t="s">
        <v>528</v>
      </c>
      <c r="E243" t="s">
        <v>79</v>
      </c>
      <c r="F243" t="s">
        <v>40</v>
      </c>
      <c r="G243" t="s">
        <v>32</v>
      </c>
      <c r="H243" t="s">
        <v>87</v>
      </c>
      <c r="I243" s="1" t="s">
        <v>670</v>
      </c>
      <c r="J243" s="1" t="s">
        <v>21</v>
      </c>
      <c r="L243" s="13" t="str">
        <f t="shared" si="3"/>
        <v>09/22/22</v>
      </c>
    </row>
    <row r="244" spans="1:12" ht="45" x14ac:dyDescent="0.25">
      <c r="A244" t="s">
        <v>26</v>
      </c>
      <c r="B244" t="s">
        <v>671</v>
      </c>
      <c r="C244" t="s">
        <v>73</v>
      </c>
      <c r="D244" t="s">
        <v>253</v>
      </c>
      <c r="E244" t="s">
        <v>30</v>
      </c>
      <c r="F244" t="s">
        <v>61</v>
      </c>
      <c r="G244" t="s">
        <v>69</v>
      </c>
      <c r="H244" t="s">
        <v>33</v>
      </c>
      <c r="I244" s="1" t="s">
        <v>672</v>
      </c>
      <c r="J244" s="1" t="s">
        <v>673</v>
      </c>
      <c r="L244" s="13" t="str">
        <f t="shared" si="3"/>
        <v>09/21/22</v>
      </c>
    </row>
    <row r="245" spans="1:12" ht="105" x14ac:dyDescent="0.25">
      <c r="A245" t="s">
        <v>26</v>
      </c>
      <c r="B245" t="s">
        <v>671</v>
      </c>
      <c r="C245" t="s">
        <v>249</v>
      </c>
      <c r="D245" t="s">
        <v>674</v>
      </c>
      <c r="E245" t="s">
        <v>30</v>
      </c>
      <c r="F245" t="s">
        <v>561</v>
      </c>
      <c r="G245" t="s">
        <v>32</v>
      </c>
      <c r="H245" t="s">
        <v>33</v>
      </c>
      <c r="I245" s="1" t="s">
        <v>675</v>
      </c>
      <c r="J245" s="1" t="s">
        <v>426</v>
      </c>
      <c r="L245" s="13" t="str">
        <f t="shared" si="3"/>
        <v>09/21/22</v>
      </c>
    </row>
    <row r="246" spans="1:12" ht="30" x14ac:dyDescent="0.25">
      <c r="A246" t="s">
        <v>26</v>
      </c>
      <c r="B246" t="s">
        <v>671</v>
      </c>
      <c r="C246" t="s">
        <v>96</v>
      </c>
      <c r="D246" t="s">
        <v>676</v>
      </c>
      <c r="E246" t="s">
        <v>30</v>
      </c>
      <c r="F246" t="s">
        <v>140</v>
      </c>
      <c r="G246" t="s">
        <v>32</v>
      </c>
      <c r="H246" t="s">
        <v>173</v>
      </c>
      <c r="I246" s="1" t="s">
        <v>677</v>
      </c>
      <c r="J246" s="1" t="s">
        <v>21</v>
      </c>
      <c r="L246" s="13" t="str">
        <f t="shared" si="3"/>
        <v>09/21/22</v>
      </c>
    </row>
    <row r="247" spans="1:12" ht="105" x14ac:dyDescent="0.25">
      <c r="A247" t="s">
        <v>26</v>
      </c>
      <c r="B247" t="s">
        <v>671</v>
      </c>
      <c r="C247" t="s">
        <v>73</v>
      </c>
      <c r="D247" t="s">
        <v>678</v>
      </c>
      <c r="E247" t="s">
        <v>30</v>
      </c>
      <c r="F247" t="s">
        <v>112</v>
      </c>
      <c r="G247" t="s">
        <v>32</v>
      </c>
      <c r="H247" t="s">
        <v>87</v>
      </c>
      <c r="I247" s="1" t="s">
        <v>679</v>
      </c>
      <c r="J247" s="1" t="s">
        <v>15</v>
      </c>
      <c r="L247" s="13" t="str">
        <f t="shared" si="3"/>
        <v>09/21/22</v>
      </c>
    </row>
    <row r="248" spans="1:12" ht="105" x14ac:dyDescent="0.25">
      <c r="A248" t="s">
        <v>26</v>
      </c>
      <c r="B248" t="s">
        <v>671</v>
      </c>
      <c r="C248" t="s">
        <v>106</v>
      </c>
      <c r="D248" t="s">
        <v>539</v>
      </c>
      <c r="E248" t="s">
        <v>30</v>
      </c>
      <c r="F248" t="s">
        <v>130</v>
      </c>
      <c r="G248" t="s">
        <v>81</v>
      </c>
      <c r="H248" t="s">
        <v>87</v>
      </c>
      <c r="I248" s="1" t="s">
        <v>680</v>
      </c>
      <c r="J248" s="1" t="s">
        <v>436</v>
      </c>
      <c r="L248" s="13" t="str">
        <f t="shared" si="3"/>
        <v>09/21/22</v>
      </c>
    </row>
    <row r="249" spans="1:12" ht="60" x14ac:dyDescent="0.25">
      <c r="A249" t="s">
        <v>26</v>
      </c>
      <c r="B249" t="s">
        <v>671</v>
      </c>
      <c r="C249" t="s">
        <v>249</v>
      </c>
      <c r="D249" t="s">
        <v>657</v>
      </c>
      <c r="E249" t="s">
        <v>30</v>
      </c>
      <c r="F249" t="s">
        <v>681</v>
      </c>
      <c r="G249" t="s">
        <v>32</v>
      </c>
      <c r="H249" t="s">
        <v>33</v>
      </c>
      <c r="I249" s="1" t="s">
        <v>682</v>
      </c>
      <c r="J249" s="1" t="s">
        <v>426</v>
      </c>
      <c r="L249" s="13" t="str">
        <f t="shared" si="3"/>
        <v>09/21/22</v>
      </c>
    </row>
    <row r="250" spans="1:12" ht="75" x14ac:dyDescent="0.25">
      <c r="A250" t="s">
        <v>26</v>
      </c>
      <c r="B250" t="s">
        <v>671</v>
      </c>
      <c r="C250" t="s">
        <v>96</v>
      </c>
      <c r="D250" t="s">
        <v>176</v>
      </c>
      <c r="E250" t="s">
        <v>30</v>
      </c>
      <c r="F250" t="s">
        <v>246</v>
      </c>
      <c r="G250" t="s">
        <v>81</v>
      </c>
      <c r="H250" t="s">
        <v>173</v>
      </c>
      <c r="I250" s="1" t="s">
        <v>683</v>
      </c>
      <c r="J250" s="1" t="s">
        <v>684</v>
      </c>
      <c r="L250" s="13" t="str">
        <f t="shared" si="3"/>
        <v>09/21/22</v>
      </c>
    </row>
    <row r="251" spans="1:12" ht="120" x14ac:dyDescent="0.25">
      <c r="A251" t="s">
        <v>26</v>
      </c>
      <c r="B251" t="s">
        <v>671</v>
      </c>
      <c r="C251" t="s">
        <v>73</v>
      </c>
      <c r="D251" t="s">
        <v>157</v>
      </c>
      <c r="E251" t="s">
        <v>30</v>
      </c>
      <c r="F251" t="s">
        <v>166</v>
      </c>
      <c r="G251" t="s">
        <v>69</v>
      </c>
      <c r="H251" t="s">
        <v>173</v>
      </c>
      <c r="I251" s="1" t="s">
        <v>685</v>
      </c>
      <c r="J251" s="1" t="s">
        <v>686</v>
      </c>
      <c r="L251" s="13" t="str">
        <f t="shared" si="3"/>
        <v>09/21/22</v>
      </c>
    </row>
    <row r="252" spans="1:12" ht="60" x14ac:dyDescent="0.25">
      <c r="A252" t="s">
        <v>26</v>
      </c>
      <c r="B252" t="s">
        <v>671</v>
      </c>
      <c r="C252" t="s">
        <v>50</v>
      </c>
      <c r="D252" t="s">
        <v>569</v>
      </c>
      <c r="E252" t="s">
        <v>30</v>
      </c>
      <c r="F252" t="s">
        <v>205</v>
      </c>
      <c r="G252" t="s">
        <v>81</v>
      </c>
      <c r="H252" t="s">
        <v>87</v>
      </c>
      <c r="I252" s="1" t="s">
        <v>687</v>
      </c>
      <c r="J252" s="1" t="s">
        <v>436</v>
      </c>
      <c r="L252" s="13" t="str">
        <f t="shared" si="3"/>
        <v>09/21/22</v>
      </c>
    </row>
    <row r="253" spans="1:12" ht="105" x14ac:dyDescent="0.25">
      <c r="A253" t="s">
        <v>26</v>
      </c>
      <c r="B253" t="s">
        <v>671</v>
      </c>
      <c r="C253" t="s">
        <v>92</v>
      </c>
      <c r="D253" t="s">
        <v>629</v>
      </c>
      <c r="E253" t="s">
        <v>30</v>
      </c>
      <c r="F253" t="s">
        <v>119</v>
      </c>
      <c r="G253" t="s">
        <v>81</v>
      </c>
      <c r="H253" t="s">
        <v>87</v>
      </c>
      <c r="I253" s="1" t="s">
        <v>688</v>
      </c>
      <c r="J253" s="1" t="s">
        <v>689</v>
      </c>
      <c r="L253" s="13" t="str">
        <f t="shared" si="3"/>
        <v>09/21/22</v>
      </c>
    </row>
    <row r="254" spans="1:12" ht="90" x14ac:dyDescent="0.25">
      <c r="A254" t="s">
        <v>26</v>
      </c>
      <c r="B254" t="s">
        <v>671</v>
      </c>
      <c r="C254" t="s">
        <v>472</v>
      </c>
      <c r="D254" t="s">
        <v>690</v>
      </c>
      <c r="E254" t="s">
        <v>30</v>
      </c>
      <c r="F254" t="s">
        <v>446</v>
      </c>
      <c r="G254" t="s">
        <v>32</v>
      </c>
      <c r="H254" t="s">
        <v>173</v>
      </c>
      <c r="I254" s="1" t="s">
        <v>691</v>
      </c>
      <c r="J254" s="1" t="s">
        <v>16</v>
      </c>
      <c r="L254" s="13" t="str">
        <f t="shared" si="3"/>
        <v>09/21/22</v>
      </c>
    </row>
    <row r="255" spans="1:12" ht="90" x14ac:dyDescent="0.25">
      <c r="A255" t="s">
        <v>26</v>
      </c>
      <c r="B255" t="s">
        <v>671</v>
      </c>
      <c r="C255" t="s">
        <v>92</v>
      </c>
      <c r="D255" t="s">
        <v>692</v>
      </c>
      <c r="E255" t="s">
        <v>30</v>
      </c>
      <c r="F255" t="s">
        <v>46</v>
      </c>
      <c r="G255" t="s">
        <v>32</v>
      </c>
      <c r="H255" t="s">
        <v>33</v>
      </c>
      <c r="I255" s="1" t="s">
        <v>693</v>
      </c>
      <c r="J255" s="1" t="s">
        <v>481</v>
      </c>
      <c r="L255" s="13" t="str">
        <f t="shared" si="3"/>
        <v>09/21/22</v>
      </c>
    </row>
    <row r="256" spans="1:12" ht="30" x14ac:dyDescent="0.25">
      <c r="A256" t="s">
        <v>26</v>
      </c>
      <c r="B256" t="s">
        <v>671</v>
      </c>
      <c r="C256" t="s">
        <v>50</v>
      </c>
      <c r="D256" t="s">
        <v>322</v>
      </c>
      <c r="E256" t="s">
        <v>30</v>
      </c>
      <c r="F256" t="s">
        <v>189</v>
      </c>
      <c r="G256" t="s">
        <v>69</v>
      </c>
      <c r="H256" t="s">
        <v>87</v>
      </c>
      <c r="I256" s="1" t="s">
        <v>694</v>
      </c>
      <c r="J256" s="1" t="s">
        <v>684</v>
      </c>
      <c r="L256" s="13" t="str">
        <f t="shared" si="3"/>
        <v>09/21/22</v>
      </c>
    </row>
    <row r="257" spans="1:12" ht="105" x14ac:dyDescent="0.25">
      <c r="A257" t="s">
        <v>26</v>
      </c>
      <c r="B257" t="s">
        <v>671</v>
      </c>
      <c r="C257" t="s">
        <v>92</v>
      </c>
      <c r="D257" t="s">
        <v>695</v>
      </c>
      <c r="E257" t="s">
        <v>30</v>
      </c>
      <c r="F257" t="s">
        <v>166</v>
      </c>
      <c r="G257" t="s">
        <v>32</v>
      </c>
      <c r="H257" t="s">
        <v>87</v>
      </c>
      <c r="I257" s="1" t="s">
        <v>696</v>
      </c>
      <c r="J257" s="1" t="s">
        <v>697</v>
      </c>
      <c r="L257" s="13" t="str">
        <f t="shared" si="3"/>
        <v>09/21/22</v>
      </c>
    </row>
    <row r="258" spans="1:12" ht="60" x14ac:dyDescent="0.25">
      <c r="A258" t="s">
        <v>26</v>
      </c>
      <c r="B258" t="s">
        <v>671</v>
      </c>
      <c r="C258" t="s">
        <v>180</v>
      </c>
      <c r="D258" t="s">
        <v>698</v>
      </c>
      <c r="E258" t="s">
        <v>30</v>
      </c>
      <c r="F258" t="s">
        <v>119</v>
      </c>
      <c r="G258" t="s">
        <v>69</v>
      </c>
      <c r="H258" t="s">
        <v>33</v>
      </c>
      <c r="I258" s="1" t="s">
        <v>699</v>
      </c>
      <c r="J258" s="1" t="s">
        <v>21</v>
      </c>
      <c r="L258" s="13" t="str">
        <f t="shared" si="3"/>
        <v>09/21/22</v>
      </c>
    </row>
    <row r="259" spans="1:12" ht="105" x14ac:dyDescent="0.25">
      <c r="A259" t="s">
        <v>26</v>
      </c>
      <c r="B259" t="s">
        <v>671</v>
      </c>
      <c r="C259" t="s">
        <v>92</v>
      </c>
      <c r="D259" t="s">
        <v>477</v>
      </c>
      <c r="E259" t="s">
        <v>30</v>
      </c>
      <c r="F259" t="s">
        <v>205</v>
      </c>
      <c r="G259" t="s">
        <v>32</v>
      </c>
      <c r="H259" t="s">
        <v>87</v>
      </c>
      <c r="I259" s="1" t="s">
        <v>700</v>
      </c>
      <c r="J259" s="1" t="s">
        <v>701</v>
      </c>
      <c r="L259" s="13" t="str">
        <f t="shared" ref="L259:L310" si="4">TEXT(+B259, "MM/DD/YY")</f>
        <v>09/21/22</v>
      </c>
    </row>
    <row r="260" spans="1:12" ht="105" x14ac:dyDescent="0.25">
      <c r="A260" t="s">
        <v>26</v>
      </c>
      <c r="B260" t="s">
        <v>671</v>
      </c>
      <c r="C260" t="s">
        <v>32</v>
      </c>
      <c r="D260" t="s">
        <v>208</v>
      </c>
      <c r="E260" t="s">
        <v>30</v>
      </c>
      <c r="F260" t="s">
        <v>294</v>
      </c>
      <c r="G260" t="s">
        <v>69</v>
      </c>
      <c r="H260" t="s">
        <v>173</v>
      </c>
      <c r="I260" s="1" t="s">
        <v>702</v>
      </c>
      <c r="J260" s="1" t="s">
        <v>15</v>
      </c>
      <c r="L260" s="13" t="str">
        <f t="shared" si="4"/>
        <v>09/21/22</v>
      </c>
    </row>
    <row r="261" spans="1:12" ht="60" x14ac:dyDescent="0.25">
      <c r="A261" t="s">
        <v>26</v>
      </c>
      <c r="B261" t="s">
        <v>671</v>
      </c>
      <c r="C261" t="s">
        <v>240</v>
      </c>
      <c r="D261" t="s">
        <v>703</v>
      </c>
      <c r="E261" t="s">
        <v>30</v>
      </c>
      <c r="F261" t="s">
        <v>182</v>
      </c>
      <c r="G261" t="s">
        <v>32</v>
      </c>
      <c r="H261" t="s">
        <v>33</v>
      </c>
      <c r="I261" s="1" t="s">
        <v>704</v>
      </c>
      <c r="J261" s="1" t="s">
        <v>705</v>
      </c>
      <c r="L261" s="13" t="str">
        <f t="shared" si="4"/>
        <v>09/21/22</v>
      </c>
    </row>
    <row r="262" spans="1:12" ht="75" x14ac:dyDescent="0.25">
      <c r="A262" t="s">
        <v>26</v>
      </c>
      <c r="B262" t="s">
        <v>671</v>
      </c>
      <c r="C262" t="s">
        <v>69</v>
      </c>
      <c r="D262" t="s">
        <v>557</v>
      </c>
      <c r="E262" t="s">
        <v>30</v>
      </c>
      <c r="F262" t="s">
        <v>61</v>
      </c>
      <c r="G262" t="s">
        <v>69</v>
      </c>
      <c r="H262" t="s">
        <v>33</v>
      </c>
      <c r="I262" s="1" t="s">
        <v>706</v>
      </c>
      <c r="J262" s="1" t="s">
        <v>707</v>
      </c>
      <c r="L262" s="13" t="str">
        <f t="shared" si="4"/>
        <v>09/21/22</v>
      </c>
    </row>
    <row r="263" spans="1:12" ht="45" x14ac:dyDescent="0.25">
      <c r="A263" t="s">
        <v>26</v>
      </c>
      <c r="B263" t="s">
        <v>671</v>
      </c>
      <c r="C263" t="s">
        <v>106</v>
      </c>
      <c r="D263" t="s">
        <v>107</v>
      </c>
      <c r="E263" t="s">
        <v>79</v>
      </c>
      <c r="F263" t="s">
        <v>119</v>
      </c>
      <c r="G263" t="s">
        <v>32</v>
      </c>
      <c r="H263" t="s">
        <v>33</v>
      </c>
      <c r="I263" s="1" t="s">
        <v>708</v>
      </c>
      <c r="J263" s="1" t="s">
        <v>426</v>
      </c>
      <c r="L263" s="13" t="str">
        <f t="shared" si="4"/>
        <v>09/21/22</v>
      </c>
    </row>
    <row r="264" spans="1:12" ht="105" x14ac:dyDescent="0.25">
      <c r="A264" t="s">
        <v>26</v>
      </c>
      <c r="B264" t="s">
        <v>671</v>
      </c>
      <c r="C264" t="s">
        <v>44</v>
      </c>
      <c r="D264" t="s">
        <v>215</v>
      </c>
      <c r="E264" t="s">
        <v>79</v>
      </c>
      <c r="F264" t="s">
        <v>130</v>
      </c>
      <c r="G264" t="s">
        <v>32</v>
      </c>
      <c r="H264" t="s">
        <v>87</v>
      </c>
      <c r="I264" s="1" t="s">
        <v>709</v>
      </c>
      <c r="J264" s="1" t="s">
        <v>697</v>
      </c>
      <c r="L264" s="13" t="str">
        <f t="shared" si="4"/>
        <v>09/21/22</v>
      </c>
    </row>
    <row r="265" spans="1:12" ht="45" x14ac:dyDescent="0.25">
      <c r="A265" t="s">
        <v>26</v>
      </c>
      <c r="B265" t="s">
        <v>671</v>
      </c>
      <c r="C265" t="s">
        <v>96</v>
      </c>
      <c r="D265" t="s">
        <v>201</v>
      </c>
      <c r="E265" t="s">
        <v>30</v>
      </c>
      <c r="F265" t="s">
        <v>389</v>
      </c>
      <c r="G265" t="s">
        <v>32</v>
      </c>
      <c r="H265" t="s">
        <v>173</v>
      </c>
      <c r="I265" s="1" t="s">
        <v>710</v>
      </c>
      <c r="J265" s="1" t="s">
        <v>701</v>
      </c>
      <c r="L265" s="13" t="str">
        <f t="shared" si="4"/>
        <v>09/21/22</v>
      </c>
    </row>
    <row r="266" spans="1:12" ht="60" x14ac:dyDescent="0.25">
      <c r="A266" t="s">
        <v>26</v>
      </c>
      <c r="B266" t="s">
        <v>671</v>
      </c>
      <c r="C266" t="s">
        <v>69</v>
      </c>
      <c r="D266" t="s">
        <v>507</v>
      </c>
      <c r="E266" t="s">
        <v>30</v>
      </c>
      <c r="F266" t="s">
        <v>189</v>
      </c>
      <c r="G266" t="s">
        <v>69</v>
      </c>
      <c r="H266" t="s">
        <v>87</v>
      </c>
      <c r="I266" s="1" t="s">
        <v>711</v>
      </c>
      <c r="J266" s="1" t="s">
        <v>697</v>
      </c>
      <c r="L266" s="13" t="str">
        <f t="shared" si="4"/>
        <v>09/21/22</v>
      </c>
    </row>
    <row r="267" spans="1:12" ht="60" x14ac:dyDescent="0.25">
      <c r="A267" t="s">
        <v>26</v>
      </c>
      <c r="B267" t="s">
        <v>671</v>
      </c>
      <c r="C267" t="s">
        <v>38</v>
      </c>
      <c r="D267" t="s">
        <v>712</v>
      </c>
      <c r="E267" t="s">
        <v>30</v>
      </c>
      <c r="F267" t="s">
        <v>246</v>
      </c>
      <c r="G267" t="s">
        <v>32</v>
      </c>
      <c r="H267" t="s">
        <v>173</v>
      </c>
      <c r="I267" s="1" t="s">
        <v>713</v>
      </c>
      <c r="J267" s="1" t="s">
        <v>714</v>
      </c>
      <c r="L267" s="13" t="str">
        <f t="shared" si="4"/>
        <v>09/21/22</v>
      </c>
    </row>
    <row r="268" spans="1:12" ht="75" x14ac:dyDescent="0.25">
      <c r="A268" t="s">
        <v>26</v>
      </c>
      <c r="B268" t="s">
        <v>671</v>
      </c>
      <c r="C268" t="s">
        <v>28</v>
      </c>
      <c r="D268" t="s">
        <v>715</v>
      </c>
      <c r="E268" t="s">
        <v>30</v>
      </c>
      <c r="F268" t="s">
        <v>61</v>
      </c>
      <c r="G268" t="s">
        <v>32</v>
      </c>
      <c r="H268" t="s">
        <v>33</v>
      </c>
      <c r="I268" s="1" t="s">
        <v>716</v>
      </c>
      <c r="J268" s="1" t="s">
        <v>717</v>
      </c>
      <c r="L268" s="13" t="str">
        <f t="shared" si="4"/>
        <v>09/21/22</v>
      </c>
    </row>
    <row r="269" spans="1:12" ht="105" x14ac:dyDescent="0.25">
      <c r="A269" t="s">
        <v>26</v>
      </c>
      <c r="B269" t="s">
        <v>671</v>
      </c>
      <c r="C269" t="s">
        <v>38</v>
      </c>
      <c r="D269" t="s">
        <v>718</v>
      </c>
      <c r="E269" t="s">
        <v>30</v>
      </c>
      <c r="F269" t="s">
        <v>719</v>
      </c>
      <c r="G269" t="s">
        <v>81</v>
      </c>
      <c r="H269" t="s">
        <v>87</v>
      </c>
      <c r="I269" s="1" t="s">
        <v>720</v>
      </c>
      <c r="J269" s="1" t="s">
        <v>436</v>
      </c>
      <c r="L269" s="13" t="str">
        <f t="shared" si="4"/>
        <v>09/21/22</v>
      </c>
    </row>
    <row r="270" spans="1:12" ht="30" x14ac:dyDescent="0.25">
      <c r="A270" t="s">
        <v>26</v>
      </c>
      <c r="B270" t="s">
        <v>671</v>
      </c>
      <c r="C270" t="s">
        <v>44</v>
      </c>
      <c r="D270" t="s">
        <v>721</v>
      </c>
      <c r="E270" t="s">
        <v>30</v>
      </c>
      <c r="F270" t="s">
        <v>417</v>
      </c>
      <c r="G270" t="s">
        <v>32</v>
      </c>
      <c r="H270" t="s">
        <v>173</v>
      </c>
      <c r="I270" s="1" t="s">
        <v>722</v>
      </c>
      <c r="J270" s="1" t="s">
        <v>16</v>
      </c>
      <c r="L270" s="13" t="str">
        <f t="shared" si="4"/>
        <v>09/21/22</v>
      </c>
    </row>
    <row r="271" spans="1:12" ht="60" x14ac:dyDescent="0.25">
      <c r="A271" t="s">
        <v>26</v>
      </c>
      <c r="B271" t="s">
        <v>671</v>
      </c>
      <c r="C271" t="s">
        <v>180</v>
      </c>
      <c r="D271" t="s">
        <v>723</v>
      </c>
      <c r="E271" t="s">
        <v>30</v>
      </c>
      <c r="F271" t="s">
        <v>94</v>
      </c>
      <c r="G271" t="s">
        <v>32</v>
      </c>
      <c r="H271" t="s">
        <v>33</v>
      </c>
      <c r="I271" s="1" t="s">
        <v>724</v>
      </c>
      <c r="J271" s="1" t="s">
        <v>17</v>
      </c>
      <c r="L271" s="13" t="str">
        <f t="shared" si="4"/>
        <v>09/21/22</v>
      </c>
    </row>
    <row r="272" spans="1:12" ht="90" x14ac:dyDescent="0.25">
      <c r="A272" t="s">
        <v>49</v>
      </c>
      <c r="B272" t="s">
        <v>671</v>
      </c>
      <c r="C272" t="s">
        <v>235</v>
      </c>
      <c r="D272" t="s">
        <v>327</v>
      </c>
      <c r="E272" t="s">
        <v>30</v>
      </c>
      <c r="F272" t="s">
        <v>205</v>
      </c>
      <c r="G272" t="s">
        <v>32</v>
      </c>
      <c r="H272" t="s">
        <v>87</v>
      </c>
      <c r="I272" s="1" t="s">
        <v>725</v>
      </c>
      <c r="J272" s="1" t="s">
        <v>697</v>
      </c>
      <c r="L272" s="13" t="str">
        <f t="shared" si="4"/>
        <v>09/21/22</v>
      </c>
    </row>
    <row r="273" spans="1:12" ht="60" x14ac:dyDescent="0.25">
      <c r="A273" t="s">
        <v>26</v>
      </c>
      <c r="B273" t="s">
        <v>671</v>
      </c>
      <c r="C273" t="s">
        <v>180</v>
      </c>
      <c r="D273" t="s">
        <v>726</v>
      </c>
      <c r="E273" t="s">
        <v>30</v>
      </c>
      <c r="F273" t="s">
        <v>727</v>
      </c>
      <c r="G273" t="s">
        <v>81</v>
      </c>
      <c r="H273" t="s">
        <v>87</v>
      </c>
      <c r="I273" s="1" t="s">
        <v>728</v>
      </c>
      <c r="J273" s="1" t="s">
        <v>717</v>
      </c>
      <c r="L273" s="13" t="str">
        <f t="shared" si="4"/>
        <v>09/21/22</v>
      </c>
    </row>
    <row r="274" spans="1:12" ht="60" x14ac:dyDescent="0.25">
      <c r="A274" t="s">
        <v>26</v>
      </c>
      <c r="B274" t="s">
        <v>671</v>
      </c>
      <c r="C274" t="s">
        <v>55</v>
      </c>
      <c r="D274" t="s">
        <v>729</v>
      </c>
      <c r="E274" t="s">
        <v>30</v>
      </c>
      <c r="F274" t="s">
        <v>112</v>
      </c>
      <c r="G274" t="s">
        <v>32</v>
      </c>
      <c r="H274" t="s">
        <v>33</v>
      </c>
      <c r="I274" s="1" t="s">
        <v>730</v>
      </c>
      <c r="J274" s="1" t="s">
        <v>426</v>
      </c>
      <c r="L274" s="13" t="str">
        <f t="shared" si="4"/>
        <v>09/21/22</v>
      </c>
    </row>
    <row r="275" spans="1:12" ht="45" x14ac:dyDescent="0.25">
      <c r="A275" t="s">
        <v>26</v>
      </c>
      <c r="B275" t="s">
        <v>671</v>
      </c>
      <c r="C275" t="s">
        <v>69</v>
      </c>
      <c r="D275" t="s">
        <v>507</v>
      </c>
      <c r="E275" t="s">
        <v>30</v>
      </c>
      <c r="F275" t="s">
        <v>98</v>
      </c>
      <c r="G275" t="s">
        <v>69</v>
      </c>
      <c r="H275" t="s">
        <v>87</v>
      </c>
      <c r="I275" s="1" t="s">
        <v>731</v>
      </c>
      <c r="J275" s="1" t="s">
        <v>697</v>
      </c>
      <c r="L275" s="13" t="str">
        <f t="shared" si="4"/>
        <v>09/21/22</v>
      </c>
    </row>
    <row r="276" spans="1:12" ht="45" x14ac:dyDescent="0.25">
      <c r="A276" t="s">
        <v>49</v>
      </c>
      <c r="B276" t="s">
        <v>671</v>
      </c>
      <c r="C276" t="s">
        <v>180</v>
      </c>
      <c r="D276" t="s">
        <v>181</v>
      </c>
      <c r="E276" t="s">
        <v>30</v>
      </c>
      <c r="F276" t="s">
        <v>260</v>
      </c>
      <c r="G276" t="s">
        <v>32</v>
      </c>
      <c r="H276" t="s">
        <v>33</v>
      </c>
      <c r="I276" s="1" t="s">
        <v>732</v>
      </c>
      <c r="J276" s="1" t="s">
        <v>14</v>
      </c>
      <c r="L276" s="13" t="str">
        <f t="shared" si="4"/>
        <v>09/21/22</v>
      </c>
    </row>
    <row r="277" spans="1:12" ht="60" x14ac:dyDescent="0.25">
      <c r="A277" t="s">
        <v>26</v>
      </c>
      <c r="B277" t="s">
        <v>671</v>
      </c>
      <c r="C277" t="s">
        <v>69</v>
      </c>
      <c r="D277" t="s">
        <v>664</v>
      </c>
      <c r="E277" t="s">
        <v>79</v>
      </c>
      <c r="F277" t="s">
        <v>40</v>
      </c>
      <c r="G277" t="s">
        <v>32</v>
      </c>
      <c r="H277" t="s">
        <v>87</v>
      </c>
      <c r="I277" s="1" t="s">
        <v>733</v>
      </c>
      <c r="J277" s="1" t="s">
        <v>16</v>
      </c>
      <c r="L277" s="13" t="str">
        <f t="shared" si="4"/>
        <v>09/21/22</v>
      </c>
    </row>
    <row r="278" spans="1:12" ht="30" x14ac:dyDescent="0.25">
      <c r="A278" t="s">
        <v>49</v>
      </c>
      <c r="B278" t="s">
        <v>671</v>
      </c>
      <c r="C278" t="s">
        <v>249</v>
      </c>
      <c r="D278" t="s">
        <v>734</v>
      </c>
      <c r="E278" t="s">
        <v>30</v>
      </c>
      <c r="F278" t="s">
        <v>154</v>
      </c>
      <c r="G278" t="s">
        <v>69</v>
      </c>
      <c r="H278" t="s">
        <v>173</v>
      </c>
      <c r="I278" s="1" t="s">
        <v>735</v>
      </c>
      <c r="J278" s="1" t="s">
        <v>481</v>
      </c>
      <c r="L278" s="13" t="str">
        <f t="shared" si="4"/>
        <v>09/21/22</v>
      </c>
    </row>
    <row r="279" spans="1:12" ht="45" x14ac:dyDescent="0.25">
      <c r="A279" t="s">
        <v>26</v>
      </c>
      <c r="B279" t="s">
        <v>671</v>
      </c>
      <c r="C279" t="s">
        <v>44</v>
      </c>
      <c r="D279" t="s">
        <v>165</v>
      </c>
      <c r="E279" t="s">
        <v>30</v>
      </c>
      <c r="F279" t="s">
        <v>61</v>
      </c>
      <c r="G279" t="s">
        <v>69</v>
      </c>
      <c r="H279" t="s">
        <v>173</v>
      </c>
      <c r="I279" s="1" t="s">
        <v>736</v>
      </c>
      <c r="J279" s="1" t="s">
        <v>701</v>
      </c>
      <c r="L279" s="13" t="str">
        <f t="shared" si="4"/>
        <v>09/21/22</v>
      </c>
    </row>
    <row r="280" spans="1:12" ht="75" x14ac:dyDescent="0.25">
      <c r="A280" t="s">
        <v>91</v>
      </c>
      <c r="B280" t="s">
        <v>671</v>
      </c>
      <c r="C280" t="s">
        <v>38</v>
      </c>
      <c r="D280" t="s">
        <v>489</v>
      </c>
      <c r="E280" t="s">
        <v>30</v>
      </c>
      <c r="F280" t="s">
        <v>223</v>
      </c>
      <c r="G280" t="s">
        <v>81</v>
      </c>
      <c r="H280" t="s">
        <v>87</v>
      </c>
      <c r="I280" s="1" t="s">
        <v>737</v>
      </c>
      <c r="J280" s="1" t="s">
        <v>738</v>
      </c>
      <c r="L280" s="13" t="str">
        <f t="shared" si="4"/>
        <v>09/21/22</v>
      </c>
    </row>
    <row r="281" spans="1:12" ht="45" x14ac:dyDescent="0.25">
      <c r="A281" t="s">
        <v>26</v>
      </c>
      <c r="B281" t="s">
        <v>671</v>
      </c>
      <c r="C281" t="s">
        <v>44</v>
      </c>
      <c r="D281" t="s">
        <v>215</v>
      </c>
      <c r="E281" t="s">
        <v>30</v>
      </c>
      <c r="F281" t="s">
        <v>119</v>
      </c>
      <c r="G281" t="s">
        <v>32</v>
      </c>
      <c r="H281" t="s">
        <v>173</v>
      </c>
      <c r="I281" s="1" t="s">
        <v>739</v>
      </c>
      <c r="J281" s="1" t="s">
        <v>697</v>
      </c>
      <c r="L281" s="13" t="str">
        <f t="shared" si="4"/>
        <v>09/21/22</v>
      </c>
    </row>
    <row r="282" spans="1:12" ht="75" x14ac:dyDescent="0.25">
      <c r="A282" t="s">
        <v>49</v>
      </c>
      <c r="B282" t="s">
        <v>671</v>
      </c>
      <c r="C282" t="s">
        <v>96</v>
      </c>
      <c r="D282" t="s">
        <v>176</v>
      </c>
      <c r="E282" t="s">
        <v>30</v>
      </c>
      <c r="F282" t="s">
        <v>154</v>
      </c>
      <c r="G282" t="s">
        <v>32</v>
      </c>
      <c r="H282" t="s">
        <v>87</v>
      </c>
      <c r="I282" s="1" t="s">
        <v>740</v>
      </c>
      <c r="J282" s="1" t="s">
        <v>21</v>
      </c>
      <c r="L282" s="13" t="str">
        <f t="shared" si="4"/>
        <v>09/21/22</v>
      </c>
    </row>
    <row r="283" spans="1:12" ht="90" x14ac:dyDescent="0.25">
      <c r="A283" t="s">
        <v>26</v>
      </c>
      <c r="B283" t="s">
        <v>671</v>
      </c>
      <c r="C283" t="s">
        <v>44</v>
      </c>
      <c r="D283" t="s">
        <v>741</v>
      </c>
      <c r="E283" t="s">
        <v>30</v>
      </c>
      <c r="F283" t="s">
        <v>202</v>
      </c>
      <c r="G283" t="s">
        <v>69</v>
      </c>
      <c r="H283" t="s">
        <v>87</v>
      </c>
      <c r="I283" s="1" t="s">
        <v>742</v>
      </c>
      <c r="J283" s="1" t="s">
        <v>697</v>
      </c>
      <c r="L283" s="13" t="str">
        <f t="shared" si="4"/>
        <v>09/21/22</v>
      </c>
    </row>
    <row r="284" spans="1:12" ht="30" x14ac:dyDescent="0.25">
      <c r="A284" t="s">
        <v>37</v>
      </c>
      <c r="B284" t="s">
        <v>671</v>
      </c>
      <c r="C284" t="s">
        <v>73</v>
      </c>
      <c r="D284" t="s">
        <v>743</v>
      </c>
      <c r="E284" t="s">
        <v>30</v>
      </c>
      <c r="F284" t="s">
        <v>130</v>
      </c>
      <c r="G284" t="s">
        <v>69</v>
      </c>
      <c r="H284" t="s">
        <v>173</v>
      </c>
      <c r="I284" s="1" t="s">
        <v>744</v>
      </c>
      <c r="J284" s="1" t="s">
        <v>17</v>
      </c>
      <c r="L284" s="13" t="str">
        <f t="shared" si="4"/>
        <v>09/21/22</v>
      </c>
    </row>
    <row r="285" spans="1:12" ht="105" x14ac:dyDescent="0.25">
      <c r="A285" t="s">
        <v>26</v>
      </c>
      <c r="B285" t="s">
        <v>671</v>
      </c>
      <c r="C285" t="s">
        <v>85</v>
      </c>
      <c r="D285" t="s">
        <v>745</v>
      </c>
      <c r="E285" t="s">
        <v>30</v>
      </c>
      <c r="F285" t="s">
        <v>112</v>
      </c>
      <c r="G285" t="s">
        <v>32</v>
      </c>
      <c r="H285" t="s">
        <v>173</v>
      </c>
      <c r="I285" s="1" t="s">
        <v>746</v>
      </c>
      <c r="J285" s="1" t="s">
        <v>697</v>
      </c>
      <c r="L285" s="13" t="str">
        <f t="shared" si="4"/>
        <v>09/21/22</v>
      </c>
    </row>
    <row r="286" spans="1:12" ht="75" x14ac:dyDescent="0.25">
      <c r="A286" t="s">
        <v>49</v>
      </c>
      <c r="B286" t="s">
        <v>671</v>
      </c>
      <c r="C286" t="s">
        <v>44</v>
      </c>
      <c r="D286" t="s">
        <v>165</v>
      </c>
      <c r="E286" t="s">
        <v>30</v>
      </c>
      <c r="F286" t="s">
        <v>246</v>
      </c>
      <c r="G286" t="s">
        <v>32</v>
      </c>
      <c r="H286" t="s">
        <v>33</v>
      </c>
      <c r="I286" s="1" t="s">
        <v>747</v>
      </c>
      <c r="J286" s="1" t="s">
        <v>748</v>
      </c>
      <c r="L286" s="13" t="str">
        <f t="shared" si="4"/>
        <v>09/21/22</v>
      </c>
    </row>
    <row r="287" spans="1:12" ht="60" x14ac:dyDescent="0.25">
      <c r="A287" t="s">
        <v>49</v>
      </c>
      <c r="B287" t="s">
        <v>671</v>
      </c>
      <c r="C287" t="s">
        <v>55</v>
      </c>
      <c r="D287" t="s">
        <v>382</v>
      </c>
      <c r="E287" t="s">
        <v>30</v>
      </c>
      <c r="F287" t="s">
        <v>154</v>
      </c>
      <c r="G287" t="s">
        <v>69</v>
      </c>
      <c r="H287" t="s">
        <v>87</v>
      </c>
      <c r="I287" s="1" t="s">
        <v>749</v>
      </c>
      <c r="J287" s="1" t="s">
        <v>15</v>
      </c>
      <c r="L287" s="13" t="str">
        <f t="shared" si="4"/>
        <v>09/21/22</v>
      </c>
    </row>
    <row r="288" spans="1:12" ht="45" x14ac:dyDescent="0.25">
      <c r="A288" t="s">
        <v>49</v>
      </c>
      <c r="B288" t="s">
        <v>671</v>
      </c>
      <c r="C288" t="s">
        <v>28</v>
      </c>
      <c r="D288" t="s">
        <v>29</v>
      </c>
      <c r="E288" t="s">
        <v>30</v>
      </c>
      <c r="F288" t="s">
        <v>287</v>
      </c>
      <c r="G288" t="s">
        <v>32</v>
      </c>
      <c r="H288" t="s">
        <v>33</v>
      </c>
      <c r="I288" s="1" t="s">
        <v>750</v>
      </c>
      <c r="J288" s="1" t="s">
        <v>426</v>
      </c>
      <c r="L288" s="13" t="str">
        <f t="shared" si="4"/>
        <v>09/21/22</v>
      </c>
    </row>
    <row r="289" spans="1:12" ht="90" x14ac:dyDescent="0.25">
      <c r="A289" t="s">
        <v>26</v>
      </c>
      <c r="B289" t="s">
        <v>671</v>
      </c>
      <c r="C289" t="s">
        <v>28</v>
      </c>
      <c r="D289" t="s">
        <v>751</v>
      </c>
      <c r="E289" t="s">
        <v>30</v>
      </c>
      <c r="F289" t="s">
        <v>112</v>
      </c>
      <c r="G289" t="s">
        <v>69</v>
      </c>
      <c r="H289" t="s">
        <v>173</v>
      </c>
      <c r="I289" s="1" t="s">
        <v>752</v>
      </c>
      <c r="J289" s="1" t="s">
        <v>753</v>
      </c>
      <c r="L289" s="13" t="str">
        <f t="shared" si="4"/>
        <v>09/21/22</v>
      </c>
    </row>
    <row r="290" spans="1:12" ht="45" x14ac:dyDescent="0.25">
      <c r="A290" t="s">
        <v>91</v>
      </c>
      <c r="B290" t="s">
        <v>671</v>
      </c>
      <c r="C290" t="s">
        <v>44</v>
      </c>
      <c r="D290" t="s">
        <v>754</v>
      </c>
      <c r="E290" t="s">
        <v>30</v>
      </c>
      <c r="F290" t="s">
        <v>102</v>
      </c>
      <c r="G290" t="s">
        <v>69</v>
      </c>
      <c r="H290" t="s">
        <v>33</v>
      </c>
      <c r="I290" s="1" t="s">
        <v>755</v>
      </c>
      <c r="J290" s="1" t="s">
        <v>426</v>
      </c>
      <c r="L290" s="13" t="str">
        <f t="shared" si="4"/>
        <v>09/21/22</v>
      </c>
    </row>
    <row r="291" spans="1:12" ht="45" x14ac:dyDescent="0.25">
      <c r="A291" t="s">
        <v>59</v>
      </c>
      <c r="B291" t="s">
        <v>671</v>
      </c>
      <c r="C291" t="s">
        <v>28</v>
      </c>
      <c r="D291" t="s">
        <v>756</v>
      </c>
      <c r="E291" t="s">
        <v>30</v>
      </c>
      <c r="F291" t="s">
        <v>46</v>
      </c>
      <c r="G291" t="s">
        <v>32</v>
      </c>
      <c r="H291" t="s">
        <v>33</v>
      </c>
      <c r="I291" s="1" t="s">
        <v>757</v>
      </c>
      <c r="J291" s="1" t="s">
        <v>426</v>
      </c>
      <c r="L291" s="13" t="str">
        <f t="shared" si="4"/>
        <v>09/21/22</v>
      </c>
    </row>
    <row r="292" spans="1:12" ht="90" x14ac:dyDescent="0.25">
      <c r="A292" t="s">
        <v>37</v>
      </c>
      <c r="B292" t="s">
        <v>671</v>
      </c>
      <c r="C292" t="s">
        <v>249</v>
      </c>
      <c r="D292" t="s">
        <v>758</v>
      </c>
      <c r="E292" t="s">
        <v>79</v>
      </c>
      <c r="F292" t="s">
        <v>681</v>
      </c>
      <c r="G292" t="s">
        <v>69</v>
      </c>
      <c r="H292" t="s">
        <v>87</v>
      </c>
      <c r="I292" s="1" t="s">
        <v>759</v>
      </c>
      <c r="J292" s="1" t="s">
        <v>697</v>
      </c>
      <c r="L292" s="13" t="str">
        <f t="shared" si="4"/>
        <v>09/21/22</v>
      </c>
    </row>
    <row r="293" spans="1:12" ht="75" x14ac:dyDescent="0.25">
      <c r="A293" t="s">
        <v>26</v>
      </c>
      <c r="B293" t="s">
        <v>671</v>
      </c>
      <c r="C293" t="s">
        <v>55</v>
      </c>
      <c r="D293" t="s">
        <v>729</v>
      </c>
      <c r="E293" t="s">
        <v>30</v>
      </c>
      <c r="F293" t="s">
        <v>119</v>
      </c>
      <c r="G293" t="s">
        <v>32</v>
      </c>
      <c r="H293" t="s">
        <v>33</v>
      </c>
      <c r="I293" s="1" t="s">
        <v>760</v>
      </c>
      <c r="J293" s="1" t="s">
        <v>689</v>
      </c>
      <c r="L293" s="13" t="str">
        <f t="shared" si="4"/>
        <v>09/21/22</v>
      </c>
    </row>
    <row r="294" spans="1:12" ht="75" x14ac:dyDescent="0.25">
      <c r="A294" t="s">
        <v>37</v>
      </c>
      <c r="B294" t="s">
        <v>671</v>
      </c>
      <c r="C294" t="s">
        <v>28</v>
      </c>
      <c r="D294" t="s">
        <v>344</v>
      </c>
      <c r="E294" t="s">
        <v>30</v>
      </c>
      <c r="F294" t="s">
        <v>216</v>
      </c>
      <c r="G294" t="s">
        <v>81</v>
      </c>
      <c r="H294" t="s">
        <v>87</v>
      </c>
      <c r="I294" s="1" t="s">
        <v>761</v>
      </c>
      <c r="J294" s="1" t="s">
        <v>436</v>
      </c>
      <c r="L294" s="13" t="str">
        <f t="shared" si="4"/>
        <v>09/21/22</v>
      </c>
    </row>
    <row r="295" spans="1:12" ht="45" x14ac:dyDescent="0.25">
      <c r="A295" t="s">
        <v>37</v>
      </c>
      <c r="B295" t="s">
        <v>671</v>
      </c>
      <c r="C295" t="s">
        <v>73</v>
      </c>
      <c r="D295" t="s">
        <v>455</v>
      </c>
      <c r="E295" t="s">
        <v>30</v>
      </c>
      <c r="F295" t="s">
        <v>119</v>
      </c>
      <c r="G295" t="s">
        <v>81</v>
      </c>
      <c r="H295" t="s">
        <v>87</v>
      </c>
      <c r="I295" s="1" t="s">
        <v>762</v>
      </c>
      <c r="J295" s="1" t="s">
        <v>436</v>
      </c>
      <c r="L295" s="13" t="str">
        <f t="shared" si="4"/>
        <v>09/21/22</v>
      </c>
    </row>
    <row r="296" spans="1:12" ht="75" x14ac:dyDescent="0.25">
      <c r="A296" t="s">
        <v>49</v>
      </c>
      <c r="B296" t="s">
        <v>671</v>
      </c>
      <c r="C296" t="s">
        <v>28</v>
      </c>
      <c r="D296" t="s">
        <v>763</v>
      </c>
      <c r="E296" t="s">
        <v>30</v>
      </c>
      <c r="F296" t="s">
        <v>94</v>
      </c>
      <c r="G296" t="s">
        <v>32</v>
      </c>
      <c r="H296" t="s">
        <v>87</v>
      </c>
      <c r="I296" s="1" t="s">
        <v>764</v>
      </c>
      <c r="J296" s="1" t="s">
        <v>436</v>
      </c>
      <c r="L296" s="13" t="str">
        <f t="shared" si="4"/>
        <v>09/21/22</v>
      </c>
    </row>
    <row r="297" spans="1:12" ht="30" x14ac:dyDescent="0.25">
      <c r="A297" t="s">
        <v>37</v>
      </c>
      <c r="B297" t="s">
        <v>671</v>
      </c>
      <c r="C297" t="s">
        <v>69</v>
      </c>
      <c r="D297" t="s">
        <v>765</v>
      </c>
      <c r="E297" t="s">
        <v>30</v>
      </c>
      <c r="F297" t="s">
        <v>98</v>
      </c>
      <c r="G297" t="s">
        <v>32</v>
      </c>
      <c r="H297" t="s">
        <v>87</v>
      </c>
      <c r="I297" s="1" t="s">
        <v>766</v>
      </c>
      <c r="J297" s="1" t="s">
        <v>697</v>
      </c>
      <c r="L297" s="13" t="str">
        <f t="shared" si="4"/>
        <v>09/21/22</v>
      </c>
    </row>
    <row r="298" spans="1:12" ht="105" x14ac:dyDescent="0.25">
      <c r="A298" t="s">
        <v>37</v>
      </c>
      <c r="B298" t="s">
        <v>671</v>
      </c>
      <c r="C298" t="s">
        <v>240</v>
      </c>
      <c r="D298" t="s">
        <v>767</v>
      </c>
      <c r="E298" t="s">
        <v>30</v>
      </c>
      <c r="F298" t="s">
        <v>417</v>
      </c>
      <c r="G298" t="s">
        <v>69</v>
      </c>
      <c r="H298" t="s">
        <v>87</v>
      </c>
      <c r="I298" s="1" t="s">
        <v>768</v>
      </c>
      <c r="J298" s="1" t="s">
        <v>481</v>
      </c>
      <c r="L298" s="13" t="str">
        <f t="shared" si="4"/>
        <v>09/21/22</v>
      </c>
    </row>
    <row r="299" spans="1:12" ht="105" x14ac:dyDescent="0.25">
      <c r="A299" t="s">
        <v>37</v>
      </c>
      <c r="B299" t="s">
        <v>671</v>
      </c>
      <c r="C299" t="s">
        <v>96</v>
      </c>
      <c r="D299" t="s">
        <v>769</v>
      </c>
      <c r="E299" t="s">
        <v>30</v>
      </c>
      <c r="F299" t="s">
        <v>260</v>
      </c>
      <c r="G299" t="s">
        <v>263</v>
      </c>
      <c r="H299" t="s">
        <v>87</v>
      </c>
      <c r="I299" s="1" t="s">
        <v>770</v>
      </c>
      <c r="J299" s="1" t="s">
        <v>717</v>
      </c>
      <c r="L299" s="13" t="str">
        <f t="shared" si="4"/>
        <v>09/21/22</v>
      </c>
    </row>
    <row r="300" spans="1:12" ht="30" x14ac:dyDescent="0.25">
      <c r="A300" t="s">
        <v>37</v>
      </c>
      <c r="B300" t="s">
        <v>671</v>
      </c>
      <c r="C300" t="s">
        <v>50</v>
      </c>
      <c r="D300" t="s">
        <v>226</v>
      </c>
      <c r="E300" t="s">
        <v>30</v>
      </c>
      <c r="F300" t="s">
        <v>446</v>
      </c>
      <c r="G300" t="s">
        <v>32</v>
      </c>
      <c r="H300" t="s">
        <v>87</v>
      </c>
      <c r="I300" s="1" t="s">
        <v>771</v>
      </c>
      <c r="J300" s="1" t="s">
        <v>21</v>
      </c>
      <c r="L300" s="13" t="str">
        <f t="shared" si="4"/>
        <v>09/21/22</v>
      </c>
    </row>
    <row r="301" spans="1:12" ht="45" x14ac:dyDescent="0.25">
      <c r="A301" t="s">
        <v>37</v>
      </c>
      <c r="B301" t="s">
        <v>671</v>
      </c>
      <c r="C301" t="s">
        <v>55</v>
      </c>
      <c r="D301" t="s">
        <v>78</v>
      </c>
      <c r="E301" t="s">
        <v>30</v>
      </c>
      <c r="F301" t="s">
        <v>94</v>
      </c>
      <c r="G301" t="s">
        <v>32</v>
      </c>
      <c r="H301" t="s">
        <v>33</v>
      </c>
      <c r="I301" s="1" t="s">
        <v>772</v>
      </c>
      <c r="J301" s="1" t="s">
        <v>426</v>
      </c>
      <c r="L301" s="13" t="str">
        <f t="shared" si="4"/>
        <v>09/21/22</v>
      </c>
    </row>
    <row r="302" spans="1:12" ht="45" x14ac:dyDescent="0.25">
      <c r="A302" t="s">
        <v>26</v>
      </c>
      <c r="B302" t="s">
        <v>773</v>
      </c>
      <c r="C302" t="s">
        <v>249</v>
      </c>
      <c r="D302" t="s">
        <v>774</v>
      </c>
      <c r="E302" t="s">
        <v>30</v>
      </c>
      <c r="F302" t="s">
        <v>154</v>
      </c>
      <c r="G302" t="s">
        <v>32</v>
      </c>
      <c r="H302" t="s">
        <v>33</v>
      </c>
      <c r="I302" s="1" t="s">
        <v>775</v>
      </c>
      <c r="J302" s="1" t="s">
        <v>426</v>
      </c>
      <c r="L302" s="13" t="str">
        <f t="shared" si="4"/>
        <v>09/20/22</v>
      </c>
    </row>
    <row r="303" spans="1:12" ht="45" x14ac:dyDescent="0.25">
      <c r="A303" t="s">
        <v>26</v>
      </c>
      <c r="B303" t="s">
        <v>773</v>
      </c>
      <c r="C303" t="s">
        <v>249</v>
      </c>
      <c r="D303" t="s">
        <v>776</v>
      </c>
      <c r="E303" t="s">
        <v>30</v>
      </c>
      <c r="F303" t="s">
        <v>189</v>
      </c>
      <c r="G303" t="s">
        <v>81</v>
      </c>
      <c r="H303" t="s">
        <v>87</v>
      </c>
      <c r="I303" s="1" t="s">
        <v>777</v>
      </c>
      <c r="J303" s="1" t="s">
        <v>717</v>
      </c>
      <c r="L303" s="13" t="str">
        <f t="shared" si="4"/>
        <v>09/20/22</v>
      </c>
    </row>
    <row r="304" spans="1:12" ht="75" x14ac:dyDescent="0.25">
      <c r="A304" t="s">
        <v>26</v>
      </c>
      <c r="B304" t="s">
        <v>773</v>
      </c>
      <c r="C304" t="s">
        <v>263</v>
      </c>
      <c r="D304" t="s">
        <v>264</v>
      </c>
      <c r="E304" t="s">
        <v>30</v>
      </c>
      <c r="F304" t="s">
        <v>223</v>
      </c>
      <c r="G304" t="s">
        <v>81</v>
      </c>
      <c r="H304" t="s">
        <v>173</v>
      </c>
      <c r="I304" s="1" t="s">
        <v>778</v>
      </c>
      <c r="J304" s="1" t="s">
        <v>17</v>
      </c>
      <c r="L304" s="13" t="str">
        <f t="shared" si="4"/>
        <v>09/20/22</v>
      </c>
    </row>
    <row r="305" spans="1:12" ht="120" x14ac:dyDescent="0.25">
      <c r="A305" t="s">
        <v>26</v>
      </c>
      <c r="B305" t="s">
        <v>773</v>
      </c>
      <c r="C305" t="s">
        <v>106</v>
      </c>
      <c r="D305" t="s">
        <v>779</v>
      </c>
      <c r="E305" t="s">
        <v>30</v>
      </c>
      <c r="F305" t="s">
        <v>287</v>
      </c>
      <c r="G305" t="s">
        <v>32</v>
      </c>
      <c r="H305" t="s">
        <v>173</v>
      </c>
      <c r="I305" s="1" t="s">
        <v>780</v>
      </c>
      <c r="J305" s="1" t="s">
        <v>781</v>
      </c>
      <c r="L305" s="13" t="str">
        <f t="shared" si="4"/>
        <v>09/20/22</v>
      </c>
    </row>
    <row r="306" spans="1:12" ht="120" x14ac:dyDescent="0.25">
      <c r="A306" t="s">
        <v>26</v>
      </c>
      <c r="B306" t="s">
        <v>773</v>
      </c>
      <c r="C306" t="s">
        <v>249</v>
      </c>
      <c r="D306" t="s">
        <v>355</v>
      </c>
      <c r="E306" t="s">
        <v>79</v>
      </c>
      <c r="F306" t="s">
        <v>202</v>
      </c>
      <c r="G306" t="s">
        <v>263</v>
      </c>
      <c r="H306" t="s">
        <v>87</v>
      </c>
      <c r="I306" s="1" t="s">
        <v>782</v>
      </c>
      <c r="J306" s="1" t="s">
        <v>104</v>
      </c>
      <c r="L306" s="13" t="str">
        <f t="shared" si="4"/>
        <v>09/20/22</v>
      </c>
    </row>
    <row r="307" spans="1:12" ht="30" x14ac:dyDescent="0.25">
      <c r="A307" t="s">
        <v>26</v>
      </c>
      <c r="B307" t="s">
        <v>773</v>
      </c>
      <c r="C307" t="s">
        <v>73</v>
      </c>
      <c r="D307" t="s">
        <v>157</v>
      </c>
      <c r="E307" t="s">
        <v>30</v>
      </c>
      <c r="F307" t="s">
        <v>136</v>
      </c>
      <c r="G307" t="s">
        <v>69</v>
      </c>
      <c r="H307" t="s">
        <v>173</v>
      </c>
      <c r="I307" s="1" t="s">
        <v>783</v>
      </c>
      <c r="J307" s="1" t="s">
        <v>784</v>
      </c>
      <c r="L307" s="13" t="str">
        <f t="shared" si="4"/>
        <v>09/20/22</v>
      </c>
    </row>
    <row r="308" spans="1:12" ht="75" x14ac:dyDescent="0.25">
      <c r="A308" t="s">
        <v>26</v>
      </c>
      <c r="B308" t="s">
        <v>773</v>
      </c>
      <c r="C308" t="s">
        <v>249</v>
      </c>
      <c r="D308" t="s">
        <v>657</v>
      </c>
      <c r="E308" t="s">
        <v>30</v>
      </c>
      <c r="F308" t="s">
        <v>112</v>
      </c>
      <c r="G308" t="s">
        <v>69</v>
      </c>
      <c r="H308" t="s">
        <v>87</v>
      </c>
      <c r="I308" s="1" t="s">
        <v>785</v>
      </c>
      <c r="J308" s="1" t="s">
        <v>701</v>
      </c>
      <c r="L308" s="13" t="str">
        <f t="shared" si="4"/>
        <v>09/20/22</v>
      </c>
    </row>
    <row r="309" spans="1:12" ht="45" x14ac:dyDescent="0.25">
      <c r="A309" t="s">
        <v>26</v>
      </c>
      <c r="B309" t="s">
        <v>773</v>
      </c>
      <c r="C309" t="s">
        <v>96</v>
      </c>
      <c r="D309" t="s">
        <v>201</v>
      </c>
      <c r="E309" t="s">
        <v>30</v>
      </c>
      <c r="F309" t="s">
        <v>786</v>
      </c>
      <c r="G309" t="s">
        <v>69</v>
      </c>
      <c r="H309" t="s">
        <v>173</v>
      </c>
      <c r="I309" s="1" t="s">
        <v>787</v>
      </c>
      <c r="J309" s="1" t="s">
        <v>697</v>
      </c>
      <c r="L309" s="13" t="str">
        <f t="shared" si="4"/>
        <v>09/20/22</v>
      </c>
    </row>
    <row r="310" spans="1:12" ht="90" x14ac:dyDescent="0.25">
      <c r="A310" t="s">
        <v>26</v>
      </c>
      <c r="B310" t="s">
        <v>773</v>
      </c>
      <c r="C310" t="s">
        <v>240</v>
      </c>
      <c r="D310" t="s">
        <v>703</v>
      </c>
      <c r="E310" t="s">
        <v>30</v>
      </c>
      <c r="F310" t="s">
        <v>189</v>
      </c>
      <c r="G310" t="s">
        <v>32</v>
      </c>
      <c r="H310" t="s">
        <v>87</v>
      </c>
      <c r="I310" s="1" t="s">
        <v>788</v>
      </c>
      <c r="J310" s="1" t="s">
        <v>15</v>
      </c>
      <c r="L310" s="13" t="str">
        <f t="shared" si="4"/>
        <v>09/20/22</v>
      </c>
    </row>
    <row r="311" spans="1:12" ht="30" x14ac:dyDescent="0.25">
      <c r="A311" t="s">
        <v>26</v>
      </c>
      <c r="B311" t="s">
        <v>773</v>
      </c>
      <c r="C311" t="s">
        <v>106</v>
      </c>
      <c r="D311" t="s">
        <v>789</v>
      </c>
      <c r="E311" t="s">
        <v>30</v>
      </c>
      <c r="F311" t="s">
        <v>446</v>
      </c>
      <c r="G311" t="s">
        <v>32</v>
      </c>
      <c r="H311" t="s">
        <v>173</v>
      </c>
      <c r="I311" s="1" t="s">
        <v>790</v>
      </c>
      <c r="J311" s="1" t="s">
        <v>15</v>
      </c>
      <c r="L311" s="13" t="str">
        <f t="shared" ref="L311:L322" si="5">+B311</f>
        <v>2022-09-20</v>
      </c>
    </row>
    <row r="312" spans="1:12" ht="30" x14ac:dyDescent="0.25">
      <c r="A312" t="s">
        <v>26</v>
      </c>
      <c r="B312" t="s">
        <v>773</v>
      </c>
      <c r="C312" t="s">
        <v>249</v>
      </c>
      <c r="D312" t="s">
        <v>657</v>
      </c>
      <c r="E312" t="s">
        <v>30</v>
      </c>
      <c r="F312" t="s">
        <v>112</v>
      </c>
      <c r="G312" t="s">
        <v>32</v>
      </c>
      <c r="H312" t="s">
        <v>87</v>
      </c>
      <c r="I312" s="1" t="s">
        <v>791</v>
      </c>
      <c r="J312" s="1" t="s">
        <v>697</v>
      </c>
      <c r="L312" s="13" t="str">
        <f t="shared" si="5"/>
        <v>2022-09-20</v>
      </c>
    </row>
    <row r="313" spans="1:12" ht="60" x14ac:dyDescent="0.25">
      <c r="A313" t="s">
        <v>26</v>
      </c>
      <c r="B313" t="s">
        <v>773</v>
      </c>
      <c r="C313" t="s">
        <v>38</v>
      </c>
      <c r="D313" t="s">
        <v>792</v>
      </c>
      <c r="E313" t="s">
        <v>30</v>
      </c>
      <c r="F313" t="s">
        <v>80</v>
      </c>
      <c r="G313" t="s">
        <v>32</v>
      </c>
      <c r="H313" t="s">
        <v>33</v>
      </c>
      <c r="I313" s="1" t="s">
        <v>793</v>
      </c>
      <c r="J313" s="1" t="s">
        <v>426</v>
      </c>
      <c r="L313" s="13" t="str">
        <f t="shared" si="5"/>
        <v>2022-09-20</v>
      </c>
    </row>
    <row r="314" spans="1:12" ht="105" x14ac:dyDescent="0.25">
      <c r="A314" t="s">
        <v>26</v>
      </c>
      <c r="B314" t="s">
        <v>773</v>
      </c>
      <c r="C314" t="s">
        <v>106</v>
      </c>
      <c r="D314" t="s">
        <v>794</v>
      </c>
      <c r="E314" t="s">
        <v>30</v>
      </c>
      <c r="F314" t="s">
        <v>189</v>
      </c>
      <c r="G314" t="s">
        <v>32</v>
      </c>
      <c r="H314" t="s">
        <v>33</v>
      </c>
      <c r="I314" s="1" t="s">
        <v>795</v>
      </c>
      <c r="J314" s="1" t="s">
        <v>796</v>
      </c>
      <c r="L314" s="13" t="str">
        <f t="shared" si="5"/>
        <v>2022-09-20</v>
      </c>
    </row>
    <row r="315" spans="1:12" ht="45" x14ac:dyDescent="0.25">
      <c r="A315" t="s">
        <v>26</v>
      </c>
      <c r="B315" t="s">
        <v>773</v>
      </c>
      <c r="C315" t="s">
        <v>472</v>
      </c>
      <c r="D315" t="s">
        <v>473</v>
      </c>
      <c r="E315" t="s">
        <v>30</v>
      </c>
      <c r="F315" t="s">
        <v>182</v>
      </c>
      <c r="G315" t="s">
        <v>69</v>
      </c>
      <c r="H315" t="s">
        <v>87</v>
      </c>
      <c r="I315" s="1" t="s">
        <v>797</v>
      </c>
      <c r="J315" s="1" t="s">
        <v>21</v>
      </c>
      <c r="L315" s="13" t="str">
        <f t="shared" si="5"/>
        <v>2022-09-20</v>
      </c>
    </row>
    <row r="316" spans="1:12" ht="75" x14ac:dyDescent="0.25">
      <c r="A316" t="s">
        <v>26</v>
      </c>
      <c r="B316" t="s">
        <v>773</v>
      </c>
      <c r="C316" t="s">
        <v>73</v>
      </c>
      <c r="D316" t="s">
        <v>798</v>
      </c>
      <c r="E316" t="s">
        <v>30</v>
      </c>
      <c r="F316" t="s">
        <v>205</v>
      </c>
      <c r="G316" t="s">
        <v>81</v>
      </c>
      <c r="H316" t="s">
        <v>87</v>
      </c>
      <c r="I316" s="1" t="s">
        <v>799</v>
      </c>
      <c r="J316" s="1" t="s">
        <v>800</v>
      </c>
      <c r="L316" s="13" t="str">
        <f t="shared" si="5"/>
        <v>2022-09-20</v>
      </c>
    </row>
    <row r="317" spans="1:12" ht="60" x14ac:dyDescent="0.25">
      <c r="A317" t="s">
        <v>26</v>
      </c>
      <c r="B317" t="s">
        <v>773</v>
      </c>
      <c r="C317" t="s">
        <v>50</v>
      </c>
      <c r="D317" t="s">
        <v>801</v>
      </c>
      <c r="E317" t="s">
        <v>30</v>
      </c>
      <c r="F317" t="s">
        <v>189</v>
      </c>
      <c r="G317" t="s">
        <v>32</v>
      </c>
      <c r="H317" t="s">
        <v>173</v>
      </c>
      <c r="I317" s="1" t="s">
        <v>802</v>
      </c>
      <c r="J317" s="1" t="s">
        <v>481</v>
      </c>
      <c r="L317" s="13" t="str">
        <f t="shared" si="5"/>
        <v>2022-09-20</v>
      </c>
    </row>
    <row r="318" spans="1:12" ht="105" x14ac:dyDescent="0.25">
      <c r="A318" t="s">
        <v>26</v>
      </c>
      <c r="B318" t="s">
        <v>773</v>
      </c>
      <c r="C318" t="s">
        <v>106</v>
      </c>
      <c r="D318" t="s">
        <v>803</v>
      </c>
      <c r="E318" t="s">
        <v>30</v>
      </c>
      <c r="F318" t="s">
        <v>154</v>
      </c>
      <c r="G318" t="s">
        <v>32</v>
      </c>
      <c r="H318" t="s">
        <v>87</v>
      </c>
      <c r="I318" s="1" t="s">
        <v>804</v>
      </c>
      <c r="J318" s="1" t="s">
        <v>436</v>
      </c>
      <c r="L318" s="13" t="str">
        <f t="shared" si="5"/>
        <v>2022-09-20</v>
      </c>
    </row>
    <row r="319" spans="1:12" ht="105" x14ac:dyDescent="0.25">
      <c r="A319" t="s">
        <v>26</v>
      </c>
      <c r="B319" t="s">
        <v>773</v>
      </c>
      <c r="C319" t="s">
        <v>50</v>
      </c>
      <c r="D319" t="s">
        <v>569</v>
      </c>
      <c r="E319" t="s">
        <v>30</v>
      </c>
      <c r="F319" t="s">
        <v>189</v>
      </c>
      <c r="G319" t="s">
        <v>69</v>
      </c>
      <c r="H319" t="s">
        <v>87</v>
      </c>
      <c r="I319" s="1" t="s">
        <v>805</v>
      </c>
      <c r="J319" s="1" t="s">
        <v>806</v>
      </c>
      <c r="L319" s="13" t="str">
        <f t="shared" si="5"/>
        <v>2022-09-20</v>
      </c>
    </row>
    <row r="320" spans="1:12" ht="30" x14ac:dyDescent="0.25">
      <c r="A320" t="s">
        <v>26</v>
      </c>
      <c r="B320" t="s">
        <v>773</v>
      </c>
      <c r="C320" t="s">
        <v>106</v>
      </c>
      <c r="D320" t="s">
        <v>807</v>
      </c>
      <c r="E320" t="s">
        <v>79</v>
      </c>
      <c r="F320" t="s">
        <v>808</v>
      </c>
      <c r="G320" t="s">
        <v>32</v>
      </c>
      <c r="H320" t="s">
        <v>33</v>
      </c>
      <c r="I320" s="1" t="s">
        <v>809</v>
      </c>
      <c r="J320" s="1" t="s">
        <v>426</v>
      </c>
      <c r="L320" s="13" t="str">
        <f t="shared" si="5"/>
        <v>2022-09-20</v>
      </c>
    </row>
    <row r="321" spans="1:12" ht="105" x14ac:dyDescent="0.25">
      <c r="A321" t="s">
        <v>26</v>
      </c>
      <c r="B321" t="s">
        <v>773</v>
      </c>
      <c r="C321" t="s">
        <v>50</v>
      </c>
      <c r="D321" t="s">
        <v>810</v>
      </c>
      <c r="E321" t="s">
        <v>30</v>
      </c>
      <c r="F321" t="s">
        <v>61</v>
      </c>
      <c r="G321" t="s">
        <v>32</v>
      </c>
      <c r="H321" t="s">
        <v>87</v>
      </c>
      <c r="I321" s="1" t="s">
        <v>811</v>
      </c>
      <c r="J321" s="1" t="s">
        <v>717</v>
      </c>
      <c r="L321" s="13" t="str">
        <f t="shared" si="5"/>
        <v>2022-09-20</v>
      </c>
    </row>
    <row r="322" spans="1:12" ht="60" x14ac:dyDescent="0.25">
      <c r="A322" t="s">
        <v>26</v>
      </c>
      <c r="B322" t="s">
        <v>773</v>
      </c>
      <c r="C322" t="s">
        <v>472</v>
      </c>
      <c r="D322" t="s">
        <v>812</v>
      </c>
      <c r="E322" t="s">
        <v>30</v>
      </c>
      <c r="F322" t="s">
        <v>182</v>
      </c>
      <c r="G322" t="s">
        <v>69</v>
      </c>
      <c r="H322" t="s">
        <v>87</v>
      </c>
      <c r="I322" s="1" t="s">
        <v>813</v>
      </c>
      <c r="J322" s="1" t="s">
        <v>738</v>
      </c>
      <c r="L322" s="13" t="str">
        <f t="shared" si="5"/>
        <v>2022-09-20</v>
      </c>
    </row>
    <row r="323" spans="1:12" ht="30" x14ac:dyDescent="0.25">
      <c r="A323" t="s">
        <v>26</v>
      </c>
      <c r="B323" t="s">
        <v>773</v>
      </c>
      <c r="C323" t="s">
        <v>32</v>
      </c>
      <c r="D323" t="s">
        <v>814</v>
      </c>
      <c r="E323" t="s">
        <v>30</v>
      </c>
      <c r="F323" t="s">
        <v>290</v>
      </c>
      <c r="G323" t="s">
        <v>69</v>
      </c>
      <c r="H323" t="s">
        <v>87</v>
      </c>
      <c r="I323" s="1" t="s">
        <v>815</v>
      </c>
      <c r="J323" s="1" t="s">
        <v>426</v>
      </c>
      <c r="L323" s="13" t="str">
        <f t="shared" ref="L323:L386" si="6">+B323</f>
        <v>2022-09-20</v>
      </c>
    </row>
    <row r="324" spans="1:12" ht="60" x14ac:dyDescent="0.25">
      <c r="A324" t="s">
        <v>26</v>
      </c>
      <c r="B324" t="s">
        <v>773</v>
      </c>
      <c r="C324" t="s">
        <v>106</v>
      </c>
      <c r="D324" t="s">
        <v>539</v>
      </c>
      <c r="E324" t="s">
        <v>30</v>
      </c>
      <c r="F324" t="s">
        <v>189</v>
      </c>
      <c r="G324" t="s">
        <v>69</v>
      </c>
      <c r="H324" t="s">
        <v>87</v>
      </c>
      <c r="I324" s="1" t="s">
        <v>816</v>
      </c>
      <c r="J324" s="1" t="s">
        <v>89</v>
      </c>
      <c r="L324" s="13" t="str">
        <f t="shared" si="6"/>
        <v>2022-09-20</v>
      </c>
    </row>
    <row r="325" spans="1:12" ht="120" x14ac:dyDescent="0.25">
      <c r="A325" t="s">
        <v>26</v>
      </c>
      <c r="B325" t="s">
        <v>773</v>
      </c>
      <c r="C325" t="s">
        <v>50</v>
      </c>
      <c r="D325" t="s">
        <v>817</v>
      </c>
      <c r="E325" t="s">
        <v>30</v>
      </c>
      <c r="F325" t="s">
        <v>196</v>
      </c>
      <c r="G325" t="s">
        <v>32</v>
      </c>
      <c r="H325" t="s">
        <v>87</v>
      </c>
      <c r="I325" s="1" t="s">
        <v>818</v>
      </c>
      <c r="J325" s="1" t="s">
        <v>684</v>
      </c>
      <c r="L325" s="13" t="str">
        <f t="shared" si="6"/>
        <v>2022-09-20</v>
      </c>
    </row>
    <row r="326" spans="1:12" ht="90" x14ac:dyDescent="0.25">
      <c r="A326" t="s">
        <v>26</v>
      </c>
      <c r="B326" t="s">
        <v>773</v>
      </c>
      <c r="C326" t="s">
        <v>69</v>
      </c>
      <c r="D326" t="s">
        <v>819</v>
      </c>
      <c r="E326" t="s">
        <v>30</v>
      </c>
      <c r="F326" t="s">
        <v>140</v>
      </c>
      <c r="G326" t="s">
        <v>69</v>
      </c>
      <c r="H326" t="s">
        <v>87</v>
      </c>
      <c r="I326" s="1" t="s">
        <v>820</v>
      </c>
      <c r="J326" s="1" t="s">
        <v>714</v>
      </c>
      <c r="L326" s="13" t="str">
        <f t="shared" si="6"/>
        <v>2022-09-20</v>
      </c>
    </row>
    <row r="327" spans="1:12" ht="60" x14ac:dyDescent="0.25">
      <c r="A327" t="s">
        <v>26</v>
      </c>
      <c r="B327" t="s">
        <v>773</v>
      </c>
      <c r="C327" t="s">
        <v>44</v>
      </c>
      <c r="D327" t="s">
        <v>821</v>
      </c>
      <c r="E327" t="s">
        <v>79</v>
      </c>
      <c r="F327" t="s">
        <v>136</v>
      </c>
      <c r="G327" t="s">
        <v>69</v>
      </c>
      <c r="H327" t="s">
        <v>87</v>
      </c>
      <c r="I327" s="1" t="s">
        <v>822</v>
      </c>
      <c r="J327" s="1" t="s">
        <v>823</v>
      </c>
      <c r="L327" s="13" t="str">
        <f t="shared" si="6"/>
        <v>2022-09-20</v>
      </c>
    </row>
    <row r="328" spans="1:12" ht="105" x14ac:dyDescent="0.25">
      <c r="A328" t="s">
        <v>26</v>
      </c>
      <c r="B328" t="s">
        <v>773</v>
      </c>
      <c r="C328" t="s">
        <v>106</v>
      </c>
      <c r="D328" t="s">
        <v>824</v>
      </c>
      <c r="E328" t="s">
        <v>30</v>
      </c>
      <c r="F328" t="s">
        <v>126</v>
      </c>
      <c r="G328" t="s">
        <v>81</v>
      </c>
      <c r="H328" t="s">
        <v>87</v>
      </c>
      <c r="I328" s="1" t="s">
        <v>825</v>
      </c>
      <c r="J328" s="1" t="s">
        <v>436</v>
      </c>
      <c r="L328" s="13" t="str">
        <f t="shared" si="6"/>
        <v>2022-09-20</v>
      </c>
    </row>
    <row r="329" spans="1:12" ht="90" x14ac:dyDescent="0.25">
      <c r="A329" t="s">
        <v>26</v>
      </c>
      <c r="B329" t="s">
        <v>773</v>
      </c>
      <c r="C329" t="s">
        <v>32</v>
      </c>
      <c r="D329" t="s">
        <v>101</v>
      </c>
      <c r="E329" t="s">
        <v>79</v>
      </c>
      <c r="F329" t="s">
        <v>631</v>
      </c>
      <c r="G329" t="s">
        <v>38</v>
      </c>
      <c r="H329" t="s">
        <v>87</v>
      </c>
      <c r="I329" s="1" t="s">
        <v>826</v>
      </c>
      <c r="J329" s="1" t="s">
        <v>481</v>
      </c>
      <c r="L329" s="13" t="str">
        <f t="shared" si="6"/>
        <v>2022-09-20</v>
      </c>
    </row>
    <row r="330" spans="1:12" ht="30" x14ac:dyDescent="0.25">
      <c r="A330" t="s">
        <v>49</v>
      </c>
      <c r="B330" t="s">
        <v>773</v>
      </c>
      <c r="C330" t="s">
        <v>249</v>
      </c>
      <c r="D330" t="s">
        <v>827</v>
      </c>
      <c r="E330" t="s">
        <v>30</v>
      </c>
      <c r="F330" t="s">
        <v>112</v>
      </c>
      <c r="G330" t="s">
        <v>69</v>
      </c>
      <c r="H330" t="s">
        <v>33</v>
      </c>
      <c r="I330" s="1" t="s">
        <v>828</v>
      </c>
      <c r="J330" s="1" t="s">
        <v>426</v>
      </c>
      <c r="L330" s="13" t="str">
        <f t="shared" si="6"/>
        <v>2022-09-20</v>
      </c>
    </row>
    <row r="331" spans="1:12" ht="45" x14ac:dyDescent="0.25">
      <c r="A331" t="s">
        <v>26</v>
      </c>
      <c r="B331" t="s">
        <v>773</v>
      </c>
      <c r="C331" t="s">
        <v>44</v>
      </c>
      <c r="D331" t="s">
        <v>514</v>
      </c>
      <c r="E331" t="s">
        <v>30</v>
      </c>
      <c r="F331" t="s">
        <v>189</v>
      </c>
      <c r="G331" t="s">
        <v>263</v>
      </c>
      <c r="H331" t="s">
        <v>87</v>
      </c>
      <c r="I331" s="1" t="s">
        <v>829</v>
      </c>
      <c r="J331" s="1" t="s">
        <v>21</v>
      </c>
      <c r="L331" s="13" t="str">
        <f t="shared" si="6"/>
        <v>2022-09-20</v>
      </c>
    </row>
    <row r="332" spans="1:12" ht="45" x14ac:dyDescent="0.25">
      <c r="A332" t="s">
        <v>26</v>
      </c>
      <c r="B332" t="s">
        <v>773</v>
      </c>
      <c r="C332" t="s">
        <v>106</v>
      </c>
      <c r="D332" t="s">
        <v>803</v>
      </c>
      <c r="E332" t="s">
        <v>79</v>
      </c>
      <c r="F332" t="s">
        <v>260</v>
      </c>
      <c r="G332" t="s">
        <v>32</v>
      </c>
      <c r="H332" t="s">
        <v>33</v>
      </c>
      <c r="I332" s="1" t="s">
        <v>830</v>
      </c>
      <c r="J332" s="1" t="s">
        <v>426</v>
      </c>
      <c r="L332" s="13" t="str">
        <f t="shared" si="6"/>
        <v>2022-09-20</v>
      </c>
    </row>
    <row r="333" spans="1:12" ht="120" x14ac:dyDescent="0.25">
      <c r="A333" t="s">
        <v>26</v>
      </c>
      <c r="B333" t="s">
        <v>773</v>
      </c>
      <c r="C333" t="s">
        <v>44</v>
      </c>
      <c r="D333" t="s">
        <v>165</v>
      </c>
      <c r="E333" t="s">
        <v>30</v>
      </c>
      <c r="F333" t="s">
        <v>108</v>
      </c>
      <c r="G333" t="s">
        <v>32</v>
      </c>
      <c r="H333" t="s">
        <v>173</v>
      </c>
      <c r="I333" s="1" t="s">
        <v>831</v>
      </c>
      <c r="J333" s="1" t="s">
        <v>436</v>
      </c>
      <c r="L333" s="13" t="str">
        <f t="shared" si="6"/>
        <v>2022-09-20</v>
      </c>
    </row>
    <row r="334" spans="1:12" ht="45" x14ac:dyDescent="0.25">
      <c r="A334" t="s">
        <v>49</v>
      </c>
      <c r="B334" t="s">
        <v>773</v>
      </c>
      <c r="C334" t="s">
        <v>106</v>
      </c>
      <c r="D334" t="s">
        <v>832</v>
      </c>
      <c r="E334" t="s">
        <v>30</v>
      </c>
      <c r="F334" t="s">
        <v>290</v>
      </c>
      <c r="G334" t="s">
        <v>69</v>
      </c>
      <c r="H334" t="s">
        <v>173</v>
      </c>
      <c r="I334" s="1" t="s">
        <v>833</v>
      </c>
      <c r="J334" s="1" t="s">
        <v>16</v>
      </c>
      <c r="L334" s="13" t="str">
        <f t="shared" si="6"/>
        <v>2022-09-20</v>
      </c>
    </row>
    <row r="335" spans="1:12" ht="45" x14ac:dyDescent="0.25">
      <c r="A335" t="s">
        <v>49</v>
      </c>
      <c r="B335" t="s">
        <v>773</v>
      </c>
      <c r="C335" t="s">
        <v>263</v>
      </c>
      <c r="D335" t="s">
        <v>834</v>
      </c>
      <c r="E335" t="s">
        <v>30</v>
      </c>
      <c r="F335" t="s">
        <v>290</v>
      </c>
      <c r="G335" t="s">
        <v>32</v>
      </c>
      <c r="H335" t="s">
        <v>33</v>
      </c>
      <c r="I335" s="1" t="s">
        <v>835</v>
      </c>
      <c r="J335" s="1" t="s">
        <v>426</v>
      </c>
      <c r="L335" s="13" t="str">
        <f t="shared" si="6"/>
        <v>2022-09-20</v>
      </c>
    </row>
    <row r="336" spans="1:12" ht="105" x14ac:dyDescent="0.25">
      <c r="A336" t="s">
        <v>26</v>
      </c>
      <c r="B336" t="s">
        <v>773</v>
      </c>
      <c r="C336" t="s">
        <v>50</v>
      </c>
      <c r="D336" t="s">
        <v>836</v>
      </c>
      <c r="E336" t="s">
        <v>30</v>
      </c>
      <c r="F336" t="s">
        <v>223</v>
      </c>
      <c r="G336" t="s">
        <v>32</v>
      </c>
      <c r="H336" t="s">
        <v>33</v>
      </c>
      <c r="I336" s="1" t="s">
        <v>837</v>
      </c>
      <c r="J336" s="1" t="s">
        <v>426</v>
      </c>
      <c r="L336" s="13" t="str">
        <f t="shared" si="6"/>
        <v>2022-09-20</v>
      </c>
    </row>
    <row r="337" spans="1:12" ht="60" x14ac:dyDescent="0.25">
      <c r="A337" t="s">
        <v>26</v>
      </c>
      <c r="B337" t="s">
        <v>773</v>
      </c>
      <c r="C337" t="s">
        <v>44</v>
      </c>
      <c r="D337" t="s">
        <v>502</v>
      </c>
      <c r="E337" t="s">
        <v>30</v>
      </c>
      <c r="F337" t="s">
        <v>52</v>
      </c>
      <c r="G337" t="s">
        <v>32</v>
      </c>
      <c r="H337" t="s">
        <v>87</v>
      </c>
      <c r="I337" s="1" t="s">
        <v>838</v>
      </c>
      <c r="J337" s="1" t="s">
        <v>697</v>
      </c>
      <c r="L337" s="13" t="str">
        <f t="shared" si="6"/>
        <v>2022-09-20</v>
      </c>
    </row>
    <row r="338" spans="1:12" ht="105" x14ac:dyDescent="0.25">
      <c r="A338" t="s">
        <v>49</v>
      </c>
      <c r="B338" t="s">
        <v>773</v>
      </c>
      <c r="C338" t="s">
        <v>472</v>
      </c>
      <c r="D338" t="s">
        <v>839</v>
      </c>
      <c r="E338" t="s">
        <v>30</v>
      </c>
      <c r="F338" t="s">
        <v>112</v>
      </c>
      <c r="G338" t="s">
        <v>32</v>
      </c>
      <c r="H338" t="s">
        <v>33</v>
      </c>
      <c r="I338" s="1" t="s">
        <v>840</v>
      </c>
      <c r="J338" s="1" t="s">
        <v>426</v>
      </c>
      <c r="L338" s="13" t="str">
        <f t="shared" si="6"/>
        <v>2022-09-20</v>
      </c>
    </row>
    <row r="339" spans="1:12" ht="105" x14ac:dyDescent="0.25">
      <c r="A339" t="s">
        <v>49</v>
      </c>
      <c r="B339" t="s">
        <v>773</v>
      </c>
      <c r="C339" t="s">
        <v>263</v>
      </c>
      <c r="D339" t="s">
        <v>841</v>
      </c>
      <c r="E339" t="s">
        <v>30</v>
      </c>
      <c r="F339" t="s">
        <v>130</v>
      </c>
      <c r="G339" t="s">
        <v>32</v>
      </c>
      <c r="H339" t="s">
        <v>173</v>
      </c>
      <c r="I339" s="1" t="s">
        <v>842</v>
      </c>
      <c r="J339" s="1" t="s">
        <v>17</v>
      </c>
      <c r="L339" s="13" t="str">
        <f t="shared" si="6"/>
        <v>2022-09-20</v>
      </c>
    </row>
    <row r="340" spans="1:12" ht="105" x14ac:dyDescent="0.25">
      <c r="A340" t="s">
        <v>26</v>
      </c>
      <c r="B340" t="s">
        <v>773</v>
      </c>
      <c r="C340" t="s">
        <v>50</v>
      </c>
      <c r="D340" t="s">
        <v>843</v>
      </c>
      <c r="E340" t="s">
        <v>30</v>
      </c>
      <c r="F340" t="s">
        <v>140</v>
      </c>
      <c r="G340" t="s">
        <v>81</v>
      </c>
      <c r="H340" t="s">
        <v>87</v>
      </c>
      <c r="I340" s="1" t="s">
        <v>844</v>
      </c>
      <c r="J340" s="1" t="s">
        <v>436</v>
      </c>
      <c r="L340" s="13" t="str">
        <f t="shared" si="6"/>
        <v>2022-09-20</v>
      </c>
    </row>
    <row r="341" spans="1:12" ht="30" x14ac:dyDescent="0.25">
      <c r="A341" t="s">
        <v>26</v>
      </c>
      <c r="B341" t="s">
        <v>773</v>
      </c>
      <c r="C341" t="s">
        <v>28</v>
      </c>
      <c r="D341" t="s">
        <v>129</v>
      </c>
      <c r="E341" t="s">
        <v>30</v>
      </c>
      <c r="F341" t="s">
        <v>205</v>
      </c>
      <c r="G341" t="s">
        <v>32</v>
      </c>
      <c r="H341" t="s">
        <v>33</v>
      </c>
      <c r="I341" s="1" t="s">
        <v>845</v>
      </c>
      <c r="J341" s="1" t="s">
        <v>426</v>
      </c>
      <c r="L341" s="13" t="str">
        <f t="shared" si="6"/>
        <v>2022-09-20</v>
      </c>
    </row>
    <row r="342" spans="1:12" ht="30" x14ac:dyDescent="0.25">
      <c r="A342" t="s">
        <v>49</v>
      </c>
      <c r="B342" t="s">
        <v>773</v>
      </c>
      <c r="C342" t="s">
        <v>28</v>
      </c>
      <c r="D342" t="s">
        <v>846</v>
      </c>
      <c r="E342" t="s">
        <v>30</v>
      </c>
      <c r="F342" t="s">
        <v>130</v>
      </c>
      <c r="G342" t="s">
        <v>32</v>
      </c>
      <c r="H342" t="s">
        <v>33</v>
      </c>
      <c r="I342" s="1" t="s">
        <v>847</v>
      </c>
      <c r="J342" s="1" t="s">
        <v>426</v>
      </c>
      <c r="L342" s="13" t="str">
        <f t="shared" si="6"/>
        <v>2022-09-20</v>
      </c>
    </row>
    <row r="343" spans="1:12" ht="30" x14ac:dyDescent="0.25">
      <c r="A343" t="s">
        <v>49</v>
      </c>
      <c r="B343" t="s">
        <v>773</v>
      </c>
      <c r="C343" t="s">
        <v>106</v>
      </c>
      <c r="D343" t="s">
        <v>803</v>
      </c>
      <c r="E343" t="s">
        <v>79</v>
      </c>
      <c r="F343" t="s">
        <v>658</v>
      </c>
      <c r="G343" t="s">
        <v>32</v>
      </c>
      <c r="H343" t="s">
        <v>33</v>
      </c>
      <c r="I343" s="1" t="s">
        <v>848</v>
      </c>
      <c r="J343" s="1" t="s">
        <v>426</v>
      </c>
      <c r="L343" s="13" t="str">
        <f t="shared" si="6"/>
        <v>2022-09-20</v>
      </c>
    </row>
    <row r="344" spans="1:12" ht="105" x14ac:dyDescent="0.25">
      <c r="A344" t="s">
        <v>49</v>
      </c>
      <c r="B344" t="s">
        <v>773</v>
      </c>
      <c r="C344" t="s">
        <v>472</v>
      </c>
      <c r="D344" t="s">
        <v>839</v>
      </c>
      <c r="E344" t="s">
        <v>30</v>
      </c>
      <c r="F344" t="s">
        <v>307</v>
      </c>
      <c r="G344" t="s">
        <v>32</v>
      </c>
      <c r="H344" t="s">
        <v>33</v>
      </c>
      <c r="I344" s="1" t="s">
        <v>849</v>
      </c>
      <c r="J344" s="1" t="s">
        <v>426</v>
      </c>
      <c r="L344" s="13" t="str">
        <f t="shared" si="6"/>
        <v>2022-09-20</v>
      </c>
    </row>
    <row r="345" spans="1:12" ht="75" x14ac:dyDescent="0.25">
      <c r="A345" t="s">
        <v>26</v>
      </c>
      <c r="B345" t="s">
        <v>773</v>
      </c>
      <c r="C345" t="s">
        <v>55</v>
      </c>
      <c r="D345" t="s">
        <v>850</v>
      </c>
      <c r="E345" t="s">
        <v>30</v>
      </c>
      <c r="F345" t="s">
        <v>186</v>
      </c>
      <c r="G345" t="s">
        <v>32</v>
      </c>
      <c r="H345" t="s">
        <v>33</v>
      </c>
      <c r="I345" s="1" t="s">
        <v>851</v>
      </c>
      <c r="J345" s="1" t="s">
        <v>426</v>
      </c>
      <c r="L345" s="13" t="str">
        <f t="shared" si="6"/>
        <v>2022-09-20</v>
      </c>
    </row>
    <row r="346" spans="1:12" ht="105" x14ac:dyDescent="0.25">
      <c r="A346" t="s">
        <v>59</v>
      </c>
      <c r="B346" t="s">
        <v>773</v>
      </c>
      <c r="C346" t="s">
        <v>92</v>
      </c>
      <c r="D346" t="s">
        <v>93</v>
      </c>
      <c r="E346" t="s">
        <v>30</v>
      </c>
      <c r="F346" t="s">
        <v>61</v>
      </c>
      <c r="G346" t="s">
        <v>69</v>
      </c>
      <c r="H346" t="s">
        <v>87</v>
      </c>
      <c r="I346" s="1" t="s">
        <v>852</v>
      </c>
      <c r="J346" s="1" t="s">
        <v>717</v>
      </c>
      <c r="L346" s="13" t="str">
        <f t="shared" si="6"/>
        <v>2022-09-20</v>
      </c>
    </row>
    <row r="347" spans="1:12" ht="30" x14ac:dyDescent="0.25">
      <c r="A347" t="s">
        <v>49</v>
      </c>
      <c r="B347" t="s">
        <v>773</v>
      </c>
      <c r="C347" t="s">
        <v>180</v>
      </c>
      <c r="D347" t="s">
        <v>222</v>
      </c>
      <c r="E347" t="s">
        <v>30</v>
      </c>
      <c r="F347" t="s">
        <v>154</v>
      </c>
      <c r="G347" t="s">
        <v>69</v>
      </c>
      <c r="H347" t="s">
        <v>33</v>
      </c>
      <c r="I347" s="1" t="s">
        <v>853</v>
      </c>
      <c r="J347" s="1" t="s">
        <v>854</v>
      </c>
      <c r="L347" s="13" t="str">
        <f t="shared" si="6"/>
        <v>2022-09-20</v>
      </c>
    </row>
    <row r="348" spans="1:12" ht="90" x14ac:dyDescent="0.25">
      <c r="A348" t="s">
        <v>49</v>
      </c>
      <c r="B348" t="s">
        <v>773</v>
      </c>
      <c r="C348" t="s">
        <v>44</v>
      </c>
      <c r="D348" t="s">
        <v>514</v>
      </c>
      <c r="E348" t="s">
        <v>30</v>
      </c>
      <c r="F348" t="s">
        <v>61</v>
      </c>
      <c r="G348" t="s">
        <v>32</v>
      </c>
      <c r="H348" t="s">
        <v>33</v>
      </c>
      <c r="I348" s="1" t="s">
        <v>855</v>
      </c>
      <c r="J348" s="1" t="s">
        <v>781</v>
      </c>
      <c r="L348" s="13" t="str">
        <f t="shared" si="6"/>
        <v>2022-09-20</v>
      </c>
    </row>
    <row r="349" spans="1:12" ht="105" x14ac:dyDescent="0.25">
      <c r="A349" t="s">
        <v>49</v>
      </c>
      <c r="B349" t="s">
        <v>773</v>
      </c>
      <c r="C349" t="s">
        <v>50</v>
      </c>
      <c r="D349" t="s">
        <v>843</v>
      </c>
      <c r="E349" t="s">
        <v>30</v>
      </c>
      <c r="F349" t="s">
        <v>61</v>
      </c>
      <c r="G349" t="s">
        <v>81</v>
      </c>
      <c r="H349" t="s">
        <v>173</v>
      </c>
      <c r="I349" s="1" t="s">
        <v>856</v>
      </c>
      <c r="J349" s="1" t="s">
        <v>481</v>
      </c>
      <c r="L349" s="13" t="str">
        <f t="shared" si="6"/>
        <v>2022-09-20</v>
      </c>
    </row>
    <row r="350" spans="1:12" ht="30" x14ac:dyDescent="0.25">
      <c r="A350" t="s">
        <v>37</v>
      </c>
      <c r="B350" t="s">
        <v>773</v>
      </c>
      <c r="C350" t="s">
        <v>73</v>
      </c>
      <c r="D350" t="s">
        <v>857</v>
      </c>
      <c r="E350" t="s">
        <v>30</v>
      </c>
      <c r="F350" t="s">
        <v>136</v>
      </c>
      <c r="G350" t="s">
        <v>32</v>
      </c>
      <c r="H350" t="s">
        <v>173</v>
      </c>
      <c r="I350" s="1" t="s">
        <v>858</v>
      </c>
      <c r="J350" s="1" t="s">
        <v>697</v>
      </c>
      <c r="L350" s="13" t="str">
        <f t="shared" si="6"/>
        <v>2022-09-20</v>
      </c>
    </row>
    <row r="351" spans="1:12" ht="30" x14ac:dyDescent="0.25">
      <c r="A351" t="s">
        <v>49</v>
      </c>
      <c r="B351" t="s">
        <v>773</v>
      </c>
      <c r="C351" t="s">
        <v>28</v>
      </c>
      <c r="D351" t="s">
        <v>273</v>
      </c>
      <c r="E351" t="s">
        <v>30</v>
      </c>
      <c r="F351" t="s">
        <v>602</v>
      </c>
      <c r="G351" t="s">
        <v>32</v>
      </c>
      <c r="H351" t="s">
        <v>33</v>
      </c>
      <c r="I351" s="1" t="s">
        <v>859</v>
      </c>
      <c r="J351" s="1" t="s">
        <v>426</v>
      </c>
      <c r="L351" s="13" t="str">
        <f t="shared" si="6"/>
        <v>2022-09-20</v>
      </c>
    </row>
    <row r="352" spans="1:12" ht="90" x14ac:dyDescent="0.25">
      <c r="A352" t="s">
        <v>37</v>
      </c>
      <c r="B352" t="s">
        <v>773</v>
      </c>
      <c r="C352" t="s">
        <v>96</v>
      </c>
      <c r="D352" t="s">
        <v>860</v>
      </c>
      <c r="E352" t="s">
        <v>79</v>
      </c>
      <c r="F352" t="s">
        <v>102</v>
      </c>
      <c r="G352" t="s">
        <v>69</v>
      </c>
      <c r="H352" t="s">
        <v>87</v>
      </c>
      <c r="I352" s="1" t="s">
        <v>861</v>
      </c>
      <c r="J352" s="1" t="s">
        <v>697</v>
      </c>
      <c r="L352" s="13" t="str">
        <f t="shared" si="6"/>
        <v>2022-09-20</v>
      </c>
    </row>
    <row r="353" spans="1:12" ht="75" x14ac:dyDescent="0.25">
      <c r="A353" t="s">
        <v>37</v>
      </c>
      <c r="B353" t="s">
        <v>773</v>
      </c>
      <c r="C353" t="s">
        <v>263</v>
      </c>
      <c r="D353" t="s">
        <v>862</v>
      </c>
      <c r="E353" t="s">
        <v>30</v>
      </c>
      <c r="F353" t="s">
        <v>216</v>
      </c>
      <c r="G353" t="s">
        <v>32</v>
      </c>
      <c r="H353" t="s">
        <v>33</v>
      </c>
      <c r="I353" s="1" t="s">
        <v>863</v>
      </c>
      <c r="J353" s="1" t="s">
        <v>864</v>
      </c>
      <c r="L353" s="13" t="str">
        <f t="shared" si="6"/>
        <v>2022-09-20</v>
      </c>
    </row>
    <row r="354" spans="1:12" ht="45" x14ac:dyDescent="0.25">
      <c r="A354" t="s">
        <v>37</v>
      </c>
      <c r="B354" t="s">
        <v>773</v>
      </c>
      <c r="C354" t="s">
        <v>106</v>
      </c>
      <c r="D354" t="s">
        <v>475</v>
      </c>
      <c r="E354" t="s">
        <v>30</v>
      </c>
      <c r="F354" t="s">
        <v>46</v>
      </c>
      <c r="G354" t="s">
        <v>81</v>
      </c>
      <c r="H354" t="s">
        <v>33</v>
      </c>
      <c r="I354" s="1" t="s">
        <v>865</v>
      </c>
      <c r="J354" s="1" t="s">
        <v>697</v>
      </c>
      <c r="L354" s="13" t="str">
        <f t="shared" si="6"/>
        <v>2022-09-20</v>
      </c>
    </row>
    <row r="355" spans="1:12" ht="105" x14ac:dyDescent="0.25">
      <c r="A355" t="s">
        <v>49</v>
      </c>
      <c r="B355" t="s">
        <v>773</v>
      </c>
      <c r="C355" t="s">
        <v>28</v>
      </c>
      <c r="D355" t="s">
        <v>352</v>
      </c>
      <c r="E355" t="s">
        <v>30</v>
      </c>
      <c r="F355" t="s">
        <v>446</v>
      </c>
      <c r="G355" t="s">
        <v>32</v>
      </c>
      <c r="H355" t="s">
        <v>173</v>
      </c>
      <c r="I355" s="1" t="s">
        <v>866</v>
      </c>
      <c r="J355" s="1" t="s">
        <v>14</v>
      </c>
      <c r="L355" s="13" t="str">
        <f t="shared" si="6"/>
        <v>2022-09-20</v>
      </c>
    </row>
    <row r="356" spans="1:12" ht="45" x14ac:dyDescent="0.25">
      <c r="A356" t="s">
        <v>37</v>
      </c>
      <c r="B356" t="s">
        <v>773</v>
      </c>
      <c r="C356" t="s">
        <v>44</v>
      </c>
      <c r="D356" t="s">
        <v>514</v>
      </c>
      <c r="E356" t="s">
        <v>30</v>
      </c>
      <c r="F356" t="s">
        <v>94</v>
      </c>
      <c r="G356" t="s">
        <v>32</v>
      </c>
      <c r="H356" t="s">
        <v>173</v>
      </c>
      <c r="I356" s="1" t="s">
        <v>867</v>
      </c>
      <c r="J356" s="1" t="s">
        <v>21</v>
      </c>
      <c r="L356" s="13" t="str">
        <f t="shared" si="6"/>
        <v>2022-09-20</v>
      </c>
    </row>
    <row r="357" spans="1:12" ht="75" x14ac:dyDescent="0.25">
      <c r="A357" t="s">
        <v>37</v>
      </c>
      <c r="B357" t="s">
        <v>773</v>
      </c>
      <c r="C357" t="s">
        <v>106</v>
      </c>
      <c r="D357" t="s">
        <v>868</v>
      </c>
      <c r="E357" t="s">
        <v>30</v>
      </c>
      <c r="F357" t="s">
        <v>80</v>
      </c>
      <c r="G357" t="s">
        <v>32</v>
      </c>
      <c r="H357" t="s">
        <v>173</v>
      </c>
      <c r="I357" s="1" t="s">
        <v>869</v>
      </c>
      <c r="J357" s="1" t="s">
        <v>15</v>
      </c>
      <c r="L357" s="13" t="str">
        <f t="shared" si="6"/>
        <v>2022-09-20</v>
      </c>
    </row>
    <row r="358" spans="1:12" ht="45" x14ac:dyDescent="0.25">
      <c r="A358" t="s">
        <v>37</v>
      </c>
      <c r="B358" t="s">
        <v>773</v>
      </c>
      <c r="C358" t="s">
        <v>50</v>
      </c>
      <c r="D358" t="s">
        <v>870</v>
      </c>
      <c r="E358" t="s">
        <v>30</v>
      </c>
      <c r="F358" t="s">
        <v>154</v>
      </c>
      <c r="G358" t="s">
        <v>69</v>
      </c>
      <c r="H358" t="s">
        <v>173</v>
      </c>
      <c r="I358" s="1" t="s">
        <v>871</v>
      </c>
      <c r="J358" s="1" t="s">
        <v>872</v>
      </c>
      <c r="L358" s="13" t="str">
        <f t="shared" si="6"/>
        <v>2022-09-20</v>
      </c>
    </row>
    <row r="359" spans="1:12" ht="105" x14ac:dyDescent="0.25">
      <c r="A359" t="s">
        <v>91</v>
      </c>
      <c r="B359" t="s">
        <v>773</v>
      </c>
      <c r="C359" t="s">
        <v>38</v>
      </c>
      <c r="D359" t="s">
        <v>466</v>
      </c>
      <c r="E359" t="s">
        <v>30</v>
      </c>
      <c r="F359" t="s">
        <v>492</v>
      </c>
      <c r="G359" t="s">
        <v>32</v>
      </c>
      <c r="H359" t="s">
        <v>33</v>
      </c>
      <c r="I359" s="1" t="s">
        <v>873</v>
      </c>
      <c r="J359" s="1" t="s">
        <v>426</v>
      </c>
      <c r="L359" s="13" t="str">
        <f t="shared" si="6"/>
        <v>2022-09-20</v>
      </c>
    </row>
    <row r="360" spans="1:12" ht="30" x14ac:dyDescent="0.25">
      <c r="A360" t="s">
        <v>64</v>
      </c>
      <c r="B360" t="s">
        <v>773</v>
      </c>
      <c r="C360" t="s">
        <v>249</v>
      </c>
      <c r="D360" t="s">
        <v>411</v>
      </c>
      <c r="E360" t="s">
        <v>30</v>
      </c>
      <c r="F360" t="s">
        <v>112</v>
      </c>
      <c r="G360" t="s">
        <v>69</v>
      </c>
      <c r="H360" t="s">
        <v>33</v>
      </c>
      <c r="I360" s="1" t="s">
        <v>874</v>
      </c>
      <c r="J360" s="1" t="s">
        <v>426</v>
      </c>
      <c r="L360" s="13" t="str">
        <f t="shared" si="6"/>
        <v>2022-09-20</v>
      </c>
    </row>
    <row r="361" spans="1:12" ht="45" x14ac:dyDescent="0.25">
      <c r="A361" t="s">
        <v>37</v>
      </c>
      <c r="B361" t="s">
        <v>773</v>
      </c>
      <c r="C361" t="s">
        <v>96</v>
      </c>
      <c r="D361" t="s">
        <v>875</v>
      </c>
      <c r="E361" t="s">
        <v>30</v>
      </c>
      <c r="F361" t="s">
        <v>290</v>
      </c>
      <c r="G361" t="s">
        <v>32</v>
      </c>
      <c r="H361" t="s">
        <v>87</v>
      </c>
      <c r="I361" s="1" t="s">
        <v>876</v>
      </c>
      <c r="J361" s="1" t="s">
        <v>877</v>
      </c>
      <c r="L361" s="13" t="str">
        <f t="shared" si="6"/>
        <v>2022-09-20</v>
      </c>
    </row>
    <row r="362" spans="1:12" ht="105" x14ac:dyDescent="0.25">
      <c r="A362" t="s">
        <v>37</v>
      </c>
      <c r="B362" t="s">
        <v>773</v>
      </c>
      <c r="C362" t="s">
        <v>55</v>
      </c>
      <c r="D362" t="s">
        <v>878</v>
      </c>
      <c r="E362" t="s">
        <v>30</v>
      </c>
      <c r="F362" t="s">
        <v>154</v>
      </c>
      <c r="G362" t="s">
        <v>69</v>
      </c>
      <c r="H362" t="s">
        <v>87</v>
      </c>
      <c r="I362" s="1" t="s">
        <v>879</v>
      </c>
      <c r="J362" s="1" t="s">
        <v>436</v>
      </c>
      <c r="L362" s="13" t="str">
        <f t="shared" si="6"/>
        <v>2022-09-20</v>
      </c>
    </row>
    <row r="363" spans="1:12" ht="60" x14ac:dyDescent="0.25">
      <c r="A363" t="s">
        <v>37</v>
      </c>
      <c r="B363" t="s">
        <v>773</v>
      </c>
      <c r="C363" t="s">
        <v>249</v>
      </c>
      <c r="D363" t="s">
        <v>880</v>
      </c>
      <c r="E363" t="s">
        <v>30</v>
      </c>
      <c r="F363" t="s">
        <v>561</v>
      </c>
      <c r="G363" t="s">
        <v>32</v>
      </c>
      <c r="H363" t="s">
        <v>33</v>
      </c>
      <c r="I363" s="1" t="s">
        <v>881</v>
      </c>
      <c r="J363" s="1" t="s">
        <v>854</v>
      </c>
      <c r="L363" s="13" t="str">
        <f t="shared" si="6"/>
        <v>2022-09-20</v>
      </c>
    </row>
    <row r="364" spans="1:12" ht="105" x14ac:dyDescent="0.25">
      <c r="A364" t="s">
        <v>64</v>
      </c>
      <c r="B364" t="s">
        <v>773</v>
      </c>
      <c r="C364" t="s">
        <v>240</v>
      </c>
      <c r="D364" t="s">
        <v>882</v>
      </c>
      <c r="E364" t="s">
        <v>79</v>
      </c>
      <c r="F364" t="s">
        <v>94</v>
      </c>
      <c r="G364" t="s">
        <v>81</v>
      </c>
      <c r="H364" t="s">
        <v>87</v>
      </c>
      <c r="I364" s="1" t="s">
        <v>883</v>
      </c>
      <c r="J364" s="1" t="s">
        <v>481</v>
      </c>
      <c r="L364" s="13" t="str">
        <f t="shared" si="6"/>
        <v>2022-09-20</v>
      </c>
    </row>
    <row r="365" spans="1:12" ht="105" x14ac:dyDescent="0.25">
      <c r="A365" t="s">
        <v>26</v>
      </c>
      <c r="B365" t="s">
        <v>884</v>
      </c>
      <c r="C365" t="s">
        <v>69</v>
      </c>
      <c r="D365" t="s">
        <v>283</v>
      </c>
      <c r="E365" t="s">
        <v>30</v>
      </c>
      <c r="F365" t="s">
        <v>46</v>
      </c>
      <c r="G365" t="s">
        <v>32</v>
      </c>
      <c r="H365" t="s">
        <v>33</v>
      </c>
      <c r="I365" s="1" t="s">
        <v>885</v>
      </c>
      <c r="J365" s="1" t="s">
        <v>426</v>
      </c>
      <c r="L365" s="13" t="str">
        <f t="shared" si="6"/>
        <v>2022-10-02</v>
      </c>
    </row>
    <row r="366" spans="1:12" ht="60" x14ac:dyDescent="0.25">
      <c r="A366" t="s">
        <v>26</v>
      </c>
      <c r="B366" t="s">
        <v>884</v>
      </c>
      <c r="C366" t="s">
        <v>96</v>
      </c>
      <c r="D366" t="s">
        <v>97</v>
      </c>
      <c r="E366" t="s">
        <v>30</v>
      </c>
      <c r="F366" t="s">
        <v>112</v>
      </c>
      <c r="G366" t="s">
        <v>32</v>
      </c>
      <c r="H366" t="s">
        <v>33</v>
      </c>
      <c r="I366" s="1" t="s">
        <v>886</v>
      </c>
      <c r="J366" s="1" t="s">
        <v>426</v>
      </c>
      <c r="L366" s="13" t="str">
        <f t="shared" si="6"/>
        <v>2022-10-02</v>
      </c>
    </row>
    <row r="367" spans="1:12" ht="105" x14ac:dyDescent="0.25">
      <c r="A367" t="s">
        <v>26</v>
      </c>
      <c r="B367" t="s">
        <v>884</v>
      </c>
      <c r="C367" t="s">
        <v>92</v>
      </c>
      <c r="D367" t="s">
        <v>887</v>
      </c>
      <c r="E367" t="s">
        <v>30</v>
      </c>
      <c r="F367" t="s">
        <v>196</v>
      </c>
      <c r="G367" t="s">
        <v>69</v>
      </c>
      <c r="H367" t="s">
        <v>173</v>
      </c>
      <c r="I367" s="1" t="s">
        <v>888</v>
      </c>
      <c r="J367" s="1" t="s">
        <v>436</v>
      </c>
      <c r="L367" s="13" t="str">
        <f t="shared" si="6"/>
        <v>2022-10-02</v>
      </c>
    </row>
    <row r="368" spans="1:12" ht="90" x14ac:dyDescent="0.25">
      <c r="A368" t="s">
        <v>26</v>
      </c>
      <c r="B368" t="s">
        <v>884</v>
      </c>
      <c r="C368" t="s">
        <v>96</v>
      </c>
      <c r="D368" t="s">
        <v>176</v>
      </c>
      <c r="E368" t="s">
        <v>30</v>
      </c>
      <c r="F368" t="s">
        <v>40</v>
      </c>
      <c r="G368" t="s">
        <v>38</v>
      </c>
      <c r="H368" t="s">
        <v>87</v>
      </c>
      <c r="I368" s="1" t="s">
        <v>889</v>
      </c>
      <c r="J368" s="1" t="s">
        <v>21</v>
      </c>
      <c r="L368" s="13" t="str">
        <f t="shared" si="6"/>
        <v>2022-10-02</v>
      </c>
    </row>
    <row r="369" spans="1:12" ht="105" x14ac:dyDescent="0.25">
      <c r="A369" t="s">
        <v>49</v>
      </c>
      <c r="B369" t="s">
        <v>884</v>
      </c>
      <c r="C369" t="s">
        <v>240</v>
      </c>
      <c r="D369" t="s">
        <v>890</v>
      </c>
      <c r="E369" t="s">
        <v>79</v>
      </c>
      <c r="F369" t="s">
        <v>46</v>
      </c>
      <c r="G369" t="s">
        <v>32</v>
      </c>
      <c r="H369" t="s">
        <v>33</v>
      </c>
      <c r="I369" s="1" t="s">
        <v>891</v>
      </c>
      <c r="J369" s="1" t="s">
        <v>21</v>
      </c>
      <c r="L369" s="13" t="str">
        <f t="shared" si="6"/>
        <v>2022-10-02</v>
      </c>
    </row>
    <row r="370" spans="1:12" ht="75" x14ac:dyDescent="0.25">
      <c r="A370" t="s">
        <v>26</v>
      </c>
      <c r="B370" t="s">
        <v>884</v>
      </c>
      <c r="C370" t="s">
        <v>44</v>
      </c>
      <c r="D370" t="s">
        <v>68</v>
      </c>
      <c r="E370" t="s">
        <v>30</v>
      </c>
      <c r="F370" t="s">
        <v>280</v>
      </c>
      <c r="G370" t="s">
        <v>32</v>
      </c>
      <c r="H370" t="s">
        <v>33</v>
      </c>
      <c r="I370" s="1" t="s">
        <v>892</v>
      </c>
      <c r="J370" s="1" t="s">
        <v>426</v>
      </c>
      <c r="L370" s="13" t="str">
        <f t="shared" si="6"/>
        <v>2022-10-02</v>
      </c>
    </row>
    <row r="371" spans="1:12" ht="45" x14ac:dyDescent="0.25">
      <c r="A371" t="s">
        <v>26</v>
      </c>
      <c r="B371" t="s">
        <v>884</v>
      </c>
      <c r="C371" t="s">
        <v>180</v>
      </c>
      <c r="D371" t="s">
        <v>893</v>
      </c>
      <c r="E371" t="s">
        <v>79</v>
      </c>
      <c r="F371" t="s">
        <v>161</v>
      </c>
      <c r="G371" t="s">
        <v>32</v>
      </c>
      <c r="H371" t="s">
        <v>33</v>
      </c>
      <c r="I371" s="1" t="s">
        <v>894</v>
      </c>
      <c r="J371" s="1" t="s">
        <v>426</v>
      </c>
      <c r="L371" s="13" t="str">
        <f t="shared" si="6"/>
        <v>2022-10-02</v>
      </c>
    </row>
    <row r="372" spans="1:12" ht="30" x14ac:dyDescent="0.25">
      <c r="A372" t="s">
        <v>26</v>
      </c>
      <c r="B372" t="s">
        <v>884</v>
      </c>
      <c r="C372" t="s">
        <v>472</v>
      </c>
      <c r="D372" t="s">
        <v>839</v>
      </c>
      <c r="E372" t="s">
        <v>30</v>
      </c>
      <c r="F372" t="s">
        <v>627</v>
      </c>
      <c r="G372" t="s">
        <v>32</v>
      </c>
      <c r="H372" t="s">
        <v>173</v>
      </c>
      <c r="I372" s="1" t="s">
        <v>895</v>
      </c>
      <c r="J372" s="1" t="s">
        <v>17</v>
      </c>
      <c r="L372" s="13" t="str">
        <f t="shared" si="6"/>
        <v>2022-10-02</v>
      </c>
    </row>
    <row r="373" spans="1:12" ht="30" x14ac:dyDescent="0.25">
      <c r="A373" t="s">
        <v>64</v>
      </c>
      <c r="B373" t="s">
        <v>884</v>
      </c>
      <c r="C373" t="s">
        <v>32</v>
      </c>
      <c r="D373" t="s">
        <v>245</v>
      </c>
      <c r="E373" t="s">
        <v>30</v>
      </c>
      <c r="F373" t="s">
        <v>205</v>
      </c>
      <c r="G373" t="s">
        <v>32</v>
      </c>
      <c r="H373" t="s">
        <v>33</v>
      </c>
      <c r="I373" s="1" t="s">
        <v>896</v>
      </c>
      <c r="J373" s="1" t="s">
        <v>426</v>
      </c>
      <c r="L373" s="13" t="str">
        <f t="shared" si="6"/>
        <v>2022-10-02</v>
      </c>
    </row>
    <row r="374" spans="1:12" ht="105" x14ac:dyDescent="0.25">
      <c r="A374" t="s">
        <v>49</v>
      </c>
      <c r="B374" t="s">
        <v>884</v>
      </c>
      <c r="C374" t="s">
        <v>38</v>
      </c>
      <c r="D374" t="s">
        <v>39</v>
      </c>
      <c r="E374" t="s">
        <v>30</v>
      </c>
      <c r="F374" t="s">
        <v>61</v>
      </c>
      <c r="G374" t="s">
        <v>32</v>
      </c>
      <c r="H374" t="s">
        <v>33</v>
      </c>
      <c r="I374" s="1" t="s">
        <v>897</v>
      </c>
      <c r="J374" s="1" t="s">
        <v>426</v>
      </c>
      <c r="L374" s="13" t="str">
        <f t="shared" si="6"/>
        <v>2022-10-02</v>
      </c>
    </row>
    <row r="375" spans="1:12" ht="75" x14ac:dyDescent="0.25">
      <c r="A375" t="s">
        <v>26</v>
      </c>
      <c r="B375" t="s">
        <v>884</v>
      </c>
      <c r="C375" t="s">
        <v>44</v>
      </c>
      <c r="D375" t="s">
        <v>616</v>
      </c>
      <c r="E375" t="s">
        <v>30</v>
      </c>
      <c r="F375" t="s">
        <v>205</v>
      </c>
      <c r="G375" t="s">
        <v>69</v>
      </c>
      <c r="H375" t="s">
        <v>87</v>
      </c>
      <c r="I375" s="1" t="s">
        <v>898</v>
      </c>
      <c r="J375" s="1" t="s">
        <v>17</v>
      </c>
      <c r="L375" s="13" t="str">
        <f t="shared" si="6"/>
        <v>2022-10-02</v>
      </c>
    </row>
    <row r="376" spans="1:12" ht="45" x14ac:dyDescent="0.25">
      <c r="A376" t="s">
        <v>26</v>
      </c>
      <c r="B376" t="s">
        <v>884</v>
      </c>
      <c r="C376" t="s">
        <v>85</v>
      </c>
      <c r="D376" t="s">
        <v>899</v>
      </c>
      <c r="E376" t="s">
        <v>30</v>
      </c>
      <c r="F376" t="s">
        <v>102</v>
      </c>
      <c r="G376" t="s">
        <v>32</v>
      </c>
      <c r="H376" t="s">
        <v>173</v>
      </c>
      <c r="I376" s="1" t="s">
        <v>900</v>
      </c>
      <c r="J376" s="1" t="s">
        <v>71</v>
      </c>
      <c r="L376" s="13" t="str">
        <f t="shared" si="6"/>
        <v>2022-10-02</v>
      </c>
    </row>
    <row r="377" spans="1:12" ht="45" x14ac:dyDescent="0.25">
      <c r="A377" t="s">
        <v>49</v>
      </c>
      <c r="B377" t="s">
        <v>884</v>
      </c>
      <c r="C377" t="s">
        <v>69</v>
      </c>
      <c r="D377" t="s">
        <v>626</v>
      </c>
      <c r="E377" t="s">
        <v>30</v>
      </c>
      <c r="F377" t="s">
        <v>40</v>
      </c>
      <c r="G377" t="s">
        <v>32</v>
      </c>
      <c r="H377" t="s">
        <v>33</v>
      </c>
      <c r="I377" s="1" t="s">
        <v>901</v>
      </c>
      <c r="J377" s="1" t="s">
        <v>426</v>
      </c>
      <c r="L377" s="13" t="str">
        <f t="shared" si="6"/>
        <v>2022-10-02</v>
      </c>
    </row>
    <row r="378" spans="1:12" ht="105" x14ac:dyDescent="0.25">
      <c r="A378" t="s">
        <v>26</v>
      </c>
      <c r="B378" t="s">
        <v>902</v>
      </c>
      <c r="C378" t="s">
        <v>263</v>
      </c>
      <c r="D378" t="s">
        <v>650</v>
      </c>
      <c r="E378" t="s">
        <v>79</v>
      </c>
      <c r="F378" t="s">
        <v>280</v>
      </c>
      <c r="G378" t="s">
        <v>69</v>
      </c>
      <c r="H378" t="s">
        <v>173</v>
      </c>
      <c r="I378" s="1" t="s">
        <v>903</v>
      </c>
      <c r="J378" s="1" t="s">
        <v>436</v>
      </c>
      <c r="L378" s="13" t="str">
        <f t="shared" si="6"/>
        <v>2022-10-01</v>
      </c>
    </row>
    <row r="379" spans="1:12" ht="75" x14ac:dyDescent="0.25">
      <c r="A379" t="s">
        <v>26</v>
      </c>
      <c r="B379" t="s">
        <v>902</v>
      </c>
      <c r="C379" t="s">
        <v>263</v>
      </c>
      <c r="D379" t="s">
        <v>264</v>
      </c>
      <c r="E379" t="s">
        <v>30</v>
      </c>
      <c r="F379" t="s">
        <v>61</v>
      </c>
      <c r="G379" t="s">
        <v>32</v>
      </c>
      <c r="H379" t="s">
        <v>173</v>
      </c>
      <c r="I379" s="1" t="s">
        <v>904</v>
      </c>
      <c r="J379" s="1" t="s">
        <v>71</v>
      </c>
      <c r="L379" s="13" t="str">
        <f t="shared" si="6"/>
        <v>2022-10-01</v>
      </c>
    </row>
    <row r="380" spans="1:12" ht="45" x14ac:dyDescent="0.25">
      <c r="A380" t="s">
        <v>26</v>
      </c>
      <c r="B380" t="s">
        <v>902</v>
      </c>
      <c r="C380" t="s">
        <v>249</v>
      </c>
      <c r="D380" t="s">
        <v>905</v>
      </c>
      <c r="E380" t="s">
        <v>30</v>
      </c>
      <c r="F380" t="s">
        <v>189</v>
      </c>
      <c r="G380" t="s">
        <v>69</v>
      </c>
      <c r="H380" t="s">
        <v>173</v>
      </c>
      <c r="I380" s="1" t="s">
        <v>906</v>
      </c>
      <c r="J380" s="1" t="s">
        <v>104</v>
      </c>
      <c r="L380" s="13" t="str">
        <f t="shared" si="6"/>
        <v>2022-10-01</v>
      </c>
    </row>
    <row r="381" spans="1:12" ht="30" x14ac:dyDescent="0.25">
      <c r="A381" t="s">
        <v>26</v>
      </c>
      <c r="B381" t="s">
        <v>902</v>
      </c>
      <c r="C381" t="s">
        <v>263</v>
      </c>
      <c r="D381" t="s">
        <v>841</v>
      </c>
      <c r="E381" t="s">
        <v>30</v>
      </c>
      <c r="F381" t="s">
        <v>94</v>
      </c>
      <c r="G381" t="s">
        <v>69</v>
      </c>
      <c r="H381" t="s">
        <v>87</v>
      </c>
      <c r="I381" s="1" t="s">
        <v>907</v>
      </c>
      <c r="J381" s="1" t="s">
        <v>17</v>
      </c>
      <c r="L381" s="13" t="str">
        <f t="shared" si="6"/>
        <v>2022-10-01</v>
      </c>
    </row>
    <row r="382" spans="1:12" ht="60" x14ac:dyDescent="0.25">
      <c r="A382" t="s">
        <v>26</v>
      </c>
      <c r="B382" t="s">
        <v>902</v>
      </c>
      <c r="C382" t="s">
        <v>106</v>
      </c>
      <c r="D382" t="s">
        <v>803</v>
      </c>
      <c r="E382" t="s">
        <v>30</v>
      </c>
      <c r="F382" t="s">
        <v>287</v>
      </c>
      <c r="G382" t="s">
        <v>81</v>
      </c>
      <c r="H382" t="s">
        <v>33</v>
      </c>
      <c r="I382" s="1" t="s">
        <v>908</v>
      </c>
      <c r="J382" s="1" t="s">
        <v>436</v>
      </c>
      <c r="L382" s="13" t="str">
        <f t="shared" si="6"/>
        <v>2022-10-01</v>
      </c>
    </row>
    <row r="383" spans="1:12" ht="45" x14ac:dyDescent="0.25">
      <c r="A383" t="s">
        <v>26</v>
      </c>
      <c r="B383" t="s">
        <v>902</v>
      </c>
      <c r="C383" t="s">
        <v>249</v>
      </c>
      <c r="D383" t="s">
        <v>909</v>
      </c>
      <c r="E383" t="s">
        <v>30</v>
      </c>
      <c r="F383" t="s">
        <v>161</v>
      </c>
      <c r="G383" t="s">
        <v>32</v>
      </c>
      <c r="H383" t="s">
        <v>33</v>
      </c>
      <c r="I383" s="1" t="s">
        <v>910</v>
      </c>
      <c r="J383" s="1" t="s">
        <v>426</v>
      </c>
      <c r="L383" s="13" t="str">
        <f t="shared" si="6"/>
        <v>2022-10-01</v>
      </c>
    </row>
    <row r="384" spans="1:12" ht="45" x14ac:dyDescent="0.25">
      <c r="A384" t="s">
        <v>26</v>
      </c>
      <c r="B384" t="s">
        <v>902</v>
      </c>
      <c r="C384" t="s">
        <v>249</v>
      </c>
      <c r="D384" t="s">
        <v>420</v>
      </c>
      <c r="E384" t="s">
        <v>30</v>
      </c>
      <c r="F384" t="s">
        <v>166</v>
      </c>
      <c r="G384" t="s">
        <v>32</v>
      </c>
      <c r="H384" t="s">
        <v>33</v>
      </c>
      <c r="I384" s="1" t="s">
        <v>911</v>
      </c>
      <c r="J384" s="1" t="s">
        <v>426</v>
      </c>
      <c r="L384" s="13" t="str">
        <f t="shared" si="6"/>
        <v>2022-10-01</v>
      </c>
    </row>
    <row r="385" spans="1:12" ht="30" x14ac:dyDescent="0.25">
      <c r="A385" t="s">
        <v>26</v>
      </c>
      <c r="B385" t="s">
        <v>902</v>
      </c>
      <c r="C385" t="s">
        <v>249</v>
      </c>
      <c r="D385" t="s">
        <v>862</v>
      </c>
      <c r="E385" t="s">
        <v>30</v>
      </c>
      <c r="F385" t="s">
        <v>130</v>
      </c>
      <c r="G385" t="s">
        <v>32</v>
      </c>
      <c r="H385" t="s">
        <v>87</v>
      </c>
      <c r="I385" s="1" t="s">
        <v>912</v>
      </c>
      <c r="J385" s="1" t="s">
        <v>17</v>
      </c>
      <c r="L385" s="13" t="str">
        <f t="shared" si="6"/>
        <v>2022-10-01</v>
      </c>
    </row>
    <row r="386" spans="1:12" ht="45" x14ac:dyDescent="0.25">
      <c r="A386" t="s">
        <v>26</v>
      </c>
      <c r="B386" t="s">
        <v>902</v>
      </c>
      <c r="C386" t="s">
        <v>69</v>
      </c>
      <c r="D386" t="s">
        <v>160</v>
      </c>
      <c r="E386" t="s">
        <v>30</v>
      </c>
      <c r="F386" t="s">
        <v>94</v>
      </c>
      <c r="G386" t="s">
        <v>69</v>
      </c>
      <c r="H386" t="s">
        <v>33</v>
      </c>
      <c r="I386" s="1" t="s">
        <v>913</v>
      </c>
      <c r="J386" s="1" t="s">
        <v>17</v>
      </c>
      <c r="L386" s="13" t="str">
        <f t="shared" si="6"/>
        <v>2022-10-01</v>
      </c>
    </row>
    <row r="387" spans="1:12" ht="90" x14ac:dyDescent="0.25">
      <c r="A387" t="s">
        <v>26</v>
      </c>
      <c r="B387" t="s">
        <v>902</v>
      </c>
      <c r="C387" t="s">
        <v>249</v>
      </c>
      <c r="D387" t="s">
        <v>355</v>
      </c>
      <c r="E387" t="s">
        <v>30</v>
      </c>
      <c r="F387" t="s">
        <v>602</v>
      </c>
      <c r="G387" t="s">
        <v>69</v>
      </c>
      <c r="H387" t="s">
        <v>87</v>
      </c>
      <c r="I387" s="1" t="s">
        <v>914</v>
      </c>
      <c r="J387" s="1" t="s">
        <v>104</v>
      </c>
      <c r="L387" s="13" t="str">
        <f t="shared" ref="L387:L450" si="7">+B387</f>
        <v>2022-10-01</v>
      </c>
    </row>
    <row r="388" spans="1:12" ht="75" x14ac:dyDescent="0.25">
      <c r="A388" t="s">
        <v>26</v>
      </c>
      <c r="B388" t="s">
        <v>902</v>
      </c>
      <c r="C388" t="s">
        <v>235</v>
      </c>
      <c r="D388" t="s">
        <v>915</v>
      </c>
      <c r="E388" t="s">
        <v>30</v>
      </c>
      <c r="F388" t="s">
        <v>136</v>
      </c>
      <c r="G388" t="s">
        <v>69</v>
      </c>
      <c r="H388" t="s">
        <v>173</v>
      </c>
      <c r="I388" s="1" t="s">
        <v>916</v>
      </c>
      <c r="J388" s="1" t="s">
        <v>104</v>
      </c>
      <c r="L388" s="13" t="str">
        <f t="shared" si="7"/>
        <v>2022-10-01</v>
      </c>
    </row>
    <row r="389" spans="1:12" ht="45" x14ac:dyDescent="0.25">
      <c r="A389" t="s">
        <v>26</v>
      </c>
      <c r="B389" t="s">
        <v>902</v>
      </c>
      <c r="C389" t="s">
        <v>92</v>
      </c>
      <c r="D389" t="s">
        <v>887</v>
      </c>
      <c r="E389" t="s">
        <v>30</v>
      </c>
      <c r="F389" t="s">
        <v>602</v>
      </c>
      <c r="G389" t="s">
        <v>32</v>
      </c>
      <c r="H389" t="s">
        <v>33</v>
      </c>
      <c r="I389" s="1" t="s">
        <v>917</v>
      </c>
      <c r="J389" s="1" t="s">
        <v>426</v>
      </c>
      <c r="L389" s="13" t="str">
        <f t="shared" si="7"/>
        <v>2022-10-01</v>
      </c>
    </row>
    <row r="390" spans="1:12" ht="60" x14ac:dyDescent="0.25">
      <c r="A390" t="s">
        <v>26</v>
      </c>
      <c r="B390" t="s">
        <v>902</v>
      </c>
      <c r="C390" t="s">
        <v>69</v>
      </c>
      <c r="D390" t="s">
        <v>160</v>
      </c>
      <c r="E390" t="s">
        <v>30</v>
      </c>
      <c r="F390" t="s">
        <v>205</v>
      </c>
      <c r="G390" t="s">
        <v>69</v>
      </c>
      <c r="H390" t="s">
        <v>173</v>
      </c>
      <c r="I390" s="1" t="s">
        <v>918</v>
      </c>
      <c r="J390" s="1" t="s">
        <v>21</v>
      </c>
      <c r="L390" s="13" t="str">
        <f t="shared" si="7"/>
        <v>2022-10-01</v>
      </c>
    </row>
    <row r="391" spans="1:12" ht="45" x14ac:dyDescent="0.25">
      <c r="A391" t="s">
        <v>26</v>
      </c>
      <c r="B391" t="s">
        <v>902</v>
      </c>
      <c r="C391" t="s">
        <v>96</v>
      </c>
      <c r="D391" t="s">
        <v>176</v>
      </c>
      <c r="E391" t="s">
        <v>79</v>
      </c>
      <c r="F391" t="s">
        <v>196</v>
      </c>
      <c r="G391" t="s">
        <v>69</v>
      </c>
      <c r="H391" t="s">
        <v>87</v>
      </c>
      <c r="I391" s="1" t="s">
        <v>919</v>
      </c>
      <c r="J391" s="1" t="s">
        <v>21</v>
      </c>
      <c r="L391" s="13" t="str">
        <f t="shared" si="7"/>
        <v>2022-10-01</v>
      </c>
    </row>
    <row r="392" spans="1:12" ht="90" x14ac:dyDescent="0.25">
      <c r="A392" t="s">
        <v>26</v>
      </c>
      <c r="B392" t="s">
        <v>902</v>
      </c>
      <c r="C392" t="s">
        <v>235</v>
      </c>
      <c r="D392" t="s">
        <v>920</v>
      </c>
      <c r="E392" t="s">
        <v>30</v>
      </c>
      <c r="F392" t="s">
        <v>182</v>
      </c>
      <c r="G392" t="s">
        <v>81</v>
      </c>
      <c r="H392" t="s">
        <v>33</v>
      </c>
      <c r="I392" s="1" t="s">
        <v>921</v>
      </c>
      <c r="J392" s="1" t="s">
        <v>426</v>
      </c>
      <c r="L392" s="13" t="str">
        <f t="shared" si="7"/>
        <v>2022-10-01</v>
      </c>
    </row>
    <row r="393" spans="1:12" ht="105" x14ac:dyDescent="0.25">
      <c r="A393" t="s">
        <v>26</v>
      </c>
      <c r="B393" t="s">
        <v>902</v>
      </c>
      <c r="C393" t="s">
        <v>106</v>
      </c>
      <c r="D393" t="s">
        <v>922</v>
      </c>
      <c r="E393" t="s">
        <v>30</v>
      </c>
      <c r="F393" t="s">
        <v>161</v>
      </c>
      <c r="G393" t="s">
        <v>32</v>
      </c>
      <c r="H393" t="s">
        <v>173</v>
      </c>
      <c r="I393" s="1" t="s">
        <v>923</v>
      </c>
      <c r="J393" s="1" t="s">
        <v>71</v>
      </c>
      <c r="L393" s="13" t="str">
        <f t="shared" si="7"/>
        <v>2022-10-01</v>
      </c>
    </row>
    <row r="394" spans="1:12" ht="105" x14ac:dyDescent="0.25">
      <c r="A394" t="s">
        <v>26</v>
      </c>
      <c r="B394" t="s">
        <v>902</v>
      </c>
      <c r="C394" t="s">
        <v>85</v>
      </c>
      <c r="D394" t="s">
        <v>378</v>
      </c>
      <c r="E394" t="s">
        <v>30</v>
      </c>
      <c r="F394" t="s">
        <v>216</v>
      </c>
      <c r="G394" t="s">
        <v>32</v>
      </c>
      <c r="H394" t="s">
        <v>87</v>
      </c>
      <c r="I394" s="1" t="s">
        <v>924</v>
      </c>
      <c r="J394" s="1" t="s">
        <v>436</v>
      </c>
      <c r="L394" s="13" t="str">
        <f t="shared" si="7"/>
        <v>2022-10-01</v>
      </c>
    </row>
    <row r="395" spans="1:12" ht="30" x14ac:dyDescent="0.25">
      <c r="A395" t="s">
        <v>26</v>
      </c>
      <c r="B395" t="s">
        <v>902</v>
      </c>
      <c r="C395" t="s">
        <v>235</v>
      </c>
      <c r="D395" t="s">
        <v>427</v>
      </c>
      <c r="E395" t="s">
        <v>30</v>
      </c>
      <c r="F395" t="s">
        <v>61</v>
      </c>
      <c r="G395" t="s">
        <v>81</v>
      </c>
      <c r="H395" t="s">
        <v>87</v>
      </c>
      <c r="I395" s="1" t="s">
        <v>925</v>
      </c>
      <c r="J395" s="1" t="s">
        <v>481</v>
      </c>
      <c r="L395" s="13" t="str">
        <f t="shared" si="7"/>
        <v>2022-10-01</v>
      </c>
    </row>
    <row r="396" spans="1:12" ht="165" x14ac:dyDescent="0.25">
      <c r="A396" t="s">
        <v>26</v>
      </c>
      <c r="B396" t="s">
        <v>902</v>
      </c>
      <c r="C396" t="s">
        <v>69</v>
      </c>
      <c r="D396" t="s">
        <v>819</v>
      </c>
      <c r="E396" t="s">
        <v>30</v>
      </c>
      <c r="F396" t="s">
        <v>154</v>
      </c>
      <c r="G396" t="s">
        <v>32</v>
      </c>
      <c r="H396" t="s">
        <v>87</v>
      </c>
      <c r="I396" s="1" t="s">
        <v>926</v>
      </c>
      <c r="J396" s="1" t="s">
        <v>17</v>
      </c>
      <c r="L396" s="13" t="str">
        <f t="shared" si="7"/>
        <v>2022-10-01</v>
      </c>
    </row>
    <row r="397" spans="1:12" ht="30" x14ac:dyDescent="0.25">
      <c r="A397" t="s">
        <v>26</v>
      </c>
      <c r="B397" t="s">
        <v>902</v>
      </c>
      <c r="C397" t="s">
        <v>38</v>
      </c>
      <c r="D397" t="s">
        <v>927</v>
      </c>
      <c r="E397" t="s">
        <v>30</v>
      </c>
      <c r="F397" t="s">
        <v>786</v>
      </c>
      <c r="G397" t="s">
        <v>32</v>
      </c>
      <c r="H397" t="s">
        <v>33</v>
      </c>
      <c r="I397" s="1" t="s">
        <v>928</v>
      </c>
      <c r="J397" s="1" t="s">
        <v>426</v>
      </c>
      <c r="L397" s="13" t="str">
        <f t="shared" si="7"/>
        <v>2022-10-01</v>
      </c>
    </row>
    <row r="398" spans="1:12" ht="45" x14ac:dyDescent="0.25">
      <c r="A398" t="s">
        <v>26</v>
      </c>
      <c r="B398" t="s">
        <v>902</v>
      </c>
      <c r="C398" t="s">
        <v>55</v>
      </c>
      <c r="D398" t="s">
        <v>929</v>
      </c>
      <c r="E398" t="s">
        <v>30</v>
      </c>
      <c r="F398" t="s">
        <v>40</v>
      </c>
      <c r="G398" t="s">
        <v>32</v>
      </c>
      <c r="H398" t="s">
        <v>33</v>
      </c>
      <c r="I398" s="1" t="s">
        <v>930</v>
      </c>
      <c r="J398" s="1" t="s">
        <v>426</v>
      </c>
      <c r="L398" s="13" t="str">
        <f t="shared" si="7"/>
        <v>2022-10-01</v>
      </c>
    </row>
    <row r="399" spans="1:12" ht="105" x14ac:dyDescent="0.25">
      <c r="A399" t="s">
        <v>26</v>
      </c>
      <c r="B399" t="s">
        <v>902</v>
      </c>
      <c r="C399" t="s">
        <v>50</v>
      </c>
      <c r="D399" t="s">
        <v>362</v>
      </c>
      <c r="E399" t="s">
        <v>30</v>
      </c>
      <c r="F399" t="s">
        <v>61</v>
      </c>
      <c r="G399" t="s">
        <v>32</v>
      </c>
      <c r="H399" t="s">
        <v>33</v>
      </c>
      <c r="I399" s="1" t="s">
        <v>931</v>
      </c>
      <c r="J399" s="1" t="s">
        <v>426</v>
      </c>
      <c r="L399" s="13" t="str">
        <f t="shared" si="7"/>
        <v>2022-10-01</v>
      </c>
    </row>
    <row r="400" spans="1:12" ht="45" x14ac:dyDescent="0.25">
      <c r="A400" t="s">
        <v>26</v>
      </c>
      <c r="B400" t="s">
        <v>902</v>
      </c>
      <c r="C400" t="s">
        <v>85</v>
      </c>
      <c r="D400" t="s">
        <v>405</v>
      </c>
      <c r="E400" t="s">
        <v>30</v>
      </c>
      <c r="F400" t="s">
        <v>681</v>
      </c>
      <c r="G400" t="s">
        <v>32</v>
      </c>
      <c r="H400" t="s">
        <v>173</v>
      </c>
      <c r="I400" s="1" t="s">
        <v>932</v>
      </c>
      <c r="J400" s="1" t="s">
        <v>17</v>
      </c>
      <c r="L400" s="13" t="str">
        <f t="shared" si="7"/>
        <v>2022-10-01</v>
      </c>
    </row>
    <row r="401" spans="1:12" ht="90" x14ac:dyDescent="0.25">
      <c r="A401" t="s">
        <v>26</v>
      </c>
      <c r="B401" t="s">
        <v>902</v>
      </c>
      <c r="C401" t="s">
        <v>38</v>
      </c>
      <c r="D401" t="s">
        <v>466</v>
      </c>
      <c r="E401" t="s">
        <v>30</v>
      </c>
      <c r="F401" t="s">
        <v>112</v>
      </c>
      <c r="G401" t="s">
        <v>32</v>
      </c>
      <c r="H401" t="s">
        <v>87</v>
      </c>
      <c r="I401" s="1" t="s">
        <v>933</v>
      </c>
      <c r="J401" s="1" t="s">
        <v>21</v>
      </c>
      <c r="L401" s="13" t="str">
        <f t="shared" si="7"/>
        <v>2022-10-01</v>
      </c>
    </row>
    <row r="402" spans="1:12" ht="90" x14ac:dyDescent="0.25">
      <c r="A402" t="s">
        <v>26</v>
      </c>
      <c r="B402" t="s">
        <v>902</v>
      </c>
      <c r="C402" t="s">
        <v>55</v>
      </c>
      <c r="D402" t="s">
        <v>279</v>
      </c>
      <c r="E402" t="s">
        <v>79</v>
      </c>
      <c r="F402" t="s">
        <v>196</v>
      </c>
      <c r="G402" t="s">
        <v>32</v>
      </c>
      <c r="H402" t="s">
        <v>33</v>
      </c>
      <c r="I402" s="1" t="s">
        <v>934</v>
      </c>
      <c r="J402" s="1" t="s">
        <v>426</v>
      </c>
      <c r="L402" s="13" t="str">
        <f t="shared" si="7"/>
        <v>2022-10-01</v>
      </c>
    </row>
    <row r="403" spans="1:12" ht="45" x14ac:dyDescent="0.25">
      <c r="A403" t="s">
        <v>26</v>
      </c>
      <c r="B403" t="s">
        <v>902</v>
      </c>
      <c r="C403" t="s">
        <v>50</v>
      </c>
      <c r="D403" t="s">
        <v>817</v>
      </c>
      <c r="E403" t="s">
        <v>30</v>
      </c>
      <c r="F403" t="s">
        <v>112</v>
      </c>
      <c r="G403" t="s">
        <v>69</v>
      </c>
      <c r="H403" t="s">
        <v>173</v>
      </c>
      <c r="I403" s="1" t="s">
        <v>935</v>
      </c>
      <c r="J403" s="1" t="s">
        <v>71</v>
      </c>
      <c r="L403" s="13" t="str">
        <f t="shared" si="7"/>
        <v>2022-10-01</v>
      </c>
    </row>
    <row r="404" spans="1:12" ht="30" x14ac:dyDescent="0.25">
      <c r="A404" t="s">
        <v>26</v>
      </c>
      <c r="B404" t="s">
        <v>902</v>
      </c>
      <c r="C404" t="s">
        <v>55</v>
      </c>
      <c r="D404" t="s">
        <v>579</v>
      </c>
      <c r="E404" t="s">
        <v>30</v>
      </c>
      <c r="F404" t="s">
        <v>112</v>
      </c>
      <c r="G404" t="s">
        <v>69</v>
      </c>
      <c r="H404" t="s">
        <v>33</v>
      </c>
      <c r="I404" s="1" t="s">
        <v>936</v>
      </c>
      <c r="J404" s="1" t="s">
        <v>426</v>
      </c>
      <c r="L404" s="13" t="str">
        <f t="shared" si="7"/>
        <v>2022-10-01</v>
      </c>
    </row>
    <row r="405" spans="1:12" ht="30" x14ac:dyDescent="0.25">
      <c r="A405" t="s">
        <v>26</v>
      </c>
      <c r="B405" t="s">
        <v>902</v>
      </c>
      <c r="C405" t="s">
        <v>69</v>
      </c>
      <c r="D405" t="s">
        <v>937</v>
      </c>
      <c r="E405" t="s">
        <v>30</v>
      </c>
      <c r="F405" t="s">
        <v>365</v>
      </c>
      <c r="G405" t="s">
        <v>32</v>
      </c>
      <c r="H405" t="s">
        <v>173</v>
      </c>
      <c r="I405" s="1" t="s">
        <v>938</v>
      </c>
      <c r="J405" s="1" t="s">
        <v>17</v>
      </c>
      <c r="L405" s="13" t="str">
        <f t="shared" si="7"/>
        <v>2022-10-01</v>
      </c>
    </row>
    <row r="406" spans="1:12" ht="45" x14ac:dyDescent="0.25">
      <c r="A406" t="s">
        <v>91</v>
      </c>
      <c r="B406" t="s">
        <v>902</v>
      </c>
      <c r="C406" t="s">
        <v>96</v>
      </c>
      <c r="D406" t="s">
        <v>97</v>
      </c>
      <c r="E406" t="s">
        <v>30</v>
      </c>
      <c r="F406" t="s">
        <v>196</v>
      </c>
      <c r="G406" t="s">
        <v>32</v>
      </c>
      <c r="H406" t="s">
        <v>33</v>
      </c>
      <c r="I406" s="1" t="s">
        <v>939</v>
      </c>
      <c r="J406" s="1" t="s">
        <v>426</v>
      </c>
      <c r="L406" s="13" t="str">
        <f t="shared" si="7"/>
        <v>2022-10-01</v>
      </c>
    </row>
    <row r="407" spans="1:12" ht="45" x14ac:dyDescent="0.25">
      <c r="A407" t="s">
        <v>26</v>
      </c>
      <c r="B407" t="s">
        <v>902</v>
      </c>
      <c r="C407" t="s">
        <v>44</v>
      </c>
      <c r="D407" t="s">
        <v>616</v>
      </c>
      <c r="E407" t="s">
        <v>30</v>
      </c>
      <c r="F407" t="s">
        <v>561</v>
      </c>
      <c r="G407" t="s">
        <v>32</v>
      </c>
      <c r="H407" t="s">
        <v>87</v>
      </c>
      <c r="I407" s="1" t="s">
        <v>940</v>
      </c>
      <c r="J407" s="1" t="s">
        <v>17</v>
      </c>
      <c r="L407" s="13" t="str">
        <f t="shared" si="7"/>
        <v>2022-10-01</v>
      </c>
    </row>
    <row r="408" spans="1:12" ht="45" x14ac:dyDescent="0.25">
      <c r="A408" t="s">
        <v>49</v>
      </c>
      <c r="B408" t="s">
        <v>902</v>
      </c>
      <c r="C408" t="s">
        <v>249</v>
      </c>
      <c r="D408" t="s">
        <v>306</v>
      </c>
      <c r="E408" t="s">
        <v>30</v>
      </c>
      <c r="F408" t="s">
        <v>61</v>
      </c>
      <c r="G408" t="s">
        <v>32</v>
      </c>
      <c r="H408" t="s">
        <v>33</v>
      </c>
      <c r="I408" s="1" t="s">
        <v>941</v>
      </c>
      <c r="J408" s="1" t="s">
        <v>426</v>
      </c>
      <c r="L408" s="13" t="str">
        <f t="shared" si="7"/>
        <v>2022-10-01</v>
      </c>
    </row>
    <row r="409" spans="1:12" ht="45" x14ac:dyDescent="0.25">
      <c r="A409" t="s">
        <v>26</v>
      </c>
      <c r="B409" t="s">
        <v>902</v>
      </c>
      <c r="C409" t="s">
        <v>28</v>
      </c>
      <c r="D409" t="s">
        <v>388</v>
      </c>
      <c r="E409" t="s">
        <v>30</v>
      </c>
      <c r="F409" t="s">
        <v>189</v>
      </c>
      <c r="G409" t="s">
        <v>32</v>
      </c>
      <c r="H409" t="s">
        <v>33</v>
      </c>
      <c r="I409" s="1" t="s">
        <v>942</v>
      </c>
      <c r="J409" s="1" t="s">
        <v>426</v>
      </c>
      <c r="L409" s="13" t="str">
        <f t="shared" si="7"/>
        <v>2022-10-01</v>
      </c>
    </row>
    <row r="410" spans="1:12" ht="30" x14ac:dyDescent="0.25">
      <c r="A410" t="s">
        <v>49</v>
      </c>
      <c r="B410" t="s">
        <v>902</v>
      </c>
      <c r="C410" t="s">
        <v>28</v>
      </c>
      <c r="D410" t="s">
        <v>943</v>
      </c>
      <c r="E410" t="s">
        <v>30</v>
      </c>
      <c r="F410" t="s">
        <v>46</v>
      </c>
      <c r="G410" t="s">
        <v>32</v>
      </c>
      <c r="H410" t="s">
        <v>173</v>
      </c>
      <c r="I410" s="1" t="s">
        <v>944</v>
      </c>
      <c r="J410" s="1" t="s">
        <v>71</v>
      </c>
      <c r="L410" s="13" t="str">
        <f t="shared" si="7"/>
        <v>2022-10-01</v>
      </c>
    </row>
    <row r="411" spans="1:12" ht="75" x14ac:dyDescent="0.25">
      <c r="A411" t="s">
        <v>26</v>
      </c>
      <c r="B411" t="s">
        <v>902</v>
      </c>
      <c r="C411" t="s">
        <v>44</v>
      </c>
      <c r="D411" t="s">
        <v>721</v>
      </c>
      <c r="E411" t="s">
        <v>30</v>
      </c>
      <c r="F411" t="s">
        <v>606</v>
      </c>
      <c r="G411" t="s">
        <v>69</v>
      </c>
      <c r="H411" t="s">
        <v>173</v>
      </c>
      <c r="I411" s="1" t="s">
        <v>945</v>
      </c>
      <c r="J411" s="1" t="s">
        <v>17</v>
      </c>
      <c r="L411" s="13" t="str">
        <f t="shared" si="7"/>
        <v>2022-10-01</v>
      </c>
    </row>
    <row r="412" spans="1:12" ht="105" x14ac:dyDescent="0.25">
      <c r="A412" t="s">
        <v>37</v>
      </c>
      <c r="B412" t="s">
        <v>902</v>
      </c>
      <c r="C412" t="s">
        <v>28</v>
      </c>
      <c r="D412" t="s">
        <v>946</v>
      </c>
      <c r="E412" t="s">
        <v>30</v>
      </c>
      <c r="F412" t="s">
        <v>98</v>
      </c>
      <c r="G412" t="s">
        <v>69</v>
      </c>
      <c r="H412" t="s">
        <v>87</v>
      </c>
      <c r="I412" s="1" t="s">
        <v>947</v>
      </c>
      <c r="J412" s="1" t="s">
        <v>104</v>
      </c>
      <c r="L412" s="13" t="str">
        <f t="shared" si="7"/>
        <v>2022-10-01</v>
      </c>
    </row>
    <row r="413" spans="1:12" ht="105" x14ac:dyDescent="0.25">
      <c r="A413" t="s">
        <v>49</v>
      </c>
      <c r="B413" t="s">
        <v>902</v>
      </c>
      <c r="C413" t="s">
        <v>73</v>
      </c>
      <c r="D413" t="s">
        <v>678</v>
      </c>
      <c r="E413" t="s">
        <v>30</v>
      </c>
      <c r="F413" t="s">
        <v>94</v>
      </c>
      <c r="G413" t="s">
        <v>69</v>
      </c>
      <c r="H413" t="s">
        <v>33</v>
      </c>
      <c r="I413" s="1" t="s">
        <v>948</v>
      </c>
      <c r="J413" s="1" t="s">
        <v>426</v>
      </c>
      <c r="L413" s="13" t="str">
        <f t="shared" si="7"/>
        <v>2022-10-01</v>
      </c>
    </row>
    <row r="414" spans="1:12" ht="105" x14ac:dyDescent="0.25">
      <c r="A414" t="s">
        <v>26</v>
      </c>
      <c r="B414" t="s">
        <v>902</v>
      </c>
      <c r="C414" t="s">
        <v>44</v>
      </c>
      <c r="D414" t="s">
        <v>949</v>
      </c>
      <c r="E414" t="s">
        <v>30</v>
      </c>
      <c r="F414" t="s">
        <v>446</v>
      </c>
      <c r="G414" t="s">
        <v>32</v>
      </c>
      <c r="H414" t="s">
        <v>173</v>
      </c>
      <c r="I414" s="1" t="s">
        <v>950</v>
      </c>
      <c r="J414" s="1" t="s">
        <v>436</v>
      </c>
      <c r="L414" s="13" t="str">
        <f t="shared" si="7"/>
        <v>2022-10-01</v>
      </c>
    </row>
    <row r="415" spans="1:12" ht="90" x14ac:dyDescent="0.25">
      <c r="A415" t="s">
        <v>49</v>
      </c>
      <c r="B415" t="s">
        <v>902</v>
      </c>
      <c r="C415" t="s">
        <v>28</v>
      </c>
      <c r="D415" t="s">
        <v>951</v>
      </c>
      <c r="E415" t="s">
        <v>30</v>
      </c>
      <c r="F415" t="s">
        <v>154</v>
      </c>
      <c r="G415" t="s">
        <v>32</v>
      </c>
      <c r="H415" t="s">
        <v>33</v>
      </c>
      <c r="I415" s="1" t="s">
        <v>952</v>
      </c>
      <c r="J415" s="1" t="s">
        <v>426</v>
      </c>
      <c r="L415" s="13" t="str">
        <f t="shared" si="7"/>
        <v>2022-10-01</v>
      </c>
    </row>
    <row r="416" spans="1:12" ht="45" x14ac:dyDescent="0.25">
      <c r="A416" t="s">
        <v>26</v>
      </c>
      <c r="B416" t="s">
        <v>902</v>
      </c>
      <c r="C416" t="s">
        <v>55</v>
      </c>
      <c r="D416" t="s">
        <v>953</v>
      </c>
      <c r="E416" t="s">
        <v>30</v>
      </c>
      <c r="F416" t="s">
        <v>94</v>
      </c>
      <c r="G416" t="s">
        <v>32</v>
      </c>
      <c r="H416" t="s">
        <v>33</v>
      </c>
      <c r="I416" s="1" t="s">
        <v>954</v>
      </c>
      <c r="J416" s="1" t="s">
        <v>426</v>
      </c>
      <c r="L416" s="13" t="str">
        <f t="shared" si="7"/>
        <v>2022-10-01</v>
      </c>
    </row>
    <row r="417" spans="1:12" ht="45" x14ac:dyDescent="0.25">
      <c r="A417" t="s">
        <v>49</v>
      </c>
      <c r="B417" t="s">
        <v>902</v>
      </c>
      <c r="C417" t="s">
        <v>28</v>
      </c>
      <c r="D417" t="s">
        <v>955</v>
      </c>
      <c r="E417" t="s">
        <v>30</v>
      </c>
      <c r="F417" t="s">
        <v>112</v>
      </c>
      <c r="G417" t="s">
        <v>32</v>
      </c>
      <c r="H417" t="s">
        <v>33</v>
      </c>
      <c r="I417" s="1" t="s">
        <v>956</v>
      </c>
      <c r="J417" s="1" t="s">
        <v>426</v>
      </c>
      <c r="L417" s="13" t="str">
        <f t="shared" si="7"/>
        <v>2022-10-01</v>
      </c>
    </row>
    <row r="418" spans="1:12" ht="45" x14ac:dyDescent="0.25">
      <c r="A418" t="s">
        <v>49</v>
      </c>
      <c r="B418" t="s">
        <v>902</v>
      </c>
      <c r="C418" t="s">
        <v>96</v>
      </c>
      <c r="D418" t="s">
        <v>201</v>
      </c>
      <c r="E418" t="s">
        <v>30</v>
      </c>
      <c r="F418" t="s">
        <v>189</v>
      </c>
      <c r="G418" t="s">
        <v>32</v>
      </c>
      <c r="H418" t="s">
        <v>87</v>
      </c>
      <c r="I418" s="1" t="s">
        <v>957</v>
      </c>
      <c r="J418" s="1" t="s">
        <v>17</v>
      </c>
      <c r="L418" s="13" t="str">
        <f t="shared" si="7"/>
        <v>2022-10-01</v>
      </c>
    </row>
    <row r="419" spans="1:12" ht="90" x14ac:dyDescent="0.25">
      <c r="A419" t="s">
        <v>91</v>
      </c>
      <c r="B419" t="s">
        <v>902</v>
      </c>
      <c r="C419" t="s">
        <v>263</v>
      </c>
      <c r="D419" t="s">
        <v>958</v>
      </c>
      <c r="E419" t="s">
        <v>30</v>
      </c>
      <c r="F419" t="s">
        <v>136</v>
      </c>
      <c r="G419" t="s">
        <v>32</v>
      </c>
      <c r="H419" t="s">
        <v>33</v>
      </c>
      <c r="I419" s="1" t="s">
        <v>959</v>
      </c>
      <c r="J419" s="1" t="s">
        <v>426</v>
      </c>
      <c r="L419" s="13" t="str">
        <f t="shared" si="7"/>
        <v>2022-10-01</v>
      </c>
    </row>
    <row r="420" spans="1:12" ht="60" x14ac:dyDescent="0.25">
      <c r="A420" t="s">
        <v>49</v>
      </c>
      <c r="B420" t="s">
        <v>902</v>
      </c>
      <c r="C420" t="s">
        <v>32</v>
      </c>
      <c r="D420" t="s">
        <v>960</v>
      </c>
      <c r="E420" t="s">
        <v>30</v>
      </c>
      <c r="F420" t="s">
        <v>202</v>
      </c>
      <c r="G420" t="s">
        <v>81</v>
      </c>
      <c r="H420" t="s">
        <v>173</v>
      </c>
      <c r="I420" s="1" t="s">
        <v>961</v>
      </c>
      <c r="J420" s="1" t="s">
        <v>481</v>
      </c>
      <c r="L420" s="13" t="str">
        <f t="shared" si="7"/>
        <v>2022-10-01</v>
      </c>
    </row>
    <row r="421" spans="1:12" ht="90" x14ac:dyDescent="0.25">
      <c r="A421" t="s">
        <v>59</v>
      </c>
      <c r="B421" t="s">
        <v>902</v>
      </c>
      <c r="C421" t="s">
        <v>240</v>
      </c>
      <c r="D421" t="s">
        <v>597</v>
      </c>
      <c r="E421" t="s">
        <v>30</v>
      </c>
      <c r="F421" t="s">
        <v>446</v>
      </c>
      <c r="G421" t="s">
        <v>32</v>
      </c>
      <c r="H421" t="s">
        <v>33</v>
      </c>
      <c r="I421" s="1" t="s">
        <v>962</v>
      </c>
      <c r="J421" s="1" t="s">
        <v>426</v>
      </c>
      <c r="L421" s="13" t="str">
        <f t="shared" si="7"/>
        <v>2022-10-01</v>
      </c>
    </row>
    <row r="422" spans="1:12" ht="105" x14ac:dyDescent="0.25">
      <c r="A422" t="s">
        <v>91</v>
      </c>
      <c r="B422" t="s">
        <v>902</v>
      </c>
      <c r="C422" t="s">
        <v>50</v>
      </c>
      <c r="D422" t="s">
        <v>817</v>
      </c>
      <c r="E422" t="s">
        <v>79</v>
      </c>
      <c r="F422" t="s">
        <v>290</v>
      </c>
      <c r="G422" t="s">
        <v>81</v>
      </c>
      <c r="H422" t="s">
        <v>33</v>
      </c>
      <c r="I422" s="1" t="s">
        <v>963</v>
      </c>
      <c r="J422" s="1" t="s">
        <v>426</v>
      </c>
      <c r="L422" s="13" t="str">
        <f t="shared" si="7"/>
        <v>2022-10-01</v>
      </c>
    </row>
    <row r="423" spans="1:12" ht="60" x14ac:dyDescent="0.25">
      <c r="A423" t="s">
        <v>37</v>
      </c>
      <c r="B423" t="s">
        <v>902</v>
      </c>
      <c r="C423" t="s">
        <v>44</v>
      </c>
      <c r="D423" t="s">
        <v>821</v>
      </c>
      <c r="E423" t="s">
        <v>30</v>
      </c>
      <c r="F423" t="s">
        <v>98</v>
      </c>
      <c r="G423" t="s">
        <v>32</v>
      </c>
      <c r="H423" t="s">
        <v>33</v>
      </c>
      <c r="I423" s="1" t="s">
        <v>964</v>
      </c>
      <c r="J423" s="1" t="s">
        <v>426</v>
      </c>
      <c r="L423" s="13" t="str">
        <f t="shared" si="7"/>
        <v>2022-10-01</v>
      </c>
    </row>
    <row r="424" spans="1:12" ht="30" x14ac:dyDescent="0.25">
      <c r="A424" t="s">
        <v>59</v>
      </c>
      <c r="B424" t="s">
        <v>902</v>
      </c>
      <c r="C424" t="s">
        <v>55</v>
      </c>
      <c r="D424" t="s">
        <v>965</v>
      </c>
      <c r="E424" t="s">
        <v>30</v>
      </c>
      <c r="F424" t="s">
        <v>307</v>
      </c>
      <c r="G424" t="s">
        <v>32</v>
      </c>
      <c r="H424" t="s">
        <v>173</v>
      </c>
      <c r="I424" s="1" t="s">
        <v>966</v>
      </c>
      <c r="J424" s="1" t="s">
        <v>15</v>
      </c>
      <c r="L424" s="13" t="str">
        <f t="shared" si="7"/>
        <v>2022-10-01</v>
      </c>
    </row>
    <row r="425" spans="1:12" ht="90" x14ac:dyDescent="0.25">
      <c r="A425" t="s">
        <v>37</v>
      </c>
      <c r="B425" t="s">
        <v>902</v>
      </c>
      <c r="C425" t="s">
        <v>249</v>
      </c>
      <c r="D425" t="s">
        <v>967</v>
      </c>
      <c r="E425" t="s">
        <v>30</v>
      </c>
      <c r="F425" t="s">
        <v>307</v>
      </c>
      <c r="G425" t="s">
        <v>32</v>
      </c>
      <c r="H425" t="s">
        <v>173</v>
      </c>
      <c r="I425" s="1" t="s">
        <v>968</v>
      </c>
      <c r="J425" s="1" t="s">
        <v>426</v>
      </c>
      <c r="L425" s="13" t="str">
        <f t="shared" si="7"/>
        <v>2022-10-01</v>
      </c>
    </row>
    <row r="426" spans="1:12" ht="105" x14ac:dyDescent="0.25">
      <c r="A426" t="s">
        <v>37</v>
      </c>
      <c r="B426" t="s">
        <v>902</v>
      </c>
      <c r="C426" t="s">
        <v>50</v>
      </c>
      <c r="D426" t="s">
        <v>836</v>
      </c>
      <c r="E426" t="s">
        <v>30</v>
      </c>
      <c r="F426" t="s">
        <v>182</v>
      </c>
      <c r="G426" t="s">
        <v>32</v>
      </c>
      <c r="H426" t="s">
        <v>33</v>
      </c>
      <c r="I426" s="1" t="s">
        <v>969</v>
      </c>
      <c r="J426" s="1" t="s">
        <v>426</v>
      </c>
      <c r="L426" s="13" t="str">
        <f t="shared" si="7"/>
        <v>2022-10-01</v>
      </c>
    </row>
    <row r="427" spans="1:12" ht="105" x14ac:dyDescent="0.25">
      <c r="A427" t="s">
        <v>26</v>
      </c>
      <c r="B427" t="s">
        <v>970</v>
      </c>
      <c r="C427" t="s">
        <v>249</v>
      </c>
      <c r="D427" t="s">
        <v>776</v>
      </c>
      <c r="E427" t="s">
        <v>79</v>
      </c>
      <c r="F427" t="s">
        <v>140</v>
      </c>
      <c r="G427" t="s">
        <v>32</v>
      </c>
      <c r="H427" t="s">
        <v>33</v>
      </c>
      <c r="I427" s="1" t="s">
        <v>971</v>
      </c>
      <c r="J427" s="1" t="s">
        <v>426</v>
      </c>
      <c r="L427" s="13" t="str">
        <f t="shared" si="7"/>
        <v>2022-09-30</v>
      </c>
    </row>
    <row r="428" spans="1:12" ht="45" x14ac:dyDescent="0.25">
      <c r="A428" t="s">
        <v>26</v>
      </c>
      <c r="B428" t="s">
        <v>970</v>
      </c>
      <c r="C428" t="s">
        <v>92</v>
      </c>
      <c r="D428" t="s">
        <v>477</v>
      </c>
      <c r="E428" t="s">
        <v>30</v>
      </c>
      <c r="F428" t="s">
        <v>223</v>
      </c>
      <c r="G428" t="s">
        <v>69</v>
      </c>
      <c r="H428" t="s">
        <v>87</v>
      </c>
      <c r="I428" s="1" t="s">
        <v>972</v>
      </c>
      <c r="J428" s="1" t="s">
        <v>71</v>
      </c>
      <c r="L428" s="13" t="str">
        <f t="shared" si="7"/>
        <v>2022-09-30</v>
      </c>
    </row>
    <row r="429" spans="1:12" ht="30" x14ac:dyDescent="0.25">
      <c r="A429" t="s">
        <v>26</v>
      </c>
      <c r="B429" t="s">
        <v>970</v>
      </c>
      <c r="C429" t="s">
        <v>472</v>
      </c>
      <c r="D429" t="s">
        <v>973</v>
      </c>
      <c r="E429" t="s">
        <v>30</v>
      </c>
      <c r="F429" t="s">
        <v>294</v>
      </c>
      <c r="G429" t="s">
        <v>32</v>
      </c>
      <c r="H429" t="s">
        <v>87</v>
      </c>
      <c r="I429" s="1" t="s">
        <v>974</v>
      </c>
      <c r="J429" s="1" t="s">
        <v>436</v>
      </c>
      <c r="L429" s="13" t="str">
        <f t="shared" si="7"/>
        <v>2022-09-30</v>
      </c>
    </row>
    <row r="430" spans="1:12" ht="60" x14ac:dyDescent="0.25">
      <c r="A430" t="s">
        <v>26</v>
      </c>
      <c r="B430" t="s">
        <v>970</v>
      </c>
      <c r="C430" t="s">
        <v>263</v>
      </c>
      <c r="D430" t="s">
        <v>975</v>
      </c>
      <c r="E430" t="s">
        <v>30</v>
      </c>
      <c r="F430" t="s">
        <v>102</v>
      </c>
      <c r="G430" t="s">
        <v>81</v>
      </c>
      <c r="H430" t="s">
        <v>173</v>
      </c>
      <c r="I430" s="1" t="s">
        <v>976</v>
      </c>
      <c r="J430" s="1" t="s">
        <v>17</v>
      </c>
      <c r="L430" s="13" t="str">
        <f t="shared" si="7"/>
        <v>2022-09-30</v>
      </c>
    </row>
    <row r="431" spans="1:12" ht="75" x14ac:dyDescent="0.25">
      <c r="A431" t="s">
        <v>26</v>
      </c>
      <c r="B431" t="s">
        <v>970</v>
      </c>
      <c r="C431" t="s">
        <v>240</v>
      </c>
      <c r="D431" t="s">
        <v>703</v>
      </c>
      <c r="E431" t="s">
        <v>79</v>
      </c>
      <c r="F431" t="s">
        <v>216</v>
      </c>
      <c r="G431" t="s">
        <v>32</v>
      </c>
      <c r="H431" t="s">
        <v>173</v>
      </c>
      <c r="I431" s="1" t="s">
        <v>977</v>
      </c>
      <c r="J431" s="1" t="s">
        <v>481</v>
      </c>
      <c r="L431" s="13" t="str">
        <f t="shared" si="7"/>
        <v>2022-09-30</v>
      </c>
    </row>
    <row r="432" spans="1:12" ht="105" x14ac:dyDescent="0.25">
      <c r="A432" t="s">
        <v>26</v>
      </c>
      <c r="B432" t="s">
        <v>970</v>
      </c>
      <c r="C432" t="s">
        <v>240</v>
      </c>
      <c r="D432" t="s">
        <v>978</v>
      </c>
      <c r="E432" t="s">
        <v>79</v>
      </c>
      <c r="F432" t="s">
        <v>602</v>
      </c>
      <c r="G432" t="s">
        <v>32</v>
      </c>
      <c r="H432" t="s">
        <v>33</v>
      </c>
      <c r="I432" s="1" t="s">
        <v>979</v>
      </c>
      <c r="J432" s="1" t="s">
        <v>426</v>
      </c>
      <c r="L432" s="13" t="str">
        <f t="shared" si="7"/>
        <v>2022-09-30</v>
      </c>
    </row>
    <row r="433" spans="1:12" ht="30" x14ac:dyDescent="0.25">
      <c r="A433" t="s">
        <v>26</v>
      </c>
      <c r="B433" t="s">
        <v>970</v>
      </c>
      <c r="C433" t="s">
        <v>235</v>
      </c>
      <c r="D433" t="s">
        <v>537</v>
      </c>
      <c r="E433" t="s">
        <v>30</v>
      </c>
      <c r="F433" t="s">
        <v>98</v>
      </c>
      <c r="G433" t="s">
        <v>81</v>
      </c>
      <c r="H433" t="s">
        <v>173</v>
      </c>
      <c r="I433" s="1" t="s">
        <v>980</v>
      </c>
      <c r="J433" s="1" t="s">
        <v>481</v>
      </c>
      <c r="L433" s="13" t="str">
        <f t="shared" si="7"/>
        <v>2022-09-30</v>
      </c>
    </row>
    <row r="434" spans="1:12" ht="105" x14ac:dyDescent="0.25">
      <c r="A434" t="s">
        <v>26</v>
      </c>
      <c r="B434" t="s">
        <v>970</v>
      </c>
      <c r="C434" t="s">
        <v>263</v>
      </c>
      <c r="D434" t="s">
        <v>650</v>
      </c>
      <c r="E434" t="s">
        <v>30</v>
      </c>
      <c r="F434" t="s">
        <v>52</v>
      </c>
      <c r="G434" t="s">
        <v>32</v>
      </c>
      <c r="H434" t="s">
        <v>33</v>
      </c>
      <c r="I434" s="1" t="s">
        <v>981</v>
      </c>
      <c r="J434" s="1" t="s">
        <v>426</v>
      </c>
      <c r="L434" s="13" t="str">
        <f t="shared" si="7"/>
        <v>2022-09-30</v>
      </c>
    </row>
    <row r="435" spans="1:12" ht="105" x14ac:dyDescent="0.25">
      <c r="A435" t="s">
        <v>26</v>
      </c>
      <c r="B435" t="s">
        <v>970</v>
      </c>
      <c r="C435" t="s">
        <v>472</v>
      </c>
      <c r="D435" t="s">
        <v>812</v>
      </c>
      <c r="E435" t="s">
        <v>30</v>
      </c>
      <c r="F435" t="s">
        <v>52</v>
      </c>
      <c r="G435" t="s">
        <v>32</v>
      </c>
      <c r="H435" t="s">
        <v>87</v>
      </c>
      <c r="I435" s="1" t="s">
        <v>982</v>
      </c>
      <c r="J435" s="1" t="s">
        <v>481</v>
      </c>
      <c r="L435" s="13" t="str">
        <f t="shared" si="7"/>
        <v>2022-09-30</v>
      </c>
    </row>
    <row r="436" spans="1:12" ht="30" x14ac:dyDescent="0.25">
      <c r="A436" t="s">
        <v>26</v>
      </c>
      <c r="B436" t="s">
        <v>970</v>
      </c>
      <c r="C436" t="s">
        <v>38</v>
      </c>
      <c r="D436" t="s">
        <v>489</v>
      </c>
      <c r="E436" t="s">
        <v>30</v>
      </c>
      <c r="F436" t="s">
        <v>94</v>
      </c>
      <c r="G436" t="s">
        <v>69</v>
      </c>
      <c r="H436" t="s">
        <v>33</v>
      </c>
      <c r="I436" s="1" t="s">
        <v>983</v>
      </c>
      <c r="J436" s="1" t="s">
        <v>481</v>
      </c>
      <c r="L436" s="13" t="str">
        <f t="shared" si="7"/>
        <v>2022-09-30</v>
      </c>
    </row>
    <row r="437" spans="1:12" ht="30" x14ac:dyDescent="0.25">
      <c r="A437" t="s">
        <v>26</v>
      </c>
      <c r="B437" t="s">
        <v>970</v>
      </c>
      <c r="C437" t="s">
        <v>85</v>
      </c>
      <c r="D437" t="s">
        <v>984</v>
      </c>
      <c r="E437" t="s">
        <v>30</v>
      </c>
      <c r="F437" t="s">
        <v>205</v>
      </c>
      <c r="G437" t="s">
        <v>32</v>
      </c>
      <c r="H437" t="s">
        <v>33</v>
      </c>
      <c r="I437" s="1" t="s">
        <v>985</v>
      </c>
      <c r="J437" s="1" t="s">
        <v>426</v>
      </c>
      <c r="L437" s="13" t="str">
        <f t="shared" si="7"/>
        <v>2022-09-30</v>
      </c>
    </row>
    <row r="438" spans="1:12" ht="75" x14ac:dyDescent="0.25">
      <c r="A438" t="s">
        <v>26</v>
      </c>
      <c r="B438" t="s">
        <v>970</v>
      </c>
      <c r="C438" t="s">
        <v>249</v>
      </c>
      <c r="D438" t="s">
        <v>657</v>
      </c>
      <c r="E438" t="s">
        <v>30</v>
      </c>
      <c r="F438" t="s">
        <v>98</v>
      </c>
      <c r="G438" t="s">
        <v>32</v>
      </c>
      <c r="H438" t="s">
        <v>87</v>
      </c>
      <c r="I438" s="1" t="s">
        <v>986</v>
      </c>
      <c r="J438" s="1" t="s">
        <v>17</v>
      </c>
      <c r="L438" s="13" t="str">
        <f t="shared" si="7"/>
        <v>2022-09-30</v>
      </c>
    </row>
    <row r="439" spans="1:12" ht="105" x14ac:dyDescent="0.25">
      <c r="A439" t="s">
        <v>26</v>
      </c>
      <c r="B439" t="s">
        <v>970</v>
      </c>
      <c r="C439" t="s">
        <v>472</v>
      </c>
      <c r="D439" t="s">
        <v>839</v>
      </c>
      <c r="E439" t="s">
        <v>30</v>
      </c>
      <c r="F439" t="s">
        <v>587</v>
      </c>
      <c r="G439" t="s">
        <v>81</v>
      </c>
      <c r="H439" t="s">
        <v>173</v>
      </c>
      <c r="I439" s="1" t="s">
        <v>987</v>
      </c>
      <c r="J439" s="1" t="s">
        <v>71</v>
      </c>
      <c r="L439" s="13" t="str">
        <f t="shared" si="7"/>
        <v>2022-09-30</v>
      </c>
    </row>
    <row r="440" spans="1:12" ht="60" x14ac:dyDescent="0.25">
      <c r="A440" t="s">
        <v>26</v>
      </c>
      <c r="B440" t="s">
        <v>970</v>
      </c>
      <c r="C440" t="s">
        <v>472</v>
      </c>
      <c r="D440" t="s">
        <v>839</v>
      </c>
      <c r="E440" t="s">
        <v>30</v>
      </c>
      <c r="F440" t="s">
        <v>290</v>
      </c>
      <c r="G440" t="s">
        <v>32</v>
      </c>
      <c r="H440" t="s">
        <v>173</v>
      </c>
      <c r="I440" s="1" t="s">
        <v>988</v>
      </c>
      <c r="J440" s="1" t="s">
        <v>17</v>
      </c>
      <c r="L440" s="13" t="str">
        <f t="shared" si="7"/>
        <v>2022-09-30</v>
      </c>
    </row>
    <row r="441" spans="1:12" ht="75" x14ac:dyDescent="0.25">
      <c r="A441" t="s">
        <v>26</v>
      </c>
      <c r="B441" t="s">
        <v>970</v>
      </c>
      <c r="C441" t="s">
        <v>55</v>
      </c>
      <c r="D441" t="s">
        <v>989</v>
      </c>
      <c r="E441" t="s">
        <v>30</v>
      </c>
      <c r="F441" t="s">
        <v>94</v>
      </c>
      <c r="G441" t="s">
        <v>32</v>
      </c>
      <c r="H441" t="s">
        <v>33</v>
      </c>
      <c r="I441" s="1" t="s">
        <v>990</v>
      </c>
      <c r="J441" s="1" t="s">
        <v>426</v>
      </c>
      <c r="L441" s="13" t="str">
        <f t="shared" si="7"/>
        <v>2022-09-30</v>
      </c>
    </row>
    <row r="442" spans="1:12" ht="30" x14ac:dyDescent="0.25">
      <c r="A442" t="s">
        <v>26</v>
      </c>
      <c r="B442" t="s">
        <v>970</v>
      </c>
      <c r="C442" t="s">
        <v>249</v>
      </c>
      <c r="D442" t="s">
        <v>657</v>
      </c>
      <c r="E442" t="s">
        <v>30</v>
      </c>
      <c r="F442" t="s">
        <v>189</v>
      </c>
      <c r="G442" t="s">
        <v>32</v>
      </c>
      <c r="H442" t="s">
        <v>33</v>
      </c>
      <c r="I442" s="1" t="s">
        <v>991</v>
      </c>
      <c r="J442" s="1" t="s">
        <v>21</v>
      </c>
      <c r="L442" s="13" t="str">
        <f t="shared" si="7"/>
        <v>2022-09-30</v>
      </c>
    </row>
    <row r="443" spans="1:12" ht="30" x14ac:dyDescent="0.25">
      <c r="A443" t="s">
        <v>26</v>
      </c>
      <c r="B443" t="s">
        <v>970</v>
      </c>
      <c r="C443" t="s">
        <v>235</v>
      </c>
      <c r="D443" t="s">
        <v>270</v>
      </c>
      <c r="E443" t="s">
        <v>30</v>
      </c>
      <c r="F443" t="s">
        <v>94</v>
      </c>
      <c r="G443" t="s">
        <v>32</v>
      </c>
      <c r="H443" t="s">
        <v>33</v>
      </c>
      <c r="I443" s="1" t="s">
        <v>992</v>
      </c>
      <c r="J443" s="1" t="s">
        <v>426</v>
      </c>
      <c r="L443" s="13" t="str">
        <f t="shared" si="7"/>
        <v>2022-09-30</v>
      </c>
    </row>
    <row r="444" spans="1:12" ht="90" x14ac:dyDescent="0.25">
      <c r="A444" t="s">
        <v>26</v>
      </c>
      <c r="B444" t="s">
        <v>970</v>
      </c>
      <c r="C444" t="s">
        <v>44</v>
      </c>
      <c r="D444" t="s">
        <v>622</v>
      </c>
      <c r="E444" t="s">
        <v>30</v>
      </c>
      <c r="F444" t="s">
        <v>189</v>
      </c>
      <c r="G444" t="s">
        <v>32</v>
      </c>
      <c r="H444" t="s">
        <v>33</v>
      </c>
      <c r="I444" s="1" t="s">
        <v>993</v>
      </c>
      <c r="J444" s="1" t="s">
        <v>426</v>
      </c>
      <c r="L444" s="13" t="str">
        <f t="shared" si="7"/>
        <v>2022-09-30</v>
      </c>
    </row>
    <row r="445" spans="1:12" ht="45" x14ac:dyDescent="0.25">
      <c r="A445" t="s">
        <v>49</v>
      </c>
      <c r="B445" t="s">
        <v>970</v>
      </c>
      <c r="C445" t="s">
        <v>240</v>
      </c>
      <c r="D445" t="s">
        <v>882</v>
      </c>
      <c r="E445" t="s">
        <v>30</v>
      </c>
      <c r="F445" t="s">
        <v>61</v>
      </c>
      <c r="G445" t="s">
        <v>32</v>
      </c>
      <c r="H445" t="s">
        <v>87</v>
      </c>
      <c r="I445" s="1" t="s">
        <v>994</v>
      </c>
      <c r="J445" s="1" t="s">
        <v>17</v>
      </c>
      <c r="L445" s="13" t="str">
        <f t="shared" si="7"/>
        <v>2022-09-30</v>
      </c>
    </row>
    <row r="446" spans="1:12" ht="90" x14ac:dyDescent="0.25">
      <c r="A446" t="s">
        <v>26</v>
      </c>
      <c r="B446" t="s">
        <v>970</v>
      </c>
      <c r="C446" t="s">
        <v>92</v>
      </c>
      <c r="D446" t="s">
        <v>629</v>
      </c>
      <c r="E446" t="s">
        <v>30</v>
      </c>
      <c r="F446" t="s">
        <v>108</v>
      </c>
      <c r="G446" t="s">
        <v>81</v>
      </c>
      <c r="H446" t="s">
        <v>173</v>
      </c>
      <c r="I446" s="1" t="s">
        <v>995</v>
      </c>
      <c r="J446" s="1" t="s">
        <v>104</v>
      </c>
      <c r="L446" s="13" t="str">
        <f t="shared" si="7"/>
        <v>2022-09-30</v>
      </c>
    </row>
    <row r="447" spans="1:12" ht="90" x14ac:dyDescent="0.25">
      <c r="A447" t="s">
        <v>26</v>
      </c>
      <c r="B447" t="s">
        <v>970</v>
      </c>
      <c r="C447" t="s">
        <v>235</v>
      </c>
      <c r="D447" t="s">
        <v>920</v>
      </c>
      <c r="E447" t="s">
        <v>30</v>
      </c>
      <c r="F447" t="s">
        <v>223</v>
      </c>
      <c r="G447" t="s">
        <v>81</v>
      </c>
      <c r="H447" t="s">
        <v>87</v>
      </c>
      <c r="I447" s="1" t="s">
        <v>996</v>
      </c>
      <c r="J447" s="1" t="s">
        <v>104</v>
      </c>
      <c r="L447" s="13" t="str">
        <f t="shared" si="7"/>
        <v>2022-09-30</v>
      </c>
    </row>
    <row r="448" spans="1:12" ht="45" x14ac:dyDescent="0.25">
      <c r="A448" t="s">
        <v>26</v>
      </c>
      <c r="B448" t="s">
        <v>970</v>
      </c>
      <c r="C448" t="s">
        <v>28</v>
      </c>
      <c r="D448" t="s">
        <v>470</v>
      </c>
      <c r="E448" t="s">
        <v>30</v>
      </c>
      <c r="F448" t="s">
        <v>186</v>
      </c>
      <c r="G448" t="s">
        <v>69</v>
      </c>
      <c r="H448" t="s">
        <v>87</v>
      </c>
      <c r="I448" s="1" t="s">
        <v>997</v>
      </c>
      <c r="J448" s="1" t="s">
        <v>481</v>
      </c>
      <c r="L448" s="13" t="str">
        <f t="shared" si="7"/>
        <v>2022-09-30</v>
      </c>
    </row>
    <row r="449" spans="1:12" ht="45" x14ac:dyDescent="0.25">
      <c r="A449" t="s">
        <v>49</v>
      </c>
      <c r="B449" t="s">
        <v>970</v>
      </c>
      <c r="C449" t="s">
        <v>44</v>
      </c>
      <c r="D449" t="s">
        <v>998</v>
      </c>
      <c r="E449" t="s">
        <v>30</v>
      </c>
      <c r="F449" t="s">
        <v>189</v>
      </c>
      <c r="G449" t="s">
        <v>32</v>
      </c>
      <c r="H449" t="s">
        <v>87</v>
      </c>
      <c r="I449" s="1" t="s">
        <v>999</v>
      </c>
      <c r="J449" s="1" t="s">
        <v>104</v>
      </c>
      <c r="L449" s="13" t="str">
        <f t="shared" si="7"/>
        <v>2022-09-30</v>
      </c>
    </row>
    <row r="450" spans="1:12" ht="105" x14ac:dyDescent="0.25">
      <c r="A450" t="s">
        <v>26</v>
      </c>
      <c r="B450" t="s">
        <v>970</v>
      </c>
      <c r="C450" t="s">
        <v>472</v>
      </c>
      <c r="D450" t="s">
        <v>1000</v>
      </c>
      <c r="E450" t="s">
        <v>30</v>
      </c>
      <c r="F450" t="s">
        <v>294</v>
      </c>
      <c r="G450" t="s">
        <v>69</v>
      </c>
      <c r="H450" t="s">
        <v>173</v>
      </c>
      <c r="I450" s="1" t="s">
        <v>1001</v>
      </c>
      <c r="J450" s="1" t="s">
        <v>436</v>
      </c>
      <c r="L450" s="13" t="str">
        <f t="shared" si="7"/>
        <v>2022-09-30</v>
      </c>
    </row>
    <row r="451" spans="1:12" ht="105" x14ac:dyDescent="0.25">
      <c r="A451" t="s">
        <v>26</v>
      </c>
      <c r="B451" t="s">
        <v>970</v>
      </c>
      <c r="C451" t="s">
        <v>235</v>
      </c>
      <c r="D451" t="s">
        <v>1002</v>
      </c>
      <c r="E451" t="s">
        <v>30</v>
      </c>
      <c r="F451" t="s">
        <v>365</v>
      </c>
      <c r="G451" t="s">
        <v>32</v>
      </c>
      <c r="H451" t="s">
        <v>87</v>
      </c>
      <c r="I451" s="1" t="s">
        <v>1003</v>
      </c>
      <c r="J451" s="1" t="s">
        <v>436</v>
      </c>
      <c r="L451" s="13" t="str">
        <f t="shared" ref="L451:L467" si="8">+B451</f>
        <v>2022-09-30</v>
      </c>
    </row>
    <row r="452" spans="1:12" ht="75" x14ac:dyDescent="0.25">
      <c r="A452" t="s">
        <v>26</v>
      </c>
      <c r="B452" t="s">
        <v>970</v>
      </c>
      <c r="C452" t="s">
        <v>28</v>
      </c>
      <c r="D452" t="s">
        <v>153</v>
      </c>
      <c r="E452" t="s">
        <v>30</v>
      </c>
      <c r="F452" t="s">
        <v>94</v>
      </c>
      <c r="G452" t="s">
        <v>69</v>
      </c>
      <c r="H452" t="s">
        <v>173</v>
      </c>
      <c r="I452" s="1" t="s">
        <v>1004</v>
      </c>
      <c r="J452" s="1" t="s">
        <v>17</v>
      </c>
      <c r="L452" s="13" t="str">
        <f t="shared" si="8"/>
        <v>2022-09-30</v>
      </c>
    </row>
    <row r="453" spans="1:12" ht="120" x14ac:dyDescent="0.25">
      <c r="A453" t="s">
        <v>91</v>
      </c>
      <c r="B453" t="s">
        <v>970</v>
      </c>
      <c r="C453" t="s">
        <v>96</v>
      </c>
      <c r="D453" t="s">
        <v>1005</v>
      </c>
      <c r="E453" t="s">
        <v>30</v>
      </c>
      <c r="F453" t="s">
        <v>119</v>
      </c>
      <c r="G453" t="s">
        <v>81</v>
      </c>
      <c r="H453" t="s">
        <v>87</v>
      </c>
      <c r="I453" s="1" t="s">
        <v>1006</v>
      </c>
      <c r="J453" s="1" t="s">
        <v>104</v>
      </c>
      <c r="L453" s="13" t="str">
        <f t="shared" si="8"/>
        <v>2022-09-30</v>
      </c>
    </row>
    <row r="454" spans="1:12" ht="30" x14ac:dyDescent="0.25">
      <c r="A454" t="s">
        <v>26</v>
      </c>
      <c r="B454" t="s">
        <v>970</v>
      </c>
      <c r="C454" t="s">
        <v>472</v>
      </c>
      <c r="D454" t="s">
        <v>1000</v>
      </c>
      <c r="E454" t="s">
        <v>30</v>
      </c>
      <c r="F454" t="s">
        <v>186</v>
      </c>
      <c r="G454" t="s">
        <v>32</v>
      </c>
      <c r="H454" t="s">
        <v>33</v>
      </c>
      <c r="I454" s="1" t="s">
        <v>1007</v>
      </c>
      <c r="J454" s="1" t="s">
        <v>426</v>
      </c>
      <c r="L454" s="13" t="str">
        <f t="shared" si="8"/>
        <v>2022-09-30</v>
      </c>
    </row>
    <row r="455" spans="1:12" ht="45" x14ac:dyDescent="0.25">
      <c r="A455" t="s">
        <v>49</v>
      </c>
      <c r="B455" t="s">
        <v>970</v>
      </c>
      <c r="C455" t="s">
        <v>240</v>
      </c>
      <c r="D455" t="s">
        <v>1008</v>
      </c>
      <c r="E455" t="s">
        <v>30</v>
      </c>
      <c r="F455" t="s">
        <v>154</v>
      </c>
      <c r="G455" t="s">
        <v>32</v>
      </c>
      <c r="H455" t="s">
        <v>87</v>
      </c>
      <c r="I455" s="1" t="s">
        <v>1009</v>
      </c>
      <c r="J455" s="1" t="s">
        <v>436</v>
      </c>
      <c r="L455" s="13" t="str">
        <f t="shared" si="8"/>
        <v>2022-09-30</v>
      </c>
    </row>
    <row r="456" spans="1:12" ht="30" x14ac:dyDescent="0.25">
      <c r="A456" t="s">
        <v>49</v>
      </c>
      <c r="B456" t="s">
        <v>970</v>
      </c>
      <c r="C456" t="s">
        <v>38</v>
      </c>
      <c r="D456" t="s">
        <v>466</v>
      </c>
      <c r="E456" t="s">
        <v>30</v>
      </c>
      <c r="F456" t="s">
        <v>130</v>
      </c>
      <c r="G456" t="s">
        <v>32</v>
      </c>
      <c r="H456" t="s">
        <v>33</v>
      </c>
      <c r="I456" s="1" t="s">
        <v>1010</v>
      </c>
      <c r="J456" s="1" t="s">
        <v>481</v>
      </c>
      <c r="L456" s="13" t="str">
        <f t="shared" si="8"/>
        <v>2022-09-30</v>
      </c>
    </row>
    <row r="457" spans="1:12" ht="75" x14ac:dyDescent="0.25">
      <c r="A457" t="s">
        <v>91</v>
      </c>
      <c r="B457" t="s">
        <v>970</v>
      </c>
      <c r="C457" t="s">
        <v>28</v>
      </c>
      <c r="D457" t="s">
        <v>946</v>
      </c>
      <c r="E457" t="s">
        <v>30</v>
      </c>
      <c r="F457" t="s">
        <v>202</v>
      </c>
      <c r="G457" t="s">
        <v>69</v>
      </c>
      <c r="H457" t="s">
        <v>87</v>
      </c>
      <c r="I457" s="1" t="s">
        <v>1011</v>
      </c>
      <c r="J457" s="1" t="s">
        <v>104</v>
      </c>
      <c r="L457" s="13" t="str">
        <f t="shared" si="8"/>
        <v>2022-09-30</v>
      </c>
    </row>
    <row r="458" spans="1:12" ht="30" x14ac:dyDescent="0.25">
      <c r="A458" t="s">
        <v>26</v>
      </c>
      <c r="B458" t="s">
        <v>970</v>
      </c>
      <c r="C458" t="s">
        <v>50</v>
      </c>
      <c r="D458" t="s">
        <v>226</v>
      </c>
      <c r="E458" t="s">
        <v>30</v>
      </c>
      <c r="F458" t="s">
        <v>61</v>
      </c>
      <c r="G458" t="s">
        <v>32</v>
      </c>
      <c r="H458" t="s">
        <v>173</v>
      </c>
      <c r="I458" s="1" t="s">
        <v>1012</v>
      </c>
      <c r="J458" s="1" t="s">
        <v>17</v>
      </c>
      <c r="L458" s="13" t="str">
        <f t="shared" si="8"/>
        <v>2022-09-30</v>
      </c>
    </row>
    <row r="459" spans="1:12" ht="105" x14ac:dyDescent="0.25">
      <c r="A459" t="s">
        <v>49</v>
      </c>
      <c r="B459" t="s">
        <v>970</v>
      </c>
      <c r="C459" t="s">
        <v>50</v>
      </c>
      <c r="D459" t="s">
        <v>1013</v>
      </c>
      <c r="E459" t="s">
        <v>30</v>
      </c>
      <c r="F459" t="s">
        <v>1014</v>
      </c>
      <c r="G459" t="s">
        <v>32</v>
      </c>
      <c r="H459" t="s">
        <v>87</v>
      </c>
      <c r="I459" s="1" t="s">
        <v>1015</v>
      </c>
      <c r="J459" s="1" t="s">
        <v>481</v>
      </c>
      <c r="L459" s="13" t="str">
        <f t="shared" si="8"/>
        <v>2022-09-30</v>
      </c>
    </row>
    <row r="460" spans="1:12" ht="75" x14ac:dyDescent="0.25">
      <c r="A460" t="s">
        <v>49</v>
      </c>
      <c r="B460" t="s">
        <v>970</v>
      </c>
      <c r="C460" t="s">
        <v>235</v>
      </c>
      <c r="D460" t="s">
        <v>270</v>
      </c>
      <c r="E460" t="s">
        <v>79</v>
      </c>
      <c r="F460" t="s">
        <v>119</v>
      </c>
      <c r="G460" t="s">
        <v>32</v>
      </c>
      <c r="H460" t="s">
        <v>173</v>
      </c>
      <c r="I460" s="1" t="s">
        <v>1016</v>
      </c>
      <c r="J460" s="1" t="s">
        <v>17</v>
      </c>
      <c r="L460" s="13" t="str">
        <f t="shared" si="8"/>
        <v>2022-09-30</v>
      </c>
    </row>
    <row r="461" spans="1:12" ht="90" x14ac:dyDescent="0.25">
      <c r="A461" t="s">
        <v>37</v>
      </c>
      <c r="B461" t="s">
        <v>970</v>
      </c>
      <c r="C461" t="s">
        <v>235</v>
      </c>
      <c r="D461" t="s">
        <v>427</v>
      </c>
      <c r="E461" t="s">
        <v>30</v>
      </c>
      <c r="F461" t="s">
        <v>602</v>
      </c>
      <c r="G461" t="s">
        <v>32</v>
      </c>
      <c r="H461" t="s">
        <v>87</v>
      </c>
      <c r="I461" s="1" t="s">
        <v>1017</v>
      </c>
      <c r="J461" s="1" t="s">
        <v>17</v>
      </c>
      <c r="L461" s="13" t="str">
        <f t="shared" si="8"/>
        <v>2022-09-30</v>
      </c>
    </row>
    <row r="462" spans="1:12" ht="60" x14ac:dyDescent="0.25">
      <c r="A462" t="s">
        <v>26</v>
      </c>
      <c r="B462" t="s">
        <v>970</v>
      </c>
      <c r="C462" t="s">
        <v>180</v>
      </c>
      <c r="D462" t="s">
        <v>181</v>
      </c>
      <c r="E462" t="s">
        <v>30</v>
      </c>
      <c r="F462" t="s">
        <v>61</v>
      </c>
      <c r="G462" t="s">
        <v>32</v>
      </c>
      <c r="H462" t="s">
        <v>87</v>
      </c>
      <c r="I462" s="1" t="s">
        <v>1018</v>
      </c>
      <c r="J462" s="1" t="s">
        <v>71</v>
      </c>
      <c r="L462" s="13" t="str">
        <f t="shared" si="8"/>
        <v>2022-09-30</v>
      </c>
    </row>
    <row r="463" spans="1:12" ht="45" x14ac:dyDescent="0.25">
      <c r="A463" t="s">
        <v>37</v>
      </c>
      <c r="B463" t="s">
        <v>970</v>
      </c>
      <c r="C463" t="s">
        <v>28</v>
      </c>
      <c r="D463" t="s">
        <v>1019</v>
      </c>
      <c r="E463" t="s">
        <v>30</v>
      </c>
      <c r="F463" t="s">
        <v>492</v>
      </c>
      <c r="G463" t="s">
        <v>32</v>
      </c>
      <c r="H463" t="s">
        <v>173</v>
      </c>
      <c r="I463" s="1" t="s">
        <v>1020</v>
      </c>
      <c r="J463" s="1" t="s">
        <v>104</v>
      </c>
      <c r="L463" s="13" t="str">
        <f t="shared" si="8"/>
        <v>2022-09-30</v>
      </c>
    </row>
    <row r="464" spans="1:12" ht="30" x14ac:dyDescent="0.25">
      <c r="A464" t="s">
        <v>49</v>
      </c>
      <c r="B464" t="s">
        <v>970</v>
      </c>
      <c r="C464" t="s">
        <v>32</v>
      </c>
      <c r="D464" t="s">
        <v>101</v>
      </c>
      <c r="E464" t="s">
        <v>30</v>
      </c>
      <c r="F464" t="s">
        <v>166</v>
      </c>
      <c r="G464" t="s">
        <v>32</v>
      </c>
      <c r="H464" t="s">
        <v>173</v>
      </c>
      <c r="I464" s="1" t="s">
        <v>1021</v>
      </c>
      <c r="J464" s="1" t="s">
        <v>426</v>
      </c>
      <c r="L464" s="13" t="str">
        <f t="shared" si="8"/>
        <v>2022-09-30</v>
      </c>
    </row>
    <row r="465" spans="1:12" ht="30" x14ac:dyDescent="0.25">
      <c r="A465" t="s">
        <v>37</v>
      </c>
      <c r="B465" t="s">
        <v>970</v>
      </c>
      <c r="C465" t="s">
        <v>50</v>
      </c>
      <c r="D465" t="s">
        <v>226</v>
      </c>
      <c r="E465" t="s">
        <v>30</v>
      </c>
      <c r="F465" t="s">
        <v>216</v>
      </c>
      <c r="G465" t="s">
        <v>69</v>
      </c>
      <c r="H465" t="s">
        <v>173</v>
      </c>
      <c r="I465" s="1" t="s">
        <v>1022</v>
      </c>
      <c r="J465" s="1" t="s">
        <v>17</v>
      </c>
      <c r="L465" s="13" t="str">
        <f t="shared" si="8"/>
        <v>2022-09-30</v>
      </c>
    </row>
    <row r="466" spans="1:12" ht="45" x14ac:dyDescent="0.25">
      <c r="A466" t="s">
        <v>26</v>
      </c>
      <c r="B466" t="s">
        <v>970</v>
      </c>
      <c r="C466" t="s">
        <v>69</v>
      </c>
      <c r="D466" t="s">
        <v>557</v>
      </c>
      <c r="E466" t="s">
        <v>30</v>
      </c>
      <c r="F466" t="s">
        <v>681</v>
      </c>
      <c r="G466" t="s">
        <v>32</v>
      </c>
      <c r="H466" t="s">
        <v>173</v>
      </c>
      <c r="I466" s="1" t="s">
        <v>1023</v>
      </c>
      <c r="J466" s="1" t="s">
        <v>71</v>
      </c>
      <c r="L466" s="13" t="str">
        <f t="shared" si="8"/>
        <v>2022-09-30</v>
      </c>
    </row>
    <row r="467" spans="1:12" ht="120" x14ac:dyDescent="0.25">
      <c r="A467" t="s">
        <v>64</v>
      </c>
      <c r="B467" t="s">
        <v>970</v>
      </c>
      <c r="C467" t="s">
        <v>106</v>
      </c>
      <c r="D467" t="s">
        <v>370</v>
      </c>
      <c r="E467" t="s">
        <v>30</v>
      </c>
      <c r="F467" t="s">
        <v>61</v>
      </c>
      <c r="G467" t="s">
        <v>32</v>
      </c>
      <c r="H467" t="s">
        <v>33</v>
      </c>
      <c r="I467" s="1" t="s">
        <v>1024</v>
      </c>
      <c r="J467" s="1" t="s">
        <v>426</v>
      </c>
      <c r="L467" s="13" t="str">
        <f t="shared" si="8"/>
        <v>2022-09-30</v>
      </c>
    </row>
    <row r="468" spans="1:12" ht="60" x14ac:dyDescent="0.25">
      <c r="A468" t="s">
        <v>91</v>
      </c>
      <c r="B468" t="s">
        <v>970</v>
      </c>
      <c r="C468" t="s">
        <v>50</v>
      </c>
      <c r="D468" t="s">
        <v>60</v>
      </c>
      <c r="E468" t="s">
        <v>30</v>
      </c>
      <c r="F468" t="s">
        <v>40</v>
      </c>
      <c r="G468" t="s">
        <v>32</v>
      </c>
      <c r="H468" t="s">
        <v>173</v>
      </c>
      <c r="I468" s="1" t="s">
        <v>1025</v>
      </c>
      <c r="J468" s="1" t="s">
        <v>481</v>
      </c>
    </row>
    <row r="469" spans="1:12" ht="30" x14ac:dyDescent="0.25">
      <c r="A469" t="s">
        <v>64</v>
      </c>
      <c r="B469" t="s">
        <v>970</v>
      </c>
      <c r="C469" t="s">
        <v>235</v>
      </c>
      <c r="D469" t="s">
        <v>1026</v>
      </c>
      <c r="E469" t="s">
        <v>30</v>
      </c>
      <c r="F469" t="s">
        <v>543</v>
      </c>
      <c r="G469" t="s">
        <v>69</v>
      </c>
      <c r="H469" t="s">
        <v>173</v>
      </c>
      <c r="I469" s="1" t="s">
        <v>1027</v>
      </c>
      <c r="J469" s="1" t="s">
        <v>17</v>
      </c>
    </row>
    <row r="470" spans="1:12" ht="120" x14ac:dyDescent="0.25">
      <c r="A470" t="s">
        <v>26</v>
      </c>
      <c r="B470" t="s">
        <v>970</v>
      </c>
      <c r="C470" t="s">
        <v>69</v>
      </c>
      <c r="D470" t="s">
        <v>297</v>
      </c>
      <c r="E470" t="s">
        <v>30</v>
      </c>
      <c r="F470" t="s">
        <v>61</v>
      </c>
      <c r="G470" t="s">
        <v>32</v>
      </c>
      <c r="H470" t="s">
        <v>33</v>
      </c>
      <c r="I470" s="1" t="s">
        <v>1028</v>
      </c>
      <c r="J470" s="1" t="s">
        <v>426</v>
      </c>
    </row>
    <row r="471" spans="1:12" ht="45" x14ac:dyDescent="0.25">
      <c r="A471" t="s">
        <v>64</v>
      </c>
      <c r="B471" t="s">
        <v>970</v>
      </c>
      <c r="C471" t="s">
        <v>28</v>
      </c>
      <c r="D471" t="s">
        <v>522</v>
      </c>
      <c r="E471" t="s">
        <v>79</v>
      </c>
      <c r="F471" t="s">
        <v>216</v>
      </c>
      <c r="G471" t="s">
        <v>32</v>
      </c>
      <c r="H471" t="s">
        <v>33</v>
      </c>
      <c r="I471" s="1" t="s">
        <v>1029</v>
      </c>
      <c r="J471" s="1" t="s">
        <v>426</v>
      </c>
    </row>
    <row r="472" spans="1:12" ht="30" x14ac:dyDescent="0.25">
      <c r="A472" t="s">
        <v>91</v>
      </c>
      <c r="B472" t="s">
        <v>970</v>
      </c>
      <c r="C472" t="s">
        <v>44</v>
      </c>
      <c r="D472" t="s">
        <v>616</v>
      </c>
      <c r="E472" t="s">
        <v>30</v>
      </c>
      <c r="F472" t="s">
        <v>177</v>
      </c>
      <c r="G472" t="s">
        <v>69</v>
      </c>
      <c r="H472" t="s">
        <v>87</v>
      </c>
      <c r="I472" s="1" t="s">
        <v>1030</v>
      </c>
      <c r="J472" s="1" t="s">
        <v>17</v>
      </c>
    </row>
    <row r="473" spans="1:12" ht="45" x14ac:dyDescent="0.25">
      <c r="A473" t="s">
        <v>26</v>
      </c>
      <c r="B473" t="s">
        <v>970</v>
      </c>
      <c r="C473" t="s">
        <v>44</v>
      </c>
      <c r="D473" t="s">
        <v>655</v>
      </c>
      <c r="E473" t="s">
        <v>30</v>
      </c>
      <c r="F473" t="s">
        <v>119</v>
      </c>
      <c r="G473" t="s">
        <v>32</v>
      </c>
      <c r="H473" t="s">
        <v>87</v>
      </c>
      <c r="I473" s="1" t="s">
        <v>1031</v>
      </c>
      <c r="J473" s="1" t="s">
        <v>21</v>
      </c>
    </row>
    <row r="474" spans="1:12" ht="120" x14ac:dyDescent="0.25">
      <c r="A474" t="s">
        <v>37</v>
      </c>
      <c r="B474" t="s">
        <v>970</v>
      </c>
      <c r="C474" t="s">
        <v>472</v>
      </c>
      <c r="D474" t="s">
        <v>839</v>
      </c>
      <c r="E474" t="s">
        <v>30</v>
      </c>
      <c r="F474" t="s">
        <v>543</v>
      </c>
      <c r="G474" t="s">
        <v>69</v>
      </c>
      <c r="H474" t="s">
        <v>173</v>
      </c>
      <c r="I474" s="1" t="s">
        <v>1032</v>
      </c>
      <c r="J474" s="1" t="s">
        <v>71</v>
      </c>
    </row>
    <row r="475" spans="1:12" ht="45" x14ac:dyDescent="0.25">
      <c r="A475" t="s">
        <v>26</v>
      </c>
      <c r="B475" t="s">
        <v>970</v>
      </c>
      <c r="C475" t="s">
        <v>55</v>
      </c>
      <c r="D475" t="s">
        <v>1033</v>
      </c>
      <c r="E475" t="s">
        <v>79</v>
      </c>
      <c r="F475" t="s">
        <v>52</v>
      </c>
      <c r="G475" t="s">
        <v>32</v>
      </c>
      <c r="H475" t="s">
        <v>33</v>
      </c>
      <c r="I475" s="1" t="s">
        <v>1034</v>
      </c>
      <c r="J475" s="1" t="s">
        <v>426</v>
      </c>
    </row>
    <row r="476" spans="1:12" ht="150" x14ac:dyDescent="0.25">
      <c r="A476" t="s">
        <v>37</v>
      </c>
      <c r="B476" t="s">
        <v>970</v>
      </c>
      <c r="C476" t="s">
        <v>50</v>
      </c>
      <c r="D476" t="s">
        <v>817</v>
      </c>
      <c r="E476" t="s">
        <v>30</v>
      </c>
      <c r="F476" t="s">
        <v>140</v>
      </c>
      <c r="G476" t="s">
        <v>32</v>
      </c>
      <c r="H476" t="s">
        <v>33</v>
      </c>
      <c r="I476" s="1" t="s">
        <v>1035</v>
      </c>
      <c r="J476" s="1" t="s">
        <v>426</v>
      </c>
    </row>
    <row r="477" spans="1:12" ht="30" x14ac:dyDescent="0.25">
      <c r="A477" t="s">
        <v>37</v>
      </c>
      <c r="B477" t="s">
        <v>970</v>
      </c>
      <c r="C477" t="s">
        <v>240</v>
      </c>
      <c r="D477" t="s">
        <v>1036</v>
      </c>
      <c r="E477" t="s">
        <v>30</v>
      </c>
      <c r="F477" t="s">
        <v>130</v>
      </c>
      <c r="G477" t="s">
        <v>69</v>
      </c>
      <c r="H477" t="s">
        <v>33</v>
      </c>
      <c r="I477" s="1" t="s">
        <v>1037</v>
      </c>
      <c r="J477" s="1" t="s">
        <v>481</v>
      </c>
    </row>
    <row r="478" spans="1:12" ht="60" x14ac:dyDescent="0.25">
      <c r="A478" t="s">
        <v>64</v>
      </c>
      <c r="B478" t="s">
        <v>970</v>
      </c>
      <c r="C478" t="s">
        <v>44</v>
      </c>
      <c r="D478" t="s">
        <v>655</v>
      </c>
      <c r="E478" t="s">
        <v>30</v>
      </c>
      <c r="F478" t="s">
        <v>130</v>
      </c>
      <c r="G478" t="s">
        <v>32</v>
      </c>
      <c r="H478" t="s">
        <v>173</v>
      </c>
      <c r="I478" s="1" t="s">
        <v>1038</v>
      </c>
      <c r="J478" s="1" t="s">
        <v>554</v>
      </c>
    </row>
    <row r="479" spans="1:12" ht="45" x14ac:dyDescent="0.25">
      <c r="A479" t="s">
        <v>37</v>
      </c>
      <c r="B479" t="s">
        <v>970</v>
      </c>
      <c r="C479" t="s">
        <v>180</v>
      </c>
      <c r="D479" t="s">
        <v>1039</v>
      </c>
      <c r="E479" t="s">
        <v>30</v>
      </c>
      <c r="F479" t="s">
        <v>94</v>
      </c>
      <c r="G479" t="s">
        <v>69</v>
      </c>
      <c r="H479" t="s">
        <v>33</v>
      </c>
      <c r="I479" s="1" t="s">
        <v>1040</v>
      </c>
      <c r="J479" s="1" t="s">
        <v>426</v>
      </c>
    </row>
    <row r="480" spans="1:12" ht="75" x14ac:dyDescent="0.25">
      <c r="A480" t="s">
        <v>37</v>
      </c>
      <c r="B480" t="s">
        <v>970</v>
      </c>
      <c r="C480" t="s">
        <v>85</v>
      </c>
      <c r="D480" t="s">
        <v>1041</v>
      </c>
      <c r="E480" t="s">
        <v>79</v>
      </c>
      <c r="F480" t="s">
        <v>119</v>
      </c>
      <c r="G480" t="s">
        <v>32</v>
      </c>
      <c r="H480" t="s">
        <v>33</v>
      </c>
      <c r="I480" s="1" t="s">
        <v>1042</v>
      </c>
      <c r="J480" s="1" t="s">
        <v>426</v>
      </c>
    </row>
    <row r="481" spans="1:10" ht="75" x14ac:dyDescent="0.25">
      <c r="A481" t="s">
        <v>26</v>
      </c>
      <c r="B481" t="s">
        <v>1043</v>
      </c>
      <c r="C481" t="s">
        <v>44</v>
      </c>
      <c r="D481" t="s">
        <v>45</v>
      </c>
      <c r="E481" t="s">
        <v>30</v>
      </c>
      <c r="F481" t="s">
        <v>287</v>
      </c>
      <c r="G481" t="s">
        <v>32</v>
      </c>
      <c r="H481" t="s">
        <v>33</v>
      </c>
      <c r="I481" s="1" t="s">
        <v>1044</v>
      </c>
      <c r="J481" s="1" t="s">
        <v>426</v>
      </c>
    </row>
    <row r="482" spans="1:10" ht="105" x14ac:dyDescent="0.25">
      <c r="A482" t="s">
        <v>26</v>
      </c>
      <c r="B482" t="s">
        <v>1043</v>
      </c>
      <c r="C482" t="s">
        <v>249</v>
      </c>
      <c r="D482" t="s">
        <v>827</v>
      </c>
      <c r="E482" t="s">
        <v>30</v>
      </c>
      <c r="F482" t="s">
        <v>40</v>
      </c>
      <c r="G482" t="s">
        <v>32</v>
      </c>
      <c r="H482" t="s">
        <v>173</v>
      </c>
      <c r="I482" s="1" t="s">
        <v>1045</v>
      </c>
      <c r="J482" s="1" t="s">
        <v>481</v>
      </c>
    </row>
    <row r="483" spans="1:10" ht="105" x14ac:dyDescent="0.25">
      <c r="A483" t="s">
        <v>26</v>
      </c>
      <c r="B483" t="s">
        <v>1043</v>
      </c>
      <c r="C483" t="s">
        <v>249</v>
      </c>
      <c r="D483" t="s">
        <v>1046</v>
      </c>
      <c r="E483" t="s">
        <v>30</v>
      </c>
      <c r="F483" t="s">
        <v>205</v>
      </c>
      <c r="G483" t="s">
        <v>81</v>
      </c>
      <c r="H483" t="s">
        <v>87</v>
      </c>
      <c r="I483" s="1" t="s">
        <v>1047</v>
      </c>
      <c r="J483" s="1" t="s">
        <v>436</v>
      </c>
    </row>
    <row r="484" spans="1:10" ht="105" x14ac:dyDescent="0.25">
      <c r="A484" t="s">
        <v>26</v>
      </c>
      <c r="B484" t="s">
        <v>1043</v>
      </c>
      <c r="C484" t="s">
        <v>73</v>
      </c>
      <c r="D484" t="s">
        <v>678</v>
      </c>
      <c r="E484" t="s">
        <v>30</v>
      </c>
      <c r="F484" t="s">
        <v>94</v>
      </c>
      <c r="G484" t="s">
        <v>32</v>
      </c>
      <c r="H484" t="s">
        <v>87</v>
      </c>
      <c r="I484" s="1" t="s">
        <v>1048</v>
      </c>
      <c r="J484" s="1" t="s">
        <v>17</v>
      </c>
    </row>
    <row r="485" spans="1:10" ht="30" x14ac:dyDescent="0.25">
      <c r="A485" t="s">
        <v>26</v>
      </c>
      <c r="B485" t="s">
        <v>1043</v>
      </c>
      <c r="C485" t="s">
        <v>44</v>
      </c>
      <c r="D485" t="s">
        <v>502</v>
      </c>
      <c r="E485" t="s">
        <v>30</v>
      </c>
      <c r="F485" t="s">
        <v>136</v>
      </c>
      <c r="G485" t="s">
        <v>32</v>
      </c>
      <c r="H485" t="s">
        <v>173</v>
      </c>
      <c r="I485" s="1" t="s">
        <v>1049</v>
      </c>
      <c r="J485" s="1" t="s">
        <v>71</v>
      </c>
    </row>
    <row r="486" spans="1:10" ht="105" x14ac:dyDescent="0.25">
      <c r="A486" t="s">
        <v>91</v>
      </c>
      <c r="B486" t="s">
        <v>1043</v>
      </c>
      <c r="C486" t="s">
        <v>249</v>
      </c>
      <c r="D486" t="s">
        <v>420</v>
      </c>
      <c r="E486" t="s">
        <v>79</v>
      </c>
      <c r="F486" t="s">
        <v>492</v>
      </c>
      <c r="G486" t="s">
        <v>69</v>
      </c>
      <c r="H486" t="s">
        <v>33</v>
      </c>
      <c r="I486" s="1" t="s">
        <v>1050</v>
      </c>
      <c r="J486" s="1" t="s">
        <v>481</v>
      </c>
    </row>
    <row r="487" spans="1:10" ht="30" x14ac:dyDescent="0.25">
      <c r="A487" t="s">
        <v>26</v>
      </c>
      <c r="B487" t="s">
        <v>1043</v>
      </c>
      <c r="C487" t="s">
        <v>28</v>
      </c>
      <c r="D487" t="s">
        <v>129</v>
      </c>
      <c r="E487" t="s">
        <v>30</v>
      </c>
      <c r="F487" t="s">
        <v>246</v>
      </c>
      <c r="G487" t="s">
        <v>32</v>
      </c>
      <c r="H487" t="s">
        <v>33</v>
      </c>
      <c r="I487" s="1" t="s">
        <v>1051</v>
      </c>
      <c r="J487" s="1" t="s">
        <v>426</v>
      </c>
    </row>
    <row r="488" spans="1:10" ht="105" x14ac:dyDescent="0.25">
      <c r="A488" t="s">
        <v>26</v>
      </c>
      <c r="B488" t="s">
        <v>1043</v>
      </c>
      <c r="C488" t="s">
        <v>50</v>
      </c>
      <c r="D488" t="s">
        <v>563</v>
      </c>
      <c r="E488" t="s">
        <v>30</v>
      </c>
      <c r="F488" t="s">
        <v>154</v>
      </c>
      <c r="G488" t="s">
        <v>32</v>
      </c>
      <c r="H488" t="s">
        <v>33</v>
      </c>
      <c r="I488" s="1" t="s">
        <v>1052</v>
      </c>
      <c r="J488" s="1" t="s">
        <v>426</v>
      </c>
    </row>
    <row r="489" spans="1:10" ht="105" x14ac:dyDescent="0.25">
      <c r="A489" t="s">
        <v>26</v>
      </c>
      <c r="B489" t="s">
        <v>1043</v>
      </c>
      <c r="C489" t="s">
        <v>55</v>
      </c>
      <c r="D489" t="s">
        <v>1053</v>
      </c>
      <c r="E489" t="s">
        <v>30</v>
      </c>
      <c r="F489" t="s">
        <v>98</v>
      </c>
      <c r="G489" t="s">
        <v>81</v>
      </c>
      <c r="H489" t="s">
        <v>87</v>
      </c>
      <c r="I489" s="1" t="s">
        <v>1054</v>
      </c>
      <c r="J489" s="1" t="s">
        <v>481</v>
      </c>
    </row>
    <row r="490" spans="1:10" ht="105" x14ac:dyDescent="0.25">
      <c r="A490" t="s">
        <v>37</v>
      </c>
      <c r="B490" t="s">
        <v>1043</v>
      </c>
      <c r="C490" t="s">
        <v>69</v>
      </c>
      <c r="D490" t="s">
        <v>1055</v>
      </c>
      <c r="E490" t="s">
        <v>79</v>
      </c>
      <c r="F490" t="s">
        <v>520</v>
      </c>
      <c r="G490" t="s">
        <v>32</v>
      </c>
      <c r="H490" t="s">
        <v>87</v>
      </c>
      <c r="I490" s="1" t="s">
        <v>1056</v>
      </c>
      <c r="J490" s="1" t="s">
        <v>104</v>
      </c>
    </row>
    <row r="491" spans="1:10" ht="45" x14ac:dyDescent="0.25">
      <c r="A491" t="s">
        <v>26</v>
      </c>
      <c r="B491" t="s">
        <v>1057</v>
      </c>
      <c r="C491" t="s">
        <v>249</v>
      </c>
      <c r="D491" t="s">
        <v>1046</v>
      </c>
      <c r="E491" t="s">
        <v>30</v>
      </c>
      <c r="F491" t="s">
        <v>287</v>
      </c>
      <c r="G491" t="s">
        <v>69</v>
      </c>
      <c r="H491" t="s">
        <v>87</v>
      </c>
      <c r="I491" s="1" t="s">
        <v>1058</v>
      </c>
      <c r="J491" s="1" t="s">
        <v>426</v>
      </c>
    </row>
    <row r="492" spans="1:10" ht="75" x14ac:dyDescent="0.25">
      <c r="A492" t="s">
        <v>26</v>
      </c>
      <c r="B492" t="s">
        <v>1057</v>
      </c>
      <c r="C492" t="s">
        <v>106</v>
      </c>
      <c r="D492" t="s">
        <v>539</v>
      </c>
      <c r="E492" t="s">
        <v>30</v>
      </c>
      <c r="F492" t="s">
        <v>543</v>
      </c>
      <c r="G492" t="s">
        <v>32</v>
      </c>
      <c r="H492" t="s">
        <v>87</v>
      </c>
      <c r="I492" s="1" t="s">
        <v>1059</v>
      </c>
      <c r="J492" s="1" t="s">
        <v>104</v>
      </c>
    </row>
    <row r="493" spans="1:10" ht="60" x14ac:dyDescent="0.25">
      <c r="A493" t="s">
        <v>26</v>
      </c>
      <c r="B493" t="s">
        <v>1057</v>
      </c>
      <c r="C493" t="s">
        <v>249</v>
      </c>
      <c r="D493" t="s">
        <v>657</v>
      </c>
      <c r="E493" t="s">
        <v>30</v>
      </c>
      <c r="F493" t="s">
        <v>61</v>
      </c>
      <c r="G493" t="s">
        <v>69</v>
      </c>
      <c r="H493" t="s">
        <v>87</v>
      </c>
      <c r="I493" s="1" t="s">
        <v>1060</v>
      </c>
      <c r="J493" s="1" t="s">
        <v>17</v>
      </c>
    </row>
    <row r="494" spans="1:10" ht="75" x14ac:dyDescent="0.25">
      <c r="A494" t="s">
        <v>26</v>
      </c>
      <c r="B494" t="s">
        <v>1057</v>
      </c>
      <c r="C494" t="s">
        <v>263</v>
      </c>
      <c r="D494" t="s">
        <v>1061</v>
      </c>
      <c r="E494" t="s">
        <v>30</v>
      </c>
      <c r="F494" t="s">
        <v>561</v>
      </c>
      <c r="G494" t="s">
        <v>69</v>
      </c>
      <c r="H494" t="s">
        <v>173</v>
      </c>
      <c r="I494" s="1" t="s">
        <v>1062</v>
      </c>
      <c r="J494" s="1" t="s">
        <v>481</v>
      </c>
    </row>
    <row r="495" spans="1:10" ht="105" x14ac:dyDescent="0.25">
      <c r="A495" t="s">
        <v>26</v>
      </c>
      <c r="B495" t="s">
        <v>1057</v>
      </c>
      <c r="C495" t="s">
        <v>249</v>
      </c>
      <c r="D495" t="s">
        <v>424</v>
      </c>
      <c r="E495" t="s">
        <v>79</v>
      </c>
      <c r="F495" t="s">
        <v>365</v>
      </c>
      <c r="G495" t="s">
        <v>32</v>
      </c>
      <c r="H495" t="s">
        <v>87</v>
      </c>
      <c r="I495" s="1" t="s">
        <v>1063</v>
      </c>
      <c r="J495" s="1" t="s">
        <v>71</v>
      </c>
    </row>
    <row r="496" spans="1:10" ht="75" x14ac:dyDescent="0.25">
      <c r="A496" t="s">
        <v>26</v>
      </c>
      <c r="B496" t="s">
        <v>1057</v>
      </c>
      <c r="C496" t="s">
        <v>96</v>
      </c>
      <c r="D496" t="s">
        <v>1064</v>
      </c>
      <c r="E496" t="s">
        <v>30</v>
      </c>
      <c r="F496" t="s">
        <v>205</v>
      </c>
      <c r="G496" t="s">
        <v>32</v>
      </c>
      <c r="H496" t="s">
        <v>87</v>
      </c>
      <c r="I496" s="1" t="s">
        <v>1065</v>
      </c>
      <c r="J496" s="1" t="s">
        <v>21</v>
      </c>
    </row>
    <row r="497" spans="1:10" x14ac:dyDescent="0.25">
      <c r="A497" t="s">
        <v>26</v>
      </c>
      <c r="B497" t="s">
        <v>1057</v>
      </c>
      <c r="C497" t="s">
        <v>249</v>
      </c>
      <c r="D497" t="s">
        <v>424</v>
      </c>
      <c r="E497" t="s">
        <v>30</v>
      </c>
      <c r="F497" t="s">
        <v>126</v>
      </c>
      <c r="G497" t="s">
        <v>69</v>
      </c>
      <c r="H497" t="s">
        <v>173</v>
      </c>
      <c r="I497" s="1" t="s">
        <v>1066</v>
      </c>
      <c r="J497" s="1" t="s">
        <v>71</v>
      </c>
    </row>
    <row r="498" spans="1:10" ht="30" x14ac:dyDescent="0.25">
      <c r="A498" t="s">
        <v>26</v>
      </c>
      <c r="B498" t="s">
        <v>1057</v>
      </c>
      <c r="C498" t="s">
        <v>249</v>
      </c>
      <c r="D498" t="s">
        <v>1067</v>
      </c>
      <c r="E498" t="s">
        <v>30</v>
      </c>
      <c r="F498" t="s">
        <v>287</v>
      </c>
      <c r="G498" t="s">
        <v>32</v>
      </c>
      <c r="H498" t="s">
        <v>173</v>
      </c>
      <c r="I498" s="1" t="s">
        <v>1068</v>
      </c>
      <c r="J498" s="1" t="s">
        <v>481</v>
      </c>
    </row>
    <row r="499" spans="1:10" ht="30" x14ac:dyDescent="0.25">
      <c r="A499" t="s">
        <v>26</v>
      </c>
      <c r="B499" t="s">
        <v>1057</v>
      </c>
      <c r="C499" t="s">
        <v>240</v>
      </c>
      <c r="D499" t="s">
        <v>267</v>
      </c>
      <c r="E499" t="s">
        <v>30</v>
      </c>
      <c r="F499" t="s">
        <v>189</v>
      </c>
      <c r="G499" t="s">
        <v>32</v>
      </c>
      <c r="H499" t="s">
        <v>33</v>
      </c>
      <c r="I499" s="1" t="s">
        <v>1069</v>
      </c>
      <c r="J499" s="1" t="s">
        <v>426</v>
      </c>
    </row>
    <row r="500" spans="1:10" ht="75" x14ac:dyDescent="0.25">
      <c r="A500" t="s">
        <v>26</v>
      </c>
      <c r="B500" t="s">
        <v>1057</v>
      </c>
      <c r="C500" t="s">
        <v>44</v>
      </c>
      <c r="D500" t="s">
        <v>165</v>
      </c>
      <c r="E500" t="s">
        <v>30</v>
      </c>
      <c r="F500" t="s">
        <v>543</v>
      </c>
      <c r="G500" t="s">
        <v>69</v>
      </c>
      <c r="H500" t="s">
        <v>173</v>
      </c>
      <c r="I500" s="1" t="s">
        <v>1070</v>
      </c>
      <c r="J500" s="1" t="s">
        <v>17</v>
      </c>
    </row>
    <row r="501" spans="1:10" ht="60" x14ac:dyDescent="0.25">
      <c r="A501" t="s">
        <v>26</v>
      </c>
      <c r="B501" t="s">
        <v>1057</v>
      </c>
      <c r="C501" t="s">
        <v>73</v>
      </c>
      <c r="D501" t="s">
        <v>157</v>
      </c>
      <c r="E501" t="s">
        <v>30</v>
      </c>
      <c r="F501" t="s">
        <v>287</v>
      </c>
      <c r="G501" t="s">
        <v>32</v>
      </c>
      <c r="H501" t="s">
        <v>87</v>
      </c>
      <c r="I501" s="1" t="s">
        <v>1071</v>
      </c>
      <c r="J501" s="1" t="s">
        <v>104</v>
      </c>
    </row>
    <row r="502" spans="1:10" ht="60" x14ac:dyDescent="0.25">
      <c r="A502" t="s">
        <v>26</v>
      </c>
      <c r="B502" t="s">
        <v>1057</v>
      </c>
      <c r="C502" t="s">
        <v>92</v>
      </c>
      <c r="D502" t="s">
        <v>111</v>
      </c>
      <c r="E502" t="s">
        <v>30</v>
      </c>
      <c r="F502" t="s">
        <v>446</v>
      </c>
      <c r="G502" t="s">
        <v>32</v>
      </c>
      <c r="H502" t="s">
        <v>87</v>
      </c>
      <c r="I502" s="1" t="s">
        <v>1072</v>
      </c>
      <c r="J502" s="1" t="s">
        <v>21</v>
      </c>
    </row>
    <row r="503" spans="1:10" ht="120" x14ac:dyDescent="0.25">
      <c r="A503" t="s">
        <v>26</v>
      </c>
      <c r="B503" t="s">
        <v>1057</v>
      </c>
      <c r="C503" t="s">
        <v>96</v>
      </c>
      <c r="D503" t="s">
        <v>176</v>
      </c>
      <c r="E503" t="s">
        <v>30</v>
      </c>
      <c r="F503" t="s">
        <v>119</v>
      </c>
      <c r="G503" t="s">
        <v>32</v>
      </c>
      <c r="H503" t="s">
        <v>87</v>
      </c>
      <c r="I503" s="1" t="s">
        <v>1073</v>
      </c>
      <c r="J503" s="1" t="s">
        <v>17</v>
      </c>
    </row>
    <row r="504" spans="1:10" ht="30" x14ac:dyDescent="0.25">
      <c r="A504" t="s">
        <v>37</v>
      </c>
      <c r="B504" t="s">
        <v>1057</v>
      </c>
      <c r="C504" t="s">
        <v>69</v>
      </c>
      <c r="D504" t="s">
        <v>1074</v>
      </c>
      <c r="E504" t="s">
        <v>30</v>
      </c>
      <c r="F504" t="s">
        <v>166</v>
      </c>
      <c r="G504" t="s">
        <v>32</v>
      </c>
      <c r="H504" t="s">
        <v>33</v>
      </c>
      <c r="I504" s="1" t="s">
        <v>1075</v>
      </c>
      <c r="J504" s="1" t="s">
        <v>481</v>
      </c>
    </row>
    <row r="505" spans="1:10" ht="90" x14ac:dyDescent="0.25">
      <c r="A505" t="s">
        <v>26</v>
      </c>
      <c r="B505" t="s">
        <v>1057</v>
      </c>
      <c r="C505" t="s">
        <v>106</v>
      </c>
      <c r="D505" t="s">
        <v>1076</v>
      </c>
      <c r="E505" t="s">
        <v>30</v>
      </c>
      <c r="F505" t="s">
        <v>94</v>
      </c>
      <c r="G505" t="s">
        <v>32</v>
      </c>
      <c r="H505" t="s">
        <v>173</v>
      </c>
      <c r="I505" s="1" t="s">
        <v>1077</v>
      </c>
      <c r="J505" s="1" t="s">
        <v>481</v>
      </c>
    </row>
    <row r="506" spans="1:10" ht="60" x14ac:dyDescent="0.25">
      <c r="A506" t="s">
        <v>26</v>
      </c>
      <c r="B506" t="s">
        <v>1057</v>
      </c>
      <c r="C506" t="s">
        <v>92</v>
      </c>
      <c r="D506" t="s">
        <v>887</v>
      </c>
      <c r="E506" t="s">
        <v>30</v>
      </c>
      <c r="F506" t="s">
        <v>1078</v>
      </c>
      <c r="G506" t="s">
        <v>32</v>
      </c>
      <c r="H506" t="s">
        <v>173</v>
      </c>
      <c r="I506" s="1" t="s">
        <v>1079</v>
      </c>
      <c r="J506" s="1" t="s">
        <v>17</v>
      </c>
    </row>
    <row r="507" spans="1:10" x14ac:dyDescent="0.25">
      <c r="A507" t="s">
        <v>26</v>
      </c>
      <c r="B507" t="s">
        <v>1057</v>
      </c>
      <c r="C507" t="s">
        <v>38</v>
      </c>
      <c r="D507" t="s">
        <v>1080</v>
      </c>
      <c r="E507" t="s">
        <v>30</v>
      </c>
      <c r="F507" t="s">
        <v>492</v>
      </c>
      <c r="G507" t="s">
        <v>81</v>
      </c>
      <c r="H507" t="s">
        <v>87</v>
      </c>
      <c r="I507" s="1" t="s">
        <v>1081</v>
      </c>
      <c r="J507" s="1" t="s">
        <v>104</v>
      </c>
    </row>
    <row r="508" spans="1:10" ht="30" x14ac:dyDescent="0.25">
      <c r="A508" t="s">
        <v>26</v>
      </c>
      <c r="B508" t="s">
        <v>1057</v>
      </c>
      <c r="C508" t="s">
        <v>38</v>
      </c>
      <c r="D508" t="s">
        <v>1082</v>
      </c>
      <c r="E508" t="s">
        <v>30</v>
      </c>
      <c r="F508" t="s">
        <v>112</v>
      </c>
      <c r="G508" t="s">
        <v>69</v>
      </c>
      <c r="H508" t="s">
        <v>33</v>
      </c>
      <c r="I508" s="1" t="s">
        <v>1083</v>
      </c>
      <c r="J508" s="1" t="s">
        <v>71</v>
      </c>
    </row>
    <row r="509" spans="1:10" ht="30" x14ac:dyDescent="0.25">
      <c r="A509" t="s">
        <v>26</v>
      </c>
      <c r="B509" t="s">
        <v>1057</v>
      </c>
      <c r="C509" t="s">
        <v>106</v>
      </c>
      <c r="D509" t="s">
        <v>1084</v>
      </c>
      <c r="E509" t="s">
        <v>30</v>
      </c>
      <c r="F509" t="s">
        <v>627</v>
      </c>
      <c r="G509" t="s">
        <v>32</v>
      </c>
      <c r="H509" t="s">
        <v>33</v>
      </c>
      <c r="I509" s="1" t="s">
        <v>1085</v>
      </c>
      <c r="J509" s="1" t="s">
        <v>481</v>
      </c>
    </row>
    <row r="510" spans="1:10" ht="90" x14ac:dyDescent="0.25">
      <c r="A510" t="s">
        <v>26</v>
      </c>
      <c r="B510" t="s">
        <v>1057</v>
      </c>
      <c r="C510" t="s">
        <v>50</v>
      </c>
      <c r="D510" t="s">
        <v>1086</v>
      </c>
      <c r="E510" t="s">
        <v>30</v>
      </c>
      <c r="F510" t="s">
        <v>161</v>
      </c>
      <c r="G510" t="s">
        <v>32</v>
      </c>
      <c r="H510" t="s">
        <v>33</v>
      </c>
      <c r="I510" s="1" t="s">
        <v>1087</v>
      </c>
      <c r="J510" s="1" t="s">
        <v>426</v>
      </c>
    </row>
    <row r="511" spans="1:10" ht="90" x14ac:dyDescent="0.25">
      <c r="A511" t="s">
        <v>26</v>
      </c>
      <c r="B511" t="s">
        <v>1057</v>
      </c>
      <c r="C511" t="s">
        <v>235</v>
      </c>
      <c r="D511" t="s">
        <v>327</v>
      </c>
      <c r="E511" t="s">
        <v>30</v>
      </c>
      <c r="F511" t="s">
        <v>102</v>
      </c>
      <c r="G511" t="s">
        <v>32</v>
      </c>
      <c r="H511" t="s">
        <v>87</v>
      </c>
      <c r="I511" s="1" t="s">
        <v>1088</v>
      </c>
      <c r="J511" s="1" t="s">
        <v>436</v>
      </c>
    </row>
    <row r="512" spans="1:10" ht="30" x14ac:dyDescent="0.25">
      <c r="A512" t="s">
        <v>26</v>
      </c>
      <c r="B512" t="s">
        <v>1057</v>
      </c>
      <c r="C512" t="s">
        <v>44</v>
      </c>
      <c r="D512" t="s">
        <v>300</v>
      </c>
      <c r="E512" t="s">
        <v>30</v>
      </c>
      <c r="F512" t="s">
        <v>182</v>
      </c>
      <c r="G512" t="s">
        <v>32</v>
      </c>
      <c r="H512" t="s">
        <v>173</v>
      </c>
      <c r="I512" s="1" t="s">
        <v>1089</v>
      </c>
      <c r="J512" s="1" t="s">
        <v>17</v>
      </c>
    </row>
    <row r="513" spans="1:10" ht="90" x14ac:dyDescent="0.25">
      <c r="A513" t="s">
        <v>26</v>
      </c>
      <c r="B513" t="s">
        <v>1057</v>
      </c>
      <c r="C513" t="s">
        <v>50</v>
      </c>
      <c r="D513" t="s">
        <v>817</v>
      </c>
      <c r="E513" t="s">
        <v>79</v>
      </c>
      <c r="F513" t="s">
        <v>119</v>
      </c>
      <c r="G513" t="s">
        <v>32</v>
      </c>
      <c r="H513" t="s">
        <v>33</v>
      </c>
      <c r="I513" s="1" t="s">
        <v>1090</v>
      </c>
      <c r="J513" s="1" t="s">
        <v>17</v>
      </c>
    </row>
    <row r="514" spans="1:10" x14ac:dyDescent="0.25">
      <c r="A514" t="s">
        <v>26</v>
      </c>
      <c r="B514" t="s">
        <v>1057</v>
      </c>
      <c r="C514" t="s">
        <v>44</v>
      </c>
      <c r="D514" t="s">
        <v>215</v>
      </c>
      <c r="E514" t="s">
        <v>30</v>
      </c>
      <c r="F514" t="s">
        <v>136</v>
      </c>
      <c r="G514" t="s">
        <v>32</v>
      </c>
      <c r="H514" t="s">
        <v>173</v>
      </c>
      <c r="I514" s="1" t="s">
        <v>1091</v>
      </c>
      <c r="J514" s="1" t="s">
        <v>17</v>
      </c>
    </row>
    <row r="515" spans="1:10" ht="105" x14ac:dyDescent="0.25">
      <c r="A515" t="s">
        <v>26</v>
      </c>
      <c r="B515" t="s">
        <v>1057</v>
      </c>
      <c r="C515" t="s">
        <v>32</v>
      </c>
      <c r="D515" t="s">
        <v>1092</v>
      </c>
      <c r="E515" t="s">
        <v>30</v>
      </c>
      <c r="F515" t="s">
        <v>189</v>
      </c>
      <c r="G515" t="s">
        <v>69</v>
      </c>
      <c r="H515" t="s">
        <v>87</v>
      </c>
      <c r="I515" s="1" t="s">
        <v>1093</v>
      </c>
      <c r="J515" s="1" t="s">
        <v>436</v>
      </c>
    </row>
    <row r="516" spans="1:10" ht="90" x14ac:dyDescent="0.25">
      <c r="A516" t="s">
        <v>26</v>
      </c>
      <c r="B516" t="s">
        <v>1057</v>
      </c>
      <c r="C516" t="s">
        <v>28</v>
      </c>
      <c r="D516" t="s">
        <v>1094</v>
      </c>
      <c r="E516" t="s">
        <v>30</v>
      </c>
      <c r="F516" t="s">
        <v>216</v>
      </c>
      <c r="G516" t="s">
        <v>69</v>
      </c>
      <c r="H516" t="s">
        <v>87</v>
      </c>
      <c r="I516" s="1" t="s">
        <v>1095</v>
      </c>
      <c r="J516" s="1" t="s">
        <v>71</v>
      </c>
    </row>
    <row r="517" spans="1:10" ht="105" x14ac:dyDescent="0.25">
      <c r="A517" t="s">
        <v>26</v>
      </c>
      <c r="B517" t="s">
        <v>1057</v>
      </c>
      <c r="C517" t="s">
        <v>44</v>
      </c>
      <c r="D517" t="s">
        <v>215</v>
      </c>
      <c r="E517" t="s">
        <v>30</v>
      </c>
      <c r="F517" t="s">
        <v>166</v>
      </c>
      <c r="G517" t="s">
        <v>32</v>
      </c>
      <c r="H517" t="s">
        <v>33</v>
      </c>
      <c r="I517" s="1" t="s">
        <v>1096</v>
      </c>
      <c r="J517" s="1" t="s">
        <v>426</v>
      </c>
    </row>
    <row r="518" spans="1:10" ht="105" x14ac:dyDescent="0.25">
      <c r="A518" t="s">
        <v>26</v>
      </c>
      <c r="B518" t="s">
        <v>1057</v>
      </c>
      <c r="C518" t="s">
        <v>28</v>
      </c>
      <c r="D518" t="s">
        <v>129</v>
      </c>
      <c r="E518" t="s">
        <v>30</v>
      </c>
      <c r="F518" t="s">
        <v>389</v>
      </c>
      <c r="G518" t="s">
        <v>69</v>
      </c>
      <c r="H518" t="s">
        <v>173</v>
      </c>
      <c r="I518" s="1" t="s">
        <v>1097</v>
      </c>
      <c r="J518" s="1" t="s">
        <v>21</v>
      </c>
    </row>
    <row r="519" spans="1:10" ht="30" x14ac:dyDescent="0.25">
      <c r="A519" t="s">
        <v>26</v>
      </c>
      <c r="B519" t="s">
        <v>1057</v>
      </c>
      <c r="C519" t="s">
        <v>28</v>
      </c>
      <c r="D519" t="s">
        <v>1098</v>
      </c>
      <c r="E519" t="s">
        <v>30</v>
      </c>
      <c r="F519" t="s">
        <v>154</v>
      </c>
      <c r="G519" t="s">
        <v>32</v>
      </c>
      <c r="H519" t="s">
        <v>173</v>
      </c>
      <c r="I519" s="1" t="s">
        <v>1099</v>
      </c>
      <c r="J519" s="1" t="s">
        <v>104</v>
      </c>
    </row>
    <row r="520" spans="1:10" ht="30" x14ac:dyDescent="0.25">
      <c r="A520" t="s">
        <v>49</v>
      </c>
      <c r="B520" t="s">
        <v>1057</v>
      </c>
      <c r="C520" t="s">
        <v>263</v>
      </c>
      <c r="D520" t="s">
        <v>1100</v>
      </c>
      <c r="E520" t="s">
        <v>30</v>
      </c>
      <c r="F520" t="s">
        <v>365</v>
      </c>
      <c r="G520" t="s">
        <v>32</v>
      </c>
      <c r="H520" t="s">
        <v>173</v>
      </c>
      <c r="I520" s="1" t="s">
        <v>1101</v>
      </c>
      <c r="J520" s="1" t="s">
        <v>426</v>
      </c>
    </row>
    <row r="521" spans="1:10" ht="30" x14ac:dyDescent="0.25">
      <c r="A521" t="s">
        <v>26</v>
      </c>
      <c r="B521" t="s">
        <v>1057</v>
      </c>
      <c r="C521" t="s">
        <v>44</v>
      </c>
      <c r="D521" t="s">
        <v>949</v>
      </c>
      <c r="E521" t="s">
        <v>30</v>
      </c>
      <c r="F521" t="s">
        <v>94</v>
      </c>
      <c r="G521" t="s">
        <v>32</v>
      </c>
      <c r="H521" t="s">
        <v>33</v>
      </c>
      <c r="I521" s="1" t="s">
        <v>1102</v>
      </c>
      <c r="J521" s="1" t="s">
        <v>426</v>
      </c>
    </row>
    <row r="522" spans="1:10" ht="120" x14ac:dyDescent="0.25">
      <c r="A522" t="s">
        <v>49</v>
      </c>
      <c r="B522" t="s">
        <v>1057</v>
      </c>
      <c r="C522" t="s">
        <v>73</v>
      </c>
      <c r="D522" t="s">
        <v>293</v>
      </c>
      <c r="E522" t="s">
        <v>30</v>
      </c>
      <c r="F522" t="s">
        <v>1103</v>
      </c>
      <c r="G522" t="s">
        <v>69</v>
      </c>
      <c r="H522" t="s">
        <v>173</v>
      </c>
      <c r="I522" s="1" t="s">
        <v>1104</v>
      </c>
      <c r="J522" s="1" t="s">
        <v>481</v>
      </c>
    </row>
    <row r="523" spans="1:10" ht="105" x14ac:dyDescent="0.25">
      <c r="A523" t="s">
        <v>49</v>
      </c>
      <c r="B523" t="s">
        <v>1057</v>
      </c>
      <c r="C523" t="s">
        <v>180</v>
      </c>
      <c r="D523" t="s">
        <v>1105</v>
      </c>
      <c r="E523" t="s">
        <v>30</v>
      </c>
      <c r="F523" t="s">
        <v>543</v>
      </c>
      <c r="G523" t="s">
        <v>81</v>
      </c>
      <c r="H523" t="s">
        <v>87</v>
      </c>
      <c r="I523" s="1" t="s">
        <v>1106</v>
      </c>
      <c r="J523" s="1" t="s">
        <v>436</v>
      </c>
    </row>
    <row r="524" spans="1:10" ht="120" x14ac:dyDescent="0.25">
      <c r="A524" t="s">
        <v>49</v>
      </c>
      <c r="B524" t="s">
        <v>1057</v>
      </c>
      <c r="C524" t="s">
        <v>106</v>
      </c>
      <c r="D524" t="s">
        <v>605</v>
      </c>
      <c r="E524" t="s">
        <v>30</v>
      </c>
      <c r="F524" t="s">
        <v>46</v>
      </c>
      <c r="G524" t="s">
        <v>32</v>
      </c>
      <c r="H524" t="s">
        <v>87</v>
      </c>
      <c r="I524" s="1" t="s">
        <v>1107</v>
      </c>
      <c r="J524" s="1" t="s">
        <v>71</v>
      </c>
    </row>
    <row r="525" spans="1:10" ht="60" x14ac:dyDescent="0.25">
      <c r="A525" t="s">
        <v>49</v>
      </c>
      <c r="B525" t="s">
        <v>1057</v>
      </c>
      <c r="C525" t="s">
        <v>240</v>
      </c>
      <c r="D525" t="s">
        <v>767</v>
      </c>
      <c r="E525" t="s">
        <v>30</v>
      </c>
      <c r="F525" t="s">
        <v>543</v>
      </c>
      <c r="G525" t="s">
        <v>32</v>
      </c>
      <c r="H525" t="s">
        <v>33</v>
      </c>
      <c r="I525" s="1" t="s">
        <v>1108</v>
      </c>
      <c r="J525" s="1" t="s">
        <v>426</v>
      </c>
    </row>
    <row r="526" spans="1:10" ht="90" x14ac:dyDescent="0.25">
      <c r="A526" t="s">
        <v>49</v>
      </c>
      <c r="B526" t="s">
        <v>1057</v>
      </c>
      <c r="C526" t="s">
        <v>69</v>
      </c>
      <c r="D526" t="s">
        <v>212</v>
      </c>
      <c r="E526" t="s">
        <v>30</v>
      </c>
      <c r="F526" t="s">
        <v>130</v>
      </c>
      <c r="G526" t="s">
        <v>32</v>
      </c>
      <c r="H526" t="s">
        <v>173</v>
      </c>
      <c r="I526" s="1" t="s">
        <v>1109</v>
      </c>
      <c r="J526" s="1" t="s">
        <v>17</v>
      </c>
    </row>
    <row r="527" spans="1:10" ht="60" x14ac:dyDescent="0.25">
      <c r="A527" t="s">
        <v>91</v>
      </c>
      <c r="B527" t="s">
        <v>1057</v>
      </c>
      <c r="C527" t="s">
        <v>106</v>
      </c>
      <c r="D527" t="s">
        <v>539</v>
      </c>
      <c r="E527" t="s">
        <v>30</v>
      </c>
      <c r="F527" t="s">
        <v>389</v>
      </c>
      <c r="G527" t="s">
        <v>69</v>
      </c>
      <c r="H527" t="s">
        <v>173</v>
      </c>
      <c r="I527" s="1" t="s">
        <v>1110</v>
      </c>
      <c r="J527" s="1" t="s">
        <v>481</v>
      </c>
    </row>
    <row r="528" spans="1:10" ht="120" x14ac:dyDescent="0.25">
      <c r="A528" t="s">
        <v>49</v>
      </c>
      <c r="B528" t="s">
        <v>1057</v>
      </c>
      <c r="C528" t="s">
        <v>69</v>
      </c>
      <c r="D528" t="s">
        <v>398</v>
      </c>
      <c r="E528" t="s">
        <v>30</v>
      </c>
      <c r="F528" t="s">
        <v>719</v>
      </c>
      <c r="G528" t="s">
        <v>32</v>
      </c>
      <c r="H528" t="s">
        <v>87</v>
      </c>
      <c r="I528" s="1" t="s">
        <v>1111</v>
      </c>
      <c r="J528" s="1" t="s">
        <v>71</v>
      </c>
    </row>
    <row r="529" spans="1:10" ht="45" x14ac:dyDescent="0.25">
      <c r="A529" t="s">
        <v>49</v>
      </c>
      <c r="B529" t="s">
        <v>1057</v>
      </c>
      <c r="C529" t="s">
        <v>50</v>
      </c>
      <c r="D529" t="s">
        <v>226</v>
      </c>
      <c r="E529" t="s">
        <v>79</v>
      </c>
      <c r="F529" t="s">
        <v>216</v>
      </c>
      <c r="G529" t="s">
        <v>81</v>
      </c>
      <c r="H529" t="s">
        <v>33</v>
      </c>
      <c r="I529" s="1" t="s">
        <v>1112</v>
      </c>
      <c r="J529" s="1" t="s">
        <v>426</v>
      </c>
    </row>
    <row r="530" spans="1:10" ht="90" x14ac:dyDescent="0.25">
      <c r="A530" t="s">
        <v>91</v>
      </c>
      <c r="B530" t="s">
        <v>1057</v>
      </c>
      <c r="C530" t="s">
        <v>92</v>
      </c>
      <c r="D530" t="s">
        <v>452</v>
      </c>
      <c r="E530" t="s">
        <v>30</v>
      </c>
      <c r="F530" t="s">
        <v>202</v>
      </c>
      <c r="G530" t="s">
        <v>32</v>
      </c>
      <c r="H530" t="s">
        <v>87</v>
      </c>
      <c r="I530" s="1" t="s">
        <v>1113</v>
      </c>
      <c r="J530" s="1" t="s">
        <v>104</v>
      </c>
    </row>
    <row r="531" spans="1:10" x14ac:dyDescent="0.25">
      <c r="A531" t="s">
        <v>91</v>
      </c>
      <c r="B531" t="s">
        <v>1057</v>
      </c>
      <c r="C531" t="s">
        <v>180</v>
      </c>
      <c r="D531" t="s">
        <v>439</v>
      </c>
      <c r="E531" t="s">
        <v>30</v>
      </c>
      <c r="F531" t="s">
        <v>446</v>
      </c>
      <c r="G531" t="s">
        <v>32</v>
      </c>
      <c r="H531" t="s">
        <v>33</v>
      </c>
      <c r="I531" s="1" t="s">
        <v>1114</v>
      </c>
      <c r="J531" s="1" t="s">
        <v>71</v>
      </c>
    </row>
    <row r="532" spans="1:10" ht="105" x14ac:dyDescent="0.25">
      <c r="A532" t="s">
        <v>37</v>
      </c>
      <c r="B532" t="s">
        <v>1057</v>
      </c>
      <c r="C532" t="s">
        <v>240</v>
      </c>
      <c r="D532" t="s">
        <v>703</v>
      </c>
      <c r="E532" t="s">
        <v>30</v>
      </c>
      <c r="F532" t="s">
        <v>520</v>
      </c>
      <c r="G532" t="s">
        <v>38</v>
      </c>
      <c r="H532" t="s">
        <v>173</v>
      </c>
      <c r="I532" s="1" t="s">
        <v>1115</v>
      </c>
      <c r="J532" s="1" t="s">
        <v>104</v>
      </c>
    </row>
    <row r="533" spans="1:10" ht="105" x14ac:dyDescent="0.25">
      <c r="A533" t="s">
        <v>49</v>
      </c>
      <c r="B533" t="s">
        <v>1057</v>
      </c>
      <c r="C533" t="s">
        <v>32</v>
      </c>
      <c r="D533" t="s">
        <v>1116</v>
      </c>
      <c r="E533" t="s">
        <v>30</v>
      </c>
      <c r="F533" t="s">
        <v>52</v>
      </c>
      <c r="G533" t="s">
        <v>32</v>
      </c>
      <c r="H533" t="s">
        <v>33</v>
      </c>
      <c r="I533" s="1" t="s">
        <v>1117</v>
      </c>
      <c r="J533" s="1" t="s">
        <v>426</v>
      </c>
    </row>
    <row r="534" spans="1:10" ht="30" x14ac:dyDescent="0.25">
      <c r="A534" t="s">
        <v>37</v>
      </c>
      <c r="B534" t="s">
        <v>1057</v>
      </c>
      <c r="C534" t="s">
        <v>180</v>
      </c>
      <c r="D534" t="s">
        <v>276</v>
      </c>
      <c r="E534" t="s">
        <v>30</v>
      </c>
      <c r="F534" t="s">
        <v>1078</v>
      </c>
      <c r="G534" t="s">
        <v>69</v>
      </c>
      <c r="H534" t="s">
        <v>87</v>
      </c>
      <c r="I534" s="1" t="s">
        <v>1118</v>
      </c>
      <c r="J534" s="1" t="s">
        <v>104</v>
      </c>
    </row>
    <row r="535" spans="1:10" ht="60" x14ac:dyDescent="0.25">
      <c r="A535" t="s">
        <v>59</v>
      </c>
      <c r="B535" t="s">
        <v>1057</v>
      </c>
      <c r="C535" t="s">
        <v>240</v>
      </c>
      <c r="D535" t="s">
        <v>1119</v>
      </c>
      <c r="E535" t="s">
        <v>30</v>
      </c>
      <c r="F535" t="s">
        <v>130</v>
      </c>
      <c r="G535" t="s">
        <v>69</v>
      </c>
      <c r="H535" t="s">
        <v>87</v>
      </c>
      <c r="I535" s="1" t="s">
        <v>1120</v>
      </c>
      <c r="J535" s="1" t="s">
        <v>71</v>
      </c>
    </row>
    <row r="536" spans="1:10" ht="30" x14ac:dyDescent="0.25">
      <c r="A536" t="s">
        <v>64</v>
      </c>
      <c r="B536" t="s">
        <v>1057</v>
      </c>
      <c r="C536" t="s">
        <v>106</v>
      </c>
      <c r="D536" t="s">
        <v>1121</v>
      </c>
      <c r="E536" t="s">
        <v>30</v>
      </c>
      <c r="F536" t="s">
        <v>290</v>
      </c>
      <c r="G536" t="s">
        <v>69</v>
      </c>
      <c r="H536" t="s">
        <v>173</v>
      </c>
      <c r="I536" s="1" t="s">
        <v>1122</v>
      </c>
      <c r="J536" s="1" t="s">
        <v>481</v>
      </c>
    </row>
    <row r="537" spans="1:10" ht="45" x14ac:dyDescent="0.25">
      <c r="A537" t="s">
        <v>37</v>
      </c>
      <c r="B537" t="s">
        <v>1057</v>
      </c>
      <c r="C537" t="s">
        <v>73</v>
      </c>
      <c r="D537" t="s">
        <v>1123</v>
      </c>
      <c r="E537" t="s">
        <v>30</v>
      </c>
      <c r="F537" t="s">
        <v>154</v>
      </c>
      <c r="G537" t="s">
        <v>32</v>
      </c>
      <c r="H537" t="s">
        <v>87</v>
      </c>
      <c r="I537" s="1" t="s">
        <v>1124</v>
      </c>
      <c r="J537" s="1" t="s">
        <v>17</v>
      </c>
    </row>
    <row r="538" spans="1:10" ht="60" x14ac:dyDescent="0.25">
      <c r="A538" t="s">
        <v>59</v>
      </c>
      <c r="B538" t="s">
        <v>1057</v>
      </c>
      <c r="C538" t="s">
        <v>106</v>
      </c>
      <c r="D538" t="s">
        <v>803</v>
      </c>
      <c r="E538" t="s">
        <v>30</v>
      </c>
      <c r="F538" t="s">
        <v>126</v>
      </c>
      <c r="G538" t="s">
        <v>32</v>
      </c>
      <c r="H538" t="s">
        <v>33</v>
      </c>
      <c r="I538" s="1" t="s">
        <v>1125</v>
      </c>
      <c r="J538" s="1" t="s">
        <v>426</v>
      </c>
    </row>
    <row r="539" spans="1:10" ht="30" x14ac:dyDescent="0.25">
      <c r="A539" t="s">
        <v>37</v>
      </c>
      <c r="B539" t="s">
        <v>1057</v>
      </c>
      <c r="C539" t="s">
        <v>106</v>
      </c>
      <c r="D539" t="s">
        <v>789</v>
      </c>
      <c r="E539" t="s">
        <v>30</v>
      </c>
      <c r="F539" t="s">
        <v>365</v>
      </c>
      <c r="G539" t="s">
        <v>32</v>
      </c>
      <c r="H539" t="s">
        <v>33</v>
      </c>
      <c r="I539" s="1" t="s">
        <v>1126</v>
      </c>
      <c r="J539" s="1" t="s">
        <v>481</v>
      </c>
    </row>
    <row r="540" spans="1:10" ht="60" x14ac:dyDescent="0.25">
      <c r="A540" t="s">
        <v>59</v>
      </c>
      <c r="B540" t="s">
        <v>1057</v>
      </c>
      <c r="C540" t="s">
        <v>180</v>
      </c>
      <c r="D540" t="s">
        <v>893</v>
      </c>
      <c r="E540" t="s">
        <v>30</v>
      </c>
      <c r="F540" t="s">
        <v>446</v>
      </c>
      <c r="G540" t="s">
        <v>81</v>
      </c>
      <c r="H540" t="s">
        <v>87</v>
      </c>
      <c r="I540" s="1" t="s">
        <v>1127</v>
      </c>
      <c r="J540" s="1" t="s">
        <v>481</v>
      </c>
    </row>
    <row r="541" spans="1:10" ht="105" x14ac:dyDescent="0.25">
      <c r="A541" t="s">
        <v>37</v>
      </c>
      <c r="B541" t="s">
        <v>1057</v>
      </c>
      <c r="C541" t="s">
        <v>263</v>
      </c>
      <c r="D541" t="s">
        <v>1128</v>
      </c>
      <c r="E541" t="s">
        <v>30</v>
      </c>
      <c r="F541" t="s">
        <v>102</v>
      </c>
      <c r="G541" t="s">
        <v>32</v>
      </c>
      <c r="H541" t="s">
        <v>87</v>
      </c>
      <c r="I541" s="1" t="s">
        <v>1129</v>
      </c>
      <c r="J541" s="1" t="s">
        <v>21</v>
      </c>
    </row>
    <row r="542" spans="1:10" ht="30" x14ac:dyDescent="0.25">
      <c r="A542" t="s">
        <v>37</v>
      </c>
      <c r="B542" t="s">
        <v>1057</v>
      </c>
      <c r="C542" t="s">
        <v>96</v>
      </c>
      <c r="D542" t="s">
        <v>676</v>
      </c>
      <c r="E542" t="s">
        <v>30</v>
      </c>
      <c r="F542" t="s">
        <v>98</v>
      </c>
      <c r="G542" t="s">
        <v>32</v>
      </c>
      <c r="H542" t="s">
        <v>87</v>
      </c>
      <c r="I542" s="1" t="s">
        <v>1130</v>
      </c>
      <c r="J542" s="1" t="s">
        <v>71</v>
      </c>
    </row>
    <row r="543" spans="1:10" ht="120" x14ac:dyDescent="0.25">
      <c r="A543" t="s">
        <v>37</v>
      </c>
      <c r="B543" t="s">
        <v>1057</v>
      </c>
      <c r="C543" t="s">
        <v>50</v>
      </c>
      <c r="D543" t="s">
        <v>226</v>
      </c>
      <c r="E543" t="s">
        <v>30</v>
      </c>
      <c r="F543" t="s">
        <v>602</v>
      </c>
      <c r="G543" t="s">
        <v>32</v>
      </c>
      <c r="H543" t="s">
        <v>173</v>
      </c>
      <c r="I543" s="1" t="s">
        <v>1131</v>
      </c>
      <c r="J543" s="1" t="s">
        <v>21</v>
      </c>
    </row>
    <row r="544" spans="1:10" ht="60" x14ac:dyDescent="0.25">
      <c r="A544" t="s">
        <v>26</v>
      </c>
      <c r="B544" t="s">
        <v>1132</v>
      </c>
      <c r="C544" t="s">
        <v>92</v>
      </c>
      <c r="D544" t="s">
        <v>695</v>
      </c>
      <c r="E544" t="s">
        <v>30</v>
      </c>
      <c r="F544" t="s">
        <v>587</v>
      </c>
      <c r="G544" t="s">
        <v>81</v>
      </c>
      <c r="H544" t="s">
        <v>87</v>
      </c>
      <c r="I544" s="1" t="s">
        <v>1133</v>
      </c>
      <c r="J544" s="1" t="s">
        <v>71</v>
      </c>
    </row>
    <row r="545" spans="1:10" ht="60" x14ac:dyDescent="0.25">
      <c r="A545" t="s">
        <v>26</v>
      </c>
      <c r="B545" t="s">
        <v>1132</v>
      </c>
      <c r="C545" t="s">
        <v>249</v>
      </c>
      <c r="D545" t="s">
        <v>250</v>
      </c>
      <c r="E545" t="s">
        <v>30</v>
      </c>
      <c r="F545" t="s">
        <v>61</v>
      </c>
      <c r="G545" t="s">
        <v>32</v>
      </c>
      <c r="H545" t="s">
        <v>173</v>
      </c>
      <c r="I545" s="1" t="s">
        <v>1134</v>
      </c>
      <c r="J545" s="1" t="s">
        <v>436</v>
      </c>
    </row>
    <row r="546" spans="1:10" ht="60" x14ac:dyDescent="0.25">
      <c r="A546" t="s">
        <v>26</v>
      </c>
      <c r="B546" t="s">
        <v>1132</v>
      </c>
      <c r="C546" t="s">
        <v>263</v>
      </c>
      <c r="D546" t="s">
        <v>1135</v>
      </c>
      <c r="E546" t="s">
        <v>79</v>
      </c>
      <c r="F546" t="s">
        <v>98</v>
      </c>
      <c r="G546" t="s">
        <v>32</v>
      </c>
      <c r="H546" t="s">
        <v>173</v>
      </c>
      <c r="I546" s="1" t="s">
        <v>1136</v>
      </c>
      <c r="J546" s="1" t="s">
        <v>17</v>
      </c>
    </row>
    <row r="547" spans="1:10" ht="60" x14ac:dyDescent="0.25">
      <c r="A547" t="s">
        <v>26</v>
      </c>
      <c r="B547" t="s">
        <v>1132</v>
      </c>
      <c r="C547" t="s">
        <v>263</v>
      </c>
      <c r="D547" t="s">
        <v>1137</v>
      </c>
      <c r="E547" t="s">
        <v>30</v>
      </c>
      <c r="F547" t="s">
        <v>631</v>
      </c>
      <c r="G547" t="s">
        <v>32</v>
      </c>
      <c r="H547" t="s">
        <v>33</v>
      </c>
      <c r="I547" s="1" t="s">
        <v>1138</v>
      </c>
      <c r="J547" s="1" t="s">
        <v>426</v>
      </c>
    </row>
    <row r="548" spans="1:10" ht="45" x14ac:dyDescent="0.25">
      <c r="A548" t="s">
        <v>26</v>
      </c>
      <c r="B548" t="s">
        <v>1132</v>
      </c>
      <c r="C548" t="s">
        <v>38</v>
      </c>
      <c r="D548" t="s">
        <v>466</v>
      </c>
      <c r="E548" t="s">
        <v>30</v>
      </c>
      <c r="F548" t="s">
        <v>189</v>
      </c>
      <c r="G548" t="s">
        <v>32</v>
      </c>
      <c r="H548" t="s">
        <v>33</v>
      </c>
      <c r="I548" s="1" t="s">
        <v>1139</v>
      </c>
      <c r="J548" s="1" t="s">
        <v>426</v>
      </c>
    </row>
    <row r="549" spans="1:10" ht="60" x14ac:dyDescent="0.25">
      <c r="A549" t="s">
        <v>26</v>
      </c>
      <c r="B549" t="s">
        <v>1132</v>
      </c>
      <c r="C549" t="s">
        <v>240</v>
      </c>
      <c r="D549" t="s">
        <v>504</v>
      </c>
      <c r="E549" t="s">
        <v>30</v>
      </c>
      <c r="F549" t="s">
        <v>136</v>
      </c>
      <c r="G549" t="s">
        <v>69</v>
      </c>
      <c r="H549" t="s">
        <v>87</v>
      </c>
      <c r="I549" s="1" t="s">
        <v>1140</v>
      </c>
      <c r="J549" s="1" t="s">
        <v>17</v>
      </c>
    </row>
    <row r="550" spans="1:10" ht="45" x14ac:dyDescent="0.25">
      <c r="A550" t="s">
        <v>26</v>
      </c>
      <c r="B550" t="s">
        <v>1132</v>
      </c>
      <c r="C550" t="s">
        <v>249</v>
      </c>
      <c r="D550" t="s">
        <v>1141</v>
      </c>
      <c r="E550" t="s">
        <v>30</v>
      </c>
      <c r="F550" t="s">
        <v>1142</v>
      </c>
      <c r="G550" t="s">
        <v>32</v>
      </c>
      <c r="H550" t="s">
        <v>33</v>
      </c>
      <c r="I550" s="1" t="s">
        <v>1143</v>
      </c>
      <c r="J550" s="1" t="s">
        <v>426</v>
      </c>
    </row>
    <row r="551" spans="1:10" ht="30" x14ac:dyDescent="0.25">
      <c r="A551" t="s">
        <v>26</v>
      </c>
      <c r="B551" t="s">
        <v>1132</v>
      </c>
      <c r="C551" t="s">
        <v>249</v>
      </c>
      <c r="D551" t="s">
        <v>1067</v>
      </c>
      <c r="E551" t="s">
        <v>30</v>
      </c>
      <c r="F551" t="s">
        <v>46</v>
      </c>
      <c r="G551" t="s">
        <v>32</v>
      </c>
      <c r="H551" t="s">
        <v>33</v>
      </c>
      <c r="I551" s="1" t="s">
        <v>1144</v>
      </c>
      <c r="J551" s="1" t="s">
        <v>426</v>
      </c>
    </row>
    <row r="552" spans="1:10" ht="75" x14ac:dyDescent="0.25">
      <c r="A552" t="s">
        <v>26</v>
      </c>
      <c r="B552" t="s">
        <v>1132</v>
      </c>
      <c r="C552" t="s">
        <v>50</v>
      </c>
      <c r="D552" t="s">
        <v>226</v>
      </c>
      <c r="E552" t="s">
        <v>30</v>
      </c>
      <c r="F552" t="s">
        <v>189</v>
      </c>
      <c r="G552" t="s">
        <v>81</v>
      </c>
      <c r="H552" t="s">
        <v>87</v>
      </c>
      <c r="I552" s="1" t="s">
        <v>1145</v>
      </c>
      <c r="J552" s="1" t="s">
        <v>436</v>
      </c>
    </row>
    <row r="553" spans="1:10" ht="45" x14ac:dyDescent="0.25">
      <c r="A553" t="s">
        <v>26</v>
      </c>
      <c r="B553" t="s">
        <v>1132</v>
      </c>
      <c r="C553" t="s">
        <v>96</v>
      </c>
      <c r="D553" t="s">
        <v>875</v>
      </c>
      <c r="E553" t="s">
        <v>30</v>
      </c>
      <c r="F553" t="s">
        <v>290</v>
      </c>
      <c r="G553" t="s">
        <v>69</v>
      </c>
      <c r="H553" t="s">
        <v>87</v>
      </c>
      <c r="I553" s="1" t="s">
        <v>1146</v>
      </c>
      <c r="J553" s="1" t="s">
        <v>21</v>
      </c>
    </row>
    <row r="554" spans="1:10" x14ac:dyDescent="0.25">
      <c r="A554" t="s">
        <v>26</v>
      </c>
      <c r="B554" t="s">
        <v>1132</v>
      </c>
      <c r="C554" t="s">
        <v>73</v>
      </c>
      <c r="D554" t="s">
        <v>1147</v>
      </c>
      <c r="E554" t="s">
        <v>30</v>
      </c>
      <c r="F554" t="s">
        <v>307</v>
      </c>
      <c r="G554" t="s">
        <v>32</v>
      </c>
      <c r="H554" t="s">
        <v>33</v>
      </c>
      <c r="I554" s="1" t="s">
        <v>1148</v>
      </c>
      <c r="J554" s="1" t="s">
        <v>481</v>
      </c>
    </row>
    <row r="555" spans="1:10" ht="30" x14ac:dyDescent="0.25">
      <c r="A555" t="s">
        <v>26</v>
      </c>
      <c r="B555" t="s">
        <v>1132</v>
      </c>
      <c r="C555" t="s">
        <v>73</v>
      </c>
      <c r="D555" t="s">
        <v>678</v>
      </c>
      <c r="E555" t="s">
        <v>30</v>
      </c>
      <c r="F555" t="s">
        <v>307</v>
      </c>
      <c r="G555" t="s">
        <v>32</v>
      </c>
      <c r="H555" t="s">
        <v>33</v>
      </c>
      <c r="I555" s="1" t="s">
        <v>1149</v>
      </c>
      <c r="J555" s="1" t="s">
        <v>71</v>
      </c>
    </row>
    <row r="556" spans="1:10" ht="60" x14ac:dyDescent="0.25">
      <c r="A556" t="s">
        <v>26</v>
      </c>
      <c r="B556" t="s">
        <v>1132</v>
      </c>
      <c r="C556" t="s">
        <v>50</v>
      </c>
      <c r="D556" t="s">
        <v>1150</v>
      </c>
      <c r="E556" t="s">
        <v>30</v>
      </c>
      <c r="F556" t="s">
        <v>520</v>
      </c>
      <c r="G556" t="s">
        <v>69</v>
      </c>
      <c r="H556" t="s">
        <v>173</v>
      </c>
      <c r="I556" s="1" t="s">
        <v>1151</v>
      </c>
      <c r="J556" s="1" t="s">
        <v>481</v>
      </c>
    </row>
    <row r="557" spans="1:10" ht="60" x14ac:dyDescent="0.25">
      <c r="A557" t="s">
        <v>26</v>
      </c>
      <c r="B557" t="s">
        <v>1132</v>
      </c>
      <c r="C557" t="s">
        <v>96</v>
      </c>
      <c r="D557" t="s">
        <v>1152</v>
      </c>
      <c r="E557" t="s">
        <v>30</v>
      </c>
      <c r="F557" t="s">
        <v>98</v>
      </c>
      <c r="G557" t="s">
        <v>32</v>
      </c>
      <c r="H557" t="s">
        <v>173</v>
      </c>
      <c r="I557" s="1" t="s">
        <v>1153</v>
      </c>
      <c r="J557" s="1" t="s">
        <v>17</v>
      </c>
    </row>
    <row r="558" spans="1:10" ht="45" x14ac:dyDescent="0.25">
      <c r="A558" t="s">
        <v>26</v>
      </c>
      <c r="B558" t="s">
        <v>1132</v>
      </c>
      <c r="C558" t="s">
        <v>240</v>
      </c>
      <c r="D558" t="s">
        <v>882</v>
      </c>
      <c r="E558" t="s">
        <v>30</v>
      </c>
      <c r="F558" t="s">
        <v>161</v>
      </c>
      <c r="G558" t="s">
        <v>32</v>
      </c>
      <c r="H558" t="s">
        <v>33</v>
      </c>
      <c r="I558" s="1" t="s">
        <v>1154</v>
      </c>
      <c r="J558" s="1" t="s">
        <v>436</v>
      </c>
    </row>
    <row r="559" spans="1:10" ht="45" x14ac:dyDescent="0.25">
      <c r="A559" t="s">
        <v>26</v>
      </c>
      <c r="B559" t="s">
        <v>1132</v>
      </c>
      <c r="C559" t="s">
        <v>240</v>
      </c>
      <c r="D559" t="s">
        <v>1155</v>
      </c>
      <c r="E559" t="s">
        <v>30</v>
      </c>
      <c r="F559" t="s">
        <v>389</v>
      </c>
      <c r="G559" t="s">
        <v>32</v>
      </c>
      <c r="H559" t="s">
        <v>33</v>
      </c>
      <c r="I559" s="1" t="s">
        <v>1156</v>
      </c>
      <c r="J559" s="1" t="s">
        <v>426</v>
      </c>
    </row>
    <row r="560" spans="1:10" ht="45" x14ac:dyDescent="0.25">
      <c r="A560" t="s">
        <v>26</v>
      </c>
      <c r="B560" t="s">
        <v>1132</v>
      </c>
      <c r="C560" t="s">
        <v>180</v>
      </c>
      <c r="D560" t="s">
        <v>439</v>
      </c>
      <c r="E560" t="s">
        <v>30</v>
      </c>
      <c r="F560" t="s">
        <v>587</v>
      </c>
      <c r="G560" t="s">
        <v>32</v>
      </c>
      <c r="H560" t="s">
        <v>33</v>
      </c>
      <c r="I560" s="1" t="s">
        <v>1157</v>
      </c>
      <c r="J560" s="1" t="s">
        <v>426</v>
      </c>
    </row>
    <row r="561" spans="1:10" ht="75" x14ac:dyDescent="0.25">
      <c r="A561" t="s">
        <v>26</v>
      </c>
      <c r="B561" t="s">
        <v>1132</v>
      </c>
      <c r="C561" t="s">
        <v>235</v>
      </c>
      <c r="D561" t="s">
        <v>1158</v>
      </c>
      <c r="E561" t="s">
        <v>30</v>
      </c>
      <c r="F561" t="s">
        <v>602</v>
      </c>
      <c r="G561" t="s">
        <v>32</v>
      </c>
      <c r="H561" t="s">
        <v>33</v>
      </c>
      <c r="I561" s="1" t="s">
        <v>1159</v>
      </c>
      <c r="J561" s="1" t="s">
        <v>426</v>
      </c>
    </row>
    <row r="562" spans="1:10" ht="75" x14ac:dyDescent="0.25">
      <c r="A562" t="s">
        <v>26</v>
      </c>
      <c r="B562" t="s">
        <v>1132</v>
      </c>
      <c r="C562" t="s">
        <v>50</v>
      </c>
      <c r="D562" t="s">
        <v>1150</v>
      </c>
      <c r="E562" t="s">
        <v>30</v>
      </c>
      <c r="F562" t="s">
        <v>154</v>
      </c>
      <c r="G562" t="s">
        <v>32</v>
      </c>
      <c r="H562" t="s">
        <v>33</v>
      </c>
      <c r="I562" s="1" t="s">
        <v>1160</v>
      </c>
      <c r="J562" s="1" t="s">
        <v>426</v>
      </c>
    </row>
    <row r="563" spans="1:10" ht="90" x14ac:dyDescent="0.25">
      <c r="A563" t="s">
        <v>26</v>
      </c>
      <c r="B563" t="s">
        <v>1132</v>
      </c>
      <c r="C563" t="s">
        <v>472</v>
      </c>
      <c r="D563" t="s">
        <v>812</v>
      </c>
      <c r="E563" t="s">
        <v>30</v>
      </c>
      <c r="F563" t="s">
        <v>189</v>
      </c>
      <c r="G563" t="s">
        <v>81</v>
      </c>
      <c r="H563" t="s">
        <v>87</v>
      </c>
      <c r="I563" s="1" t="s">
        <v>1161</v>
      </c>
      <c r="J563" s="1" t="s">
        <v>71</v>
      </c>
    </row>
    <row r="564" spans="1:10" ht="105" x14ac:dyDescent="0.25">
      <c r="A564" t="s">
        <v>26</v>
      </c>
      <c r="B564" t="s">
        <v>1132</v>
      </c>
      <c r="C564" t="s">
        <v>44</v>
      </c>
      <c r="D564" t="s">
        <v>1162</v>
      </c>
      <c r="E564" t="s">
        <v>30</v>
      </c>
      <c r="F564" t="s">
        <v>154</v>
      </c>
      <c r="G564" t="s">
        <v>32</v>
      </c>
      <c r="H564" t="s">
        <v>87</v>
      </c>
      <c r="I564" s="1" t="s">
        <v>1163</v>
      </c>
      <c r="J564" s="1" t="s">
        <v>71</v>
      </c>
    </row>
    <row r="565" spans="1:10" x14ac:dyDescent="0.25">
      <c r="A565" t="s">
        <v>26</v>
      </c>
      <c r="B565" t="s">
        <v>1132</v>
      </c>
      <c r="C565" t="s">
        <v>235</v>
      </c>
      <c r="D565" t="s">
        <v>427</v>
      </c>
      <c r="E565" t="s">
        <v>30</v>
      </c>
      <c r="F565" t="s">
        <v>189</v>
      </c>
      <c r="G565" t="s">
        <v>69</v>
      </c>
      <c r="H565" t="s">
        <v>173</v>
      </c>
      <c r="I565" s="1" t="s">
        <v>1164</v>
      </c>
      <c r="J565" s="1" t="s">
        <v>1165</v>
      </c>
    </row>
    <row r="566" spans="1:10" x14ac:dyDescent="0.25">
      <c r="A566" t="s">
        <v>26</v>
      </c>
      <c r="B566" t="s">
        <v>1132</v>
      </c>
      <c r="C566" t="s">
        <v>69</v>
      </c>
      <c r="D566" t="s">
        <v>229</v>
      </c>
      <c r="E566" t="s">
        <v>30</v>
      </c>
      <c r="F566" t="s">
        <v>102</v>
      </c>
      <c r="G566" t="s">
        <v>32</v>
      </c>
      <c r="H566" t="s">
        <v>173</v>
      </c>
      <c r="I566" s="1" t="s">
        <v>1166</v>
      </c>
      <c r="J566" s="1" t="s">
        <v>17</v>
      </c>
    </row>
    <row r="567" spans="1:10" ht="60" x14ac:dyDescent="0.25">
      <c r="A567" t="s">
        <v>26</v>
      </c>
      <c r="B567" t="s">
        <v>1132</v>
      </c>
      <c r="C567" t="s">
        <v>472</v>
      </c>
      <c r="D567" t="s">
        <v>973</v>
      </c>
      <c r="E567" t="s">
        <v>30</v>
      </c>
      <c r="F567" t="s">
        <v>205</v>
      </c>
      <c r="G567" t="s">
        <v>69</v>
      </c>
      <c r="H567" t="s">
        <v>33</v>
      </c>
      <c r="I567" s="1" t="s">
        <v>1167</v>
      </c>
      <c r="J567" s="1" t="s">
        <v>426</v>
      </c>
    </row>
    <row r="568" spans="1:10" ht="45" x14ac:dyDescent="0.25">
      <c r="A568" t="s">
        <v>26</v>
      </c>
      <c r="B568" t="s">
        <v>1132</v>
      </c>
      <c r="C568" t="s">
        <v>85</v>
      </c>
      <c r="D568" t="s">
        <v>1168</v>
      </c>
      <c r="E568" t="s">
        <v>30</v>
      </c>
      <c r="F568" t="s">
        <v>177</v>
      </c>
      <c r="G568" t="s">
        <v>32</v>
      </c>
      <c r="H568" t="s">
        <v>173</v>
      </c>
      <c r="I568" s="1" t="s">
        <v>1169</v>
      </c>
      <c r="J568" s="1" t="s">
        <v>71</v>
      </c>
    </row>
    <row r="569" spans="1:10" ht="45" x14ac:dyDescent="0.25">
      <c r="A569" t="s">
        <v>26</v>
      </c>
      <c r="B569" t="s">
        <v>1132</v>
      </c>
      <c r="C569" t="s">
        <v>44</v>
      </c>
      <c r="D569" t="s">
        <v>655</v>
      </c>
      <c r="E569" t="s">
        <v>30</v>
      </c>
      <c r="F569" t="s">
        <v>177</v>
      </c>
      <c r="G569" t="s">
        <v>32</v>
      </c>
      <c r="H569" t="s">
        <v>173</v>
      </c>
      <c r="I569" s="1" t="s">
        <v>1170</v>
      </c>
      <c r="J569" s="1" t="s">
        <v>17</v>
      </c>
    </row>
    <row r="570" spans="1:10" ht="45" x14ac:dyDescent="0.25">
      <c r="A570" t="s">
        <v>26</v>
      </c>
      <c r="B570" t="s">
        <v>1132</v>
      </c>
      <c r="C570" t="s">
        <v>69</v>
      </c>
      <c r="D570" t="s">
        <v>297</v>
      </c>
      <c r="E570" t="s">
        <v>30</v>
      </c>
      <c r="F570" t="s">
        <v>154</v>
      </c>
      <c r="G570" t="s">
        <v>32</v>
      </c>
      <c r="H570" t="s">
        <v>173</v>
      </c>
      <c r="I570" s="1" t="s">
        <v>1171</v>
      </c>
      <c r="J570" s="1" t="s">
        <v>17</v>
      </c>
    </row>
    <row r="571" spans="1:10" ht="30" x14ac:dyDescent="0.25">
      <c r="A571" t="s">
        <v>26</v>
      </c>
      <c r="B571" t="s">
        <v>1132</v>
      </c>
      <c r="C571" t="s">
        <v>235</v>
      </c>
      <c r="D571" t="s">
        <v>270</v>
      </c>
      <c r="E571" t="s">
        <v>30</v>
      </c>
      <c r="F571" t="s">
        <v>543</v>
      </c>
      <c r="G571" t="s">
        <v>32</v>
      </c>
      <c r="H571" t="s">
        <v>173</v>
      </c>
      <c r="I571" s="1" t="s">
        <v>1172</v>
      </c>
      <c r="J571" s="1" t="s">
        <v>21</v>
      </c>
    </row>
    <row r="572" spans="1:10" ht="60" x14ac:dyDescent="0.25">
      <c r="A572" t="s">
        <v>26</v>
      </c>
      <c r="B572" t="s">
        <v>1132</v>
      </c>
      <c r="C572" t="s">
        <v>85</v>
      </c>
      <c r="D572" t="s">
        <v>1168</v>
      </c>
      <c r="E572" t="s">
        <v>30</v>
      </c>
      <c r="F572" t="s">
        <v>52</v>
      </c>
      <c r="G572" t="s">
        <v>32</v>
      </c>
      <c r="H572" t="s">
        <v>33</v>
      </c>
      <c r="I572" s="1" t="s">
        <v>1173</v>
      </c>
      <c r="J572" s="1" t="s">
        <v>104</v>
      </c>
    </row>
    <row r="573" spans="1:10" ht="75" x14ac:dyDescent="0.25">
      <c r="A573" t="s">
        <v>26</v>
      </c>
      <c r="B573" t="s">
        <v>1132</v>
      </c>
      <c r="C573" t="s">
        <v>44</v>
      </c>
      <c r="D573" t="s">
        <v>655</v>
      </c>
      <c r="E573" t="s">
        <v>30</v>
      </c>
      <c r="F573" t="s">
        <v>52</v>
      </c>
      <c r="G573" t="s">
        <v>32</v>
      </c>
      <c r="H573" t="s">
        <v>87</v>
      </c>
      <c r="I573" s="1" t="s">
        <v>1174</v>
      </c>
      <c r="J573" s="1" t="s">
        <v>17</v>
      </c>
    </row>
    <row r="574" spans="1:10" ht="105" x14ac:dyDescent="0.25">
      <c r="A574" t="s">
        <v>26</v>
      </c>
      <c r="B574" t="s">
        <v>1132</v>
      </c>
      <c r="C574" t="s">
        <v>85</v>
      </c>
      <c r="D574" t="s">
        <v>1175</v>
      </c>
      <c r="E574" t="s">
        <v>30</v>
      </c>
      <c r="F574" t="s">
        <v>389</v>
      </c>
      <c r="G574" t="s">
        <v>69</v>
      </c>
      <c r="H574" t="s">
        <v>87</v>
      </c>
      <c r="I574" s="1" t="s">
        <v>1176</v>
      </c>
      <c r="J574" s="1" t="s">
        <v>436</v>
      </c>
    </row>
    <row r="575" spans="1:10" ht="90" x14ac:dyDescent="0.25">
      <c r="A575" t="s">
        <v>26</v>
      </c>
      <c r="B575" t="s">
        <v>1132</v>
      </c>
      <c r="C575" t="s">
        <v>235</v>
      </c>
      <c r="D575" t="s">
        <v>537</v>
      </c>
      <c r="E575" t="s">
        <v>30</v>
      </c>
      <c r="F575" t="s">
        <v>61</v>
      </c>
      <c r="G575" t="s">
        <v>32</v>
      </c>
      <c r="H575" t="s">
        <v>87</v>
      </c>
      <c r="I575" s="1" t="s">
        <v>1177</v>
      </c>
      <c r="J575" s="1" t="s">
        <v>481</v>
      </c>
    </row>
    <row r="576" spans="1:10" ht="105" x14ac:dyDescent="0.25">
      <c r="A576" t="s">
        <v>26</v>
      </c>
      <c r="B576" t="s">
        <v>1132</v>
      </c>
      <c r="C576" t="s">
        <v>85</v>
      </c>
      <c r="D576" t="s">
        <v>1178</v>
      </c>
      <c r="E576" t="s">
        <v>30</v>
      </c>
      <c r="F576" t="s">
        <v>182</v>
      </c>
      <c r="G576" t="s">
        <v>81</v>
      </c>
      <c r="H576" t="s">
        <v>87</v>
      </c>
      <c r="I576" s="1" t="s">
        <v>1179</v>
      </c>
      <c r="J576" s="1" t="s">
        <v>426</v>
      </c>
    </row>
    <row r="577" spans="1:10" ht="45" x14ac:dyDescent="0.25">
      <c r="A577" t="s">
        <v>26</v>
      </c>
      <c r="B577" t="s">
        <v>1132</v>
      </c>
      <c r="C577" t="s">
        <v>44</v>
      </c>
      <c r="D577" t="s">
        <v>655</v>
      </c>
      <c r="E577" t="s">
        <v>30</v>
      </c>
      <c r="F577" t="s">
        <v>94</v>
      </c>
      <c r="G577" t="s">
        <v>69</v>
      </c>
      <c r="H577" t="s">
        <v>87</v>
      </c>
      <c r="I577" s="1" t="s">
        <v>1180</v>
      </c>
      <c r="J577" s="1" t="s">
        <v>481</v>
      </c>
    </row>
    <row r="578" spans="1:10" ht="90" x14ac:dyDescent="0.25">
      <c r="A578" t="s">
        <v>26</v>
      </c>
      <c r="B578" t="s">
        <v>1132</v>
      </c>
      <c r="C578" t="s">
        <v>55</v>
      </c>
      <c r="D578" t="s">
        <v>392</v>
      </c>
      <c r="E578" t="s">
        <v>30</v>
      </c>
      <c r="F578" t="s">
        <v>1181</v>
      </c>
      <c r="G578" t="s">
        <v>32</v>
      </c>
      <c r="H578" t="s">
        <v>173</v>
      </c>
      <c r="I578" s="1" t="s">
        <v>1182</v>
      </c>
      <c r="J578" s="1" t="s">
        <v>481</v>
      </c>
    </row>
    <row r="579" spans="1:10" ht="75" x14ac:dyDescent="0.25">
      <c r="A579" t="s">
        <v>26</v>
      </c>
      <c r="B579" t="s">
        <v>1132</v>
      </c>
      <c r="C579" t="s">
        <v>50</v>
      </c>
      <c r="D579" t="s">
        <v>1183</v>
      </c>
      <c r="E579" t="s">
        <v>30</v>
      </c>
      <c r="F579" t="s">
        <v>119</v>
      </c>
      <c r="G579" t="s">
        <v>81</v>
      </c>
      <c r="H579" t="s">
        <v>87</v>
      </c>
      <c r="I579" s="1" t="s">
        <v>1184</v>
      </c>
      <c r="J579" s="1" t="s">
        <v>17</v>
      </c>
    </row>
    <row r="580" spans="1:10" ht="45" x14ac:dyDescent="0.25">
      <c r="A580" t="s">
        <v>49</v>
      </c>
      <c r="B580" t="s">
        <v>1132</v>
      </c>
      <c r="C580" t="s">
        <v>249</v>
      </c>
      <c r="D580" t="s">
        <v>1185</v>
      </c>
      <c r="E580" t="s">
        <v>30</v>
      </c>
      <c r="F580" t="s">
        <v>98</v>
      </c>
      <c r="G580" t="s">
        <v>32</v>
      </c>
      <c r="H580" t="s">
        <v>87</v>
      </c>
      <c r="I580" s="1" t="s">
        <v>1186</v>
      </c>
      <c r="J580" s="1" t="s">
        <v>71</v>
      </c>
    </row>
    <row r="581" spans="1:10" ht="45" x14ac:dyDescent="0.25">
      <c r="A581" t="s">
        <v>49</v>
      </c>
      <c r="B581" t="s">
        <v>1132</v>
      </c>
      <c r="C581" t="s">
        <v>240</v>
      </c>
      <c r="D581" t="s">
        <v>504</v>
      </c>
      <c r="E581" t="s">
        <v>30</v>
      </c>
      <c r="F581" t="s">
        <v>154</v>
      </c>
      <c r="G581" t="s">
        <v>32</v>
      </c>
      <c r="H581" t="s">
        <v>33</v>
      </c>
      <c r="I581" s="1" t="s">
        <v>1187</v>
      </c>
      <c r="J581" s="1" t="s">
        <v>481</v>
      </c>
    </row>
    <row r="582" spans="1:10" ht="45" x14ac:dyDescent="0.25">
      <c r="A582" t="s">
        <v>49</v>
      </c>
      <c r="B582" t="s">
        <v>1132</v>
      </c>
      <c r="C582" t="s">
        <v>263</v>
      </c>
      <c r="D582" t="s">
        <v>1128</v>
      </c>
      <c r="E582" t="s">
        <v>30</v>
      </c>
      <c r="F582" t="s">
        <v>166</v>
      </c>
      <c r="G582" t="s">
        <v>32</v>
      </c>
      <c r="H582" t="s">
        <v>33</v>
      </c>
      <c r="I582" s="1" t="s">
        <v>1188</v>
      </c>
      <c r="J582" s="1" t="s">
        <v>426</v>
      </c>
    </row>
    <row r="583" spans="1:10" ht="30" x14ac:dyDescent="0.25">
      <c r="A583" t="s">
        <v>26</v>
      </c>
      <c r="B583" t="s">
        <v>1132</v>
      </c>
      <c r="C583" t="s">
        <v>69</v>
      </c>
      <c r="D583" t="s">
        <v>443</v>
      </c>
      <c r="E583" t="s">
        <v>30</v>
      </c>
      <c r="F583" t="s">
        <v>40</v>
      </c>
      <c r="G583" t="s">
        <v>32</v>
      </c>
      <c r="H583" t="s">
        <v>33</v>
      </c>
      <c r="I583" s="1" t="s">
        <v>1189</v>
      </c>
      <c r="J583" s="1" t="s">
        <v>426</v>
      </c>
    </row>
    <row r="584" spans="1:10" ht="105" x14ac:dyDescent="0.25">
      <c r="A584" t="s">
        <v>49</v>
      </c>
      <c r="B584" t="s">
        <v>1132</v>
      </c>
      <c r="C584" t="s">
        <v>106</v>
      </c>
      <c r="D584" t="s">
        <v>484</v>
      </c>
      <c r="E584" t="s">
        <v>30</v>
      </c>
      <c r="F584" t="s">
        <v>102</v>
      </c>
      <c r="G584" t="s">
        <v>32</v>
      </c>
      <c r="H584" t="s">
        <v>33</v>
      </c>
      <c r="I584" s="1" t="s">
        <v>1190</v>
      </c>
      <c r="J584" s="1" t="s">
        <v>426</v>
      </c>
    </row>
    <row r="585" spans="1:10" ht="45" x14ac:dyDescent="0.25">
      <c r="A585" t="s">
        <v>49</v>
      </c>
      <c r="B585" t="s">
        <v>1132</v>
      </c>
      <c r="C585" t="s">
        <v>28</v>
      </c>
      <c r="D585" t="s">
        <v>526</v>
      </c>
      <c r="E585" t="s">
        <v>30</v>
      </c>
      <c r="F585" t="s">
        <v>40</v>
      </c>
      <c r="G585" t="s">
        <v>32</v>
      </c>
      <c r="H585" t="s">
        <v>173</v>
      </c>
      <c r="I585" s="1" t="s">
        <v>1191</v>
      </c>
      <c r="J585" s="1" t="s">
        <v>481</v>
      </c>
    </row>
    <row r="586" spans="1:10" ht="45" x14ac:dyDescent="0.25">
      <c r="A586" t="s">
        <v>91</v>
      </c>
      <c r="B586" t="s">
        <v>1132</v>
      </c>
      <c r="C586" t="s">
        <v>92</v>
      </c>
      <c r="D586" t="s">
        <v>1192</v>
      </c>
      <c r="E586" t="s">
        <v>79</v>
      </c>
      <c r="F586" t="s">
        <v>136</v>
      </c>
      <c r="G586" t="s">
        <v>32</v>
      </c>
      <c r="H586" t="s">
        <v>33</v>
      </c>
      <c r="I586" s="1" t="s">
        <v>1193</v>
      </c>
      <c r="J586" s="1" t="s">
        <v>426</v>
      </c>
    </row>
    <row r="587" spans="1:10" ht="105" x14ac:dyDescent="0.25">
      <c r="A587" t="s">
        <v>26</v>
      </c>
      <c r="B587" t="s">
        <v>1132</v>
      </c>
      <c r="C587" t="s">
        <v>44</v>
      </c>
      <c r="D587" t="s">
        <v>821</v>
      </c>
      <c r="E587" t="s">
        <v>30</v>
      </c>
      <c r="F587" t="s">
        <v>119</v>
      </c>
      <c r="G587" t="s">
        <v>81</v>
      </c>
      <c r="H587" t="s">
        <v>173</v>
      </c>
      <c r="I587" s="1" t="s">
        <v>1194</v>
      </c>
      <c r="J587" s="1" t="s">
        <v>17</v>
      </c>
    </row>
    <row r="588" spans="1:10" ht="75" x14ac:dyDescent="0.25">
      <c r="A588" t="s">
        <v>49</v>
      </c>
      <c r="B588" t="s">
        <v>1132</v>
      </c>
      <c r="C588" t="s">
        <v>50</v>
      </c>
      <c r="D588" t="s">
        <v>563</v>
      </c>
      <c r="E588" t="s">
        <v>30</v>
      </c>
      <c r="F588" t="s">
        <v>189</v>
      </c>
      <c r="G588" t="s">
        <v>81</v>
      </c>
      <c r="H588" t="s">
        <v>87</v>
      </c>
      <c r="I588" s="1" t="s">
        <v>1195</v>
      </c>
      <c r="J588" s="1" t="s">
        <v>104</v>
      </c>
    </row>
    <row r="589" spans="1:10" ht="45" x14ac:dyDescent="0.25">
      <c r="A589" t="s">
        <v>91</v>
      </c>
      <c r="B589" t="s">
        <v>1132</v>
      </c>
      <c r="C589" t="s">
        <v>263</v>
      </c>
      <c r="D589" t="s">
        <v>457</v>
      </c>
      <c r="E589" t="s">
        <v>30</v>
      </c>
      <c r="F589" t="s">
        <v>61</v>
      </c>
      <c r="G589" t="s">
        <v>32</v>
      </c>
      <c r="H589" t="s">
        <v>87</v>
      </c>
      <c r="I589" s="1" t="s">
        <v>1196</v>
      </c>
      <c r="J589" s="1" t="s">
        <v>104</v>
      </c>
    </row>
    <row r="590" spans="1:10" ht="30" x14ac:dyDescent="0.25">
      <c r="A590" t="s">
        <v>37</v>
      </c>
      <c r="B590" t="s">
        <v>1132</v>
      </c>
      <c r="C590" t="s">
        <v>96</v>
      </c>
      <c r="D590" t="s">
        <v>769</v>
      </c>
      <c r="E590" t="s">
        <v>30</v>
      </c>
      <c r="F590" t="s">
        <v>294</v>
      </c>
      <c r="G590" t="s">
        <v>32</v>
      </c>
      <c r="H590" t="s">
        <v>173</v>
      </c>
      <c r="I590" s="1" t="s">
        <v>1197</v>
      </c>
      <c r="J590" s="1" t="s">
        <v>17</v>
      </c>
    </row>
    <row r="591" spans="1:10" ht="105" x14ac:dyDescent="0.25">
      <c r="A591" t="s">
        <v>26</v>
      </c>
      <c r="B591" t="s">
        <v>1132</v>
      </c>
      <c r="C591" t="s">
        <v>55</v>
      </c>
      <c r="D591" t="s">
        <v>1053</v>
      </c>
      <c r="E591" t="s">
        <v>30</v>
      </c>
      <c r="F591" t="s">
        <v>216</v>
      </c>
      <c r="G591" t="s">
        <v>263</v>
      </c>
      <c r="H591" t="s">
        <v>87</v>
      </c>
      <c r="I591" s="1" t="s">
        <v>1198</v>
      </c>
      <c r="J591" s="1" t="s">
        <v>71</v>
      </c>
    </row>
    <row r="592" spans="1:10" ht="30" x14ac:dyDescent="0.25">
      <c r="A592" t="s">
        <v>49</v>
      </c>
      <c r="B592" t="s">
        <v>1132</v>
      </c>
      <c r="C592" t="s">
        <v>85</v>
      </c>
      <c r="D592" t="s">
        <v>405</v>
      </c>
      <c r="E592" t="s">
        <v>30</v>
      </c>
      <c r="F592" t="s">
        <v>602</v>
      </c>
      <c r="G592" t="s">
        <v>69</v>
      </c>
      <c r="H592" t="s">
        <v>87</v>
      </c>
      <c r="I592" s="1" t="s">
        <v>1199</v>
      </c>
      <c r="J592" s="1" t="s">
        <v>17</v>
      </c>
    </row>
    <row r="593" spans="1:10" ht="105" x14ac:dyDescent="0.25">
      <c r="A593" t="s">
        <v>91</v>
      </c>
      <c r="B593" t="s">
        <v>1132</v>
      </c>
      <c r="C593" t="s">
        <v>96</v>
      </c>
      <c r="D593" t="s">
        <v>97</v>
      </c>
      <c r="E593" t="s">
        <v>30</v>
      </c>
      <c r="F593" t="s">
        <v>98</v>
      </c>
      <c r="G593" t="s">
        <v>69</v>
      </c>
      <c r="H593" t="s">
        <v>173</v>
      </c>
      <c r="I593" s="1" t="s">
        <v>1200</v>
      </c>
      <c r="J593" s="1" t="s">
        <v>436</v>
      </c>
    </row>
    <row r="594" spans="1:10" ht="30" x14ac:dyDescent="0.25">
      <c r="A594" t="s">
        <v>37</v>
      </c>
      <c r="B594" t="s">
        <v>1132</v>
      </c>
      <c r="C594" t="s">
        <v>69</v>
      </c>
      <c r="D594" t="s">
        <v>283</v>
      </c>
      <c r="E594" t="s">
        <v>30</v>
      </c>
      <c r="F594" t="s">
        <v>177</v>
      </c>
      <c r="G594" t="s">
        <v>32</v>
      </c>
      <c r="H594" t="s">
        <v>33</v>
      </c>
      <c r="I594" s="1" t="s">
        <v>1201</v>
      </c>
      <c r="J594" s="1" t="s">
        <v>426</v>
      </c>
    </row>
    <row r="595" spans="1:10" ht="60" x14ac:dyDescent="0.25">
      <c r="A595" t="s">
        <v>49</v>
      </c>
      <c r="B595" t="s">
        <v>1132</v>
      </c>
      <c r="C595" t="s">
        <v>96</v>
      </c>
      <c r="D595" t="s">
        <v>769</v>
      </c>
      <c r="E595" t="s">
        <v>30</v>
      </c>
      <c r="F595" t="s">
        <v>658</v>
      </c>
      <c r="G595" t="s">
        <v>69</v>
      </c>
      <c r="H595" t="s">
        <v>87</v>
      </c>
      <c r="I595" s="1" t="s">
        <v>1202</v>
      </c>
      <c r="J595" s="1" t="s">
        <v>436</v>
      </c>
    </row>
    <row r="596" spans="1:10" ht="105" x14ac:dyDescent="0.25">
      <c r="A596" t="s">
        <v>91</v>
      </c>
      <c r="B596" t="s">
        <v>1132</v>
      </c>
      <c r="C596" t="s">
        <v>263</v>
      </c>
      <c r="D596" t="s">
        <v>1135</v>
      </c>
      <c r="E596" t="s">
        <v>30</v>
      </c>
      <c r="F596" t="s">
        <v>166</v>
      </c>
      <c r="G596" t="s">
        <v>32</v>
      </c>
      <c r="H596" t="s">
        <v>33</v>
      </c>
      <c r="I596" s="1" t="s">
        <v>1203</v>
      </c>
      <c r="J596" s="1" t="s">
        <v>426</v>
      </c>
    </row>
    <row r="597" spans="1:10" ht="30" x14ac:dyDescent="0.25">
      <c r="A597" t="s">
        <v>91</v>
      </c>
      <c r="B597" t="s">
        <v>1132</v>
      </c>
      <c r="C597" t="s">
        <v>32</v>
      </c>
      <c r="D597" t="s">
        <v>1204</v>
      </c>
      <c r="E597" t="s">
        <v>79</v>
      </c>
      <c r="F597" t="s">
        <v>216</v>
      </c>
      <c r="G597" t="s">
        <v>32</v>
      </c>
      <c r="H597" t="s">
        <v>33</v>
      </c>
      <c r="I597" s="1" t="s">
        <v>1205</v>
      </c>
      <c r="J597" s="1" t="s">
        <v>481</v>
      </c>
    </row>
    <row r="598" spans="1:10" ht="60" x14ac:dyDescent="0.25">
      <c r="A598" t="s">
        <v>37</v>
      </c>
      <c r="B598" t="s">
        <v>1132</v>
      </c>
      <c r="C598" t="s">
        <v>85</v>
      </c>
      <c r="D598" t="s">
        <v>1206</v>
      </c>
      <c r="E598" t="s">
        <v>30</v>
      </c>
      <c r="F598" t="s">
        <v>587</v>
      </c>
      <c r="G598" t="s">
        <v>32</v>
      </c>
      <c r="H598" t="s">
        <v>33</v>
      </c>
      <c r="I598" s="1" t="s">
        <v>1207</v>
      </c>
      <c r="J598" s="1" t="s">
        <v>426</v>
      </c>
    </row>
    <row r="599" spans="1:10" ht="120" x14ac:dyDescent="0.25">
      <c r="A599" t="s">
        <v>49</v>
      </c>
      <c r="B599" t="s">
        <v>1132</v>
      </c>
      <c r="C599" t="s">
        <v>472</v>
      </c>
      <c r="D599" t="s">
        <v>839</v>
      </c>
      <c r="E599" t="s">
        <v>30</v>
      </c>
      <c r="F599" t="s">
        <v>112</v>
      </c>
      <c r="G599" t="s">
        <v>69</v>
      </c>
      <c r="H599" t="s">
        <v>87</v>
      </c>
      <c r="I599" s="1" t="s">
        <v>1208</v>
      </c>
      <c r="J599" s="1" t="s">
        <v>481</v>
      </c>
    </row>
    <row r="600" spans="1:10" ht="60" x14ac:dyDescent="0.25">
      <c r="A600" t="s">
        <v>91</v>
      </c>
      <c r="B600" t="s">
        <v>1132</v>
      </c>
      <c r="C600" t="s">
        <v>96</v>
      </c>
      <c r="D600" t="s">
        <v>769</v>
      </c>
      <c r="E600" t="s">
        <v>30</v>
      </c>
      <c r="F600" t="s">
        <v>80</v>
      </c>
      <c r="G600" t="s">
        <v>69</v>
      </c>
      <c r="H600" t="s">
        <v>87</v>
      </c>
      <c r="I600" s="1" t="s">
        <v>1209</v>
      </c>
      <c r="J600" s="1" t="s">
        <v>481</v>
      </c>
    </row>
    <row r="601" spans="1:10" ht="105" x14ac:dyDescent="0.25">
      <c r="A601" t="s">
        <v>37</v>
      </c>
      <c r="B601" t="s">
        <v>1132</v>
      </c>
      <c r="C601" t="s">
        <v>249</v>
      </c>
      <c r="D601" t="s">
        <v>657</v>
      </c>
      <c r="E601" t="s">
        <v>30</v>
      </c>
      <c r="F601" t="s">
        <v>154</v>
      </c>
      <c r="G601" t="s">
        <v>32</v>
      </c>
      <c r="H601" t="s">
        <v>33</v>
      </c>
      <c r="I601" s="1" t="s">
        <v>1210</v>
      </c>
      <c r="J601" s="1" t="s">
        <v>426</v>
      </c>
    </row>
    <row r="602" spans="1:10" ht="30" x14ac:dyDescent="0.25">
      <c r="A602" t="s">
        <v>37</v>
      </c>
      <c r="B602" t="s">
        <v>1132</v>
      </c>
      <c r="C602" t="s">
        <v>55</v>
      </c>
      <c r="D602" t="s">
        <v>579</v>
      </c>
      <c r="E602" t="s">
        <v>30</v>
      </c>
      <c r="F602" t="s">
        <v>112</v>
      </c>
      <c r="G602" t="s">
        <v>81</v>
      </c>
      <c r="H602" t="s">
        <v>173</v>
      </c>
      <c r="I602" s="1" t="s">
        <v>1211</v>
      </c>
      <c r="J602" s="1" t="s">
        <v>17</v>
      </c>
    </row>
    <row r="603" spans="1:10" ht="105" x14ac:dyDescent="0.25">
      <c r="A603" t="s">
        <v>37</v>
      </c>
      <c r="B603" t="s">
        <v>1132</v>
      </c>
      <c r="C603" t="s">
        <v>92</v>
      </c>
      <c r="D603" t="s">
        <v>1192</v>
      </c>
      <c r="E603" t="s">
        <v>30</v>
      </c>
      <c r="F603" t="s">
        <v>177</v>
      </c>
      <c r="G603" t="s">
        <v>69</v>
      </c>
      <c r="H603" t="s">
        <v>87</v>
      </c>
      <c r="I603" s="1" t="s">
        <v>1212</v>
      </c>
      <c r="J603" s="1" t="s">
        <v>17</v>
      </c>
    </row>
    <row r="604" spans="1:10" ht="30" x14ac:dyDescent="0.25">
      <c r="A604" t="s">
        <v>91</v>
      </c>
      <c r="B604" t="s">
        <v>1132</v>
      </c>
      <c r="C604" t="s">
        <v>472</v>
      </c>
      <c r="D604" t="s">
        <v>473</v>
      </c>
      <c r="E604" t="s">
        <v>79</v>
      </c>
      <c r="F604" t="s">
        <v>102</v>
      </c>
      <c r="G604" t="s">
        <v>32</v>
      </c>
      <c r="H604" t="s">
        <v>173</v>
      </c>
      <c r="I604" s="1" t="s">
        <v>1213</v>
      </c>
      <c r="J604" s="1" t="s">
        <v>426</v>
      </c>
    </row>
    <row r="605" spans="1:10" ht="60" x14ac:dyDescent="0.25">
      <c r="A605" t="s">
        <v>37</v>
      </c>
      <c r="B605" t="s">
        <v>1132</v>
      </c>
      <c r="C605" t="s">
        <v>73</v>
      </c>
      <c r="D605" t="s">
        <v>1147</v>
      </c>
      <c r="E605" t="s">
        <v>30</v>
      </c>
      <c r="F605" t="s">
        <v>94</v>
      </c>
      <c r="G605" t="s">
        <v>32</v>
      </c>
      <c r="H605" t="s">
        <v>33</v>
      </c>
      <c r="I605" s="1" t="s">
        <v>1214</v>
      </c>
      <c r="J605" s="1" t="s">
        <v>426</v>
      </c>
    </row>
    <row r="606" spans="1:10" ht="75" x14ac:dyDescent="0.25">
      <c r="A606" t="s">
        <v>64</v>
      </c>
      <c r="B606" t="s">
        <v>1132</v>
      </c>
      <c r="C606" t="s">
        <v>106</v>
      </c>
      <c r="D606" t="s">
        <v>539</v>
      </c>
      <c r="E606" t="s">
        <v>30</v>
      </c>
      <c r="F606" t="s">
        <v>446</v>
      </c>
      <c r="G606" t="s">
        <v>32</v>
      </c>
      <c r="H606" t="s">
        <v>33</v>
      </c>
      <c r="I606" s="1" t="s">
        <v>1215</v>
      </c>
      <c r="J606" s="1" t="s">
        <v>426</v>
      </c>
    </row>
    <row r="607" spans="1:10" ht="105" x14ac:dyDescent="0.25">
      <c r="A607" t="s">
        <v>37</v>
      </c>
      <c r="B607" t="s">
        <v>1132</v>
      </c>
      <c r="C607" t="s">
        <v>96</v>
      </c>
      <c r="D607" t="s">
        <v>1216</v>
      </c>
      <c r="E607" t="s">
        <v>30</v>
      </c>
      <c r="F607" t="s">
        <v>633</v>
      </c>
      <c r="G607" t="s">
        <v>81</v>
      </c>
      <c r="H607" t="s">
        <v>87</v>
      </c>
      <c r="I607" s="1" t="s">
        <v>1217</v>
      </c>
      <c r="J607" s="1" t="s">
        <v>71</v>
      </c>
    </row>
    <row r="608" spans="1:10" ht="30" x14ac:dyDescent="0.25">
      <c r="A608" t="s">
        <v>59</v>
      </c>
      <c r="B608" t="s">
        <v>1132</v>
      </c>
      <c r="C608" t="s">
        <v>69</v>
      </c>
      <c r="D608" t="s">
        <v>664</v>
      </c>
      <c r="E608" t="s">
        <v>30</v>
      </c>
      <c r="F608" t="s">
        <v>166</v>
      </c>
      <c r="G608" t="s">
        <v>32</v>
      </c>
      <c r="H608" t="s">
        <v>33</v>
      </c>
      <c r="I608" s="1" t="s">
        <v>1218</v>
      </c>
      <c r="J608" s="1" t="s">
        <v>426</v>
      </c>
    </row>
    <row r="609" spans="1:10" ht="105" x14ac:dyDescent="0.25">
      <c r="A609" t="s">
        <v>37</v>
      </c>
      <c r="B609" t="s">
        <v>1132</v>
      </c>
      <c r="C609" t="s">
        <v>50</v>
      </c>
      <c r="D609" t="s">
        <v>870</v>
      </c>
      <c r="E609" t="s">
        <v>30</v>
      </c>
      <c r="F609" t="s">
        <v>287</v>
      </c>
      <c r="G609" t="s">
        <v>38</v>
      </c>
      <c r="H609" t="s">
        <v>87</v>
      </c>
      <c r="I609" s="1" t="s">
        <v>1219</v>
      </c>
      <c r="J609" s="1" t="s">
        <v>481</v>
      </c>
    </row>
    <row r="610" spans="1:10" ht="30" x14ac:dyDescent="0.25">
      <c r="A610" t="s">
        <v>64</v>
      </c>
      <c r="B610" t="s">
        <v>1132</v>
      </c>
      <c r="C610" t="s">
        <v>50</v>
      </c>
      <c r="D610" t="s">
        <v>569</v>
      </c>
      <c r="E610" t="s">
        <v>30</v>
      </c>
      <c r="F610" t="s">
        <v>260</v>
      </c>
      <c r="G610" t="s">
        <v>32</v>
      </c>
      <c r="H610" t="s">
        <v>33</v>
      </c>
      <c r="I610" s="1" t="s">
        <v>1220</v>
      </c>
      <c r="J610" s="1" t="s">
        <v>426</v>
      </c>
    </row>
    <row r="611" spans="1:10" ht="75" x14ac:dyDescent="0.25">
      <c r="A611" t="s">
        <v>37</v>
      </c>
      <c r="B611" t="s">
        <v>1132</v>
      </c>
      <c r="C611" t="s">
        <v>38</v>
      </c>
      <c r="D611" t="s">
        <v>39</v>
      </c>
      <c r="E611" t="s">
        <v>30</v>
      </c>
      <c r="F611" t="s">
        <v>290</v>
      </c>
      <c r="G611" t="s">
        <v>69</v>
      </c>
      <c r="H611" t="s">
        <v>87</v>
      </c>
      <c r="I611" s="1" t="s">
        <v>1221</v>
      </c>
      <c r="J611" s="1" t="s">
        <v>481</v>
      </c>
    </row>
    <row r="612" spans="1:10" ht="60" x14ac:dyDescent="0.25">
      <c r="A612" t="s">
        <v>37</v>
      </c>
      <c r="B612" t="s">
        <v>1132</v>
      </c>
      <c r="C612" t="s">
        <v>249</v>
      </c>
      <c r="D612" t="s">
        <v>657</v>
      </c>
      <c r="E612" t="s">
        <v>30</v>
      </c>
      <c r="F612" t="s">
        <v>166</v>
      </c>
      <c r="G612" t="s">
        <v>69</v>
      </c>
      <c r="H612" t="s">
        <v>173</v>
      </c>
      <c r="I612" s="1" t="s">
        <v>1222</v>
      </c>
      <c r="J612" s="1" t="s">
        <v>71</v>
      </c>
    </row>
    <row r="613" spans="1:10" ht="60" x14ac:dyDescent="0.25">
      <c r="A613" t="s">
        <v>37</v>
      </c>
      <c r="B613" t="s">
        <v>1132</v>
      </c>
      <c r="C613" t="s">
        <v>28</v>
      </c>
      <c r="D613" t="s">
        <v>1223</v>
      </c>
      <c r="E613" t="s">
        <v>79</v>
      </c>
      <c r="F613" t="s">
        <v>223</v>
      </c>
      <c r="G613" t="s">
        <v>32</v>
      </c>
      <c r="H613" t="s">
        <v>173</v>
      </c>
      <c r="I613" s="1" t="s">
        <v>1224</v>
      </c>
      <c r="J613" s="1" t="s">
        <v>436</v>
      </c>
    </row>
    <row r="614" spans="1:10" ht="105" x14ac:dyDescent="0.25">
      <c r="A614" t="s">
        <v>64</v>
      </c>
      <c r="B614" t="s">
        <v>1132</v>
      </c>
      <c r="C614" t="s">
        <v>32</v>
      </c>
      <c r="D614" t="s">
        <v>245</v>
      </c>
      <c r="E614" t="s">
        <v>30</v>
      </c>
      <c r="F614" t="s">
        <v>182</v>
      </c>
      <c r="G614" t="s">
        <v>69</v>
      </c>
      <c r="H614" t="s">
        <v>87</v>
      </c>
      <c r="I614" s="1" t="s">
        <v>1225</v>
      </c>
      <c r="J614" s="1" t="s">
        <v>436</v>
      </c>
    </row>
    <row r="615" spans="1:10" ht="75" x14ac:dyDescent="0.25">
      <c r="A615" t="s">
        <v>37</v>
      </c>
      <c r="B615" t="s">
        <v>1132</v>
      </c>
      <c r="C615" t="s">
        <v>50</v>
      </c>
      <c r="D615" t="s">
        <v>1226</v>
      </c>
      <c r="E615" t="s">
        <v>30</v>
      </c>
      <c r="F615" t="s">
        <v>61</v>
      </c>
      <c r="G615" t="s">
        <v>32</v>
      </c>
      <c r="H615" t="s">
        <v>33</v>
      </c>
      <c r="I615" s="1" t="s">
        <v>1227</v>
      </c>
      <c r="J615" s="1" t="s">
        <v>426</v>
      </c>
    </row>
    <row r="616" spans="1:10" ht="60" x14ac:dyDescent="0.25">
      <c r="A616" t="s">
        <v>64</v>
      </c>
      <c r="B616" t="s">
        <v>1132</v>
      </c>
      <c r="C616" t="s">
        <v>249</v>
      </c>
      <c r="D616" t="s">
        <v>734</v>
      </c>
      <c r="E616" t="s">
        <v>30</v>
      </c>
      <c r="F616" t="s">
        <v>154</v>
      </c>
      <c r="G616" t="s">
        <v>32</v>
      </c>
      <c r="H616" t="s">
        <v>33</v>
      </c>
      <c r="I616" s="1" t="s">
        <v>1228</v>
      </c>
      <c r="J616" s="1" t="s">
        <v>426</v>
      </c>
    </row>
    <row r="617" spans="1:10" ht="165" x14ac:dyDescent="0.25">
      <c r="A617" t="s">
        <v>37</v>
      </c>
      <c r="B617" t="s">
        <v>1132</v>
      </c>
      <c r="C617" t="s">
        <v>55</v>
      </c>
      <c r="D617" t="s">
        <v>989</v>
      </c>
      <c r="E617" t="s">
        <v>30</v>
      </c>
      <c r="F617" t="s">
        <v>196</v>
      </c>
      <c r="G617" t="s">
        <v>263</v>
      </c>
      <c r="H617" t="s">
        <v>87</v>
      </c>
      <c r="I617" s="1" t="s">
        <v>1229</v>
      </c>
      <c r="J617" s="1" t="s">
        <v>104</v>
      </c>
    </row>
    <row r="618" spans="1:10" x14ac:dyDescent="0.25">
      <c r="A618" t="s">
        <v>64</v>
      </c>
      <c r="B618" t="s">
        <v>1132</v>
      </c>
      <c r="C618" t="s">
        <v>85</v>
      </c>
      <c r="D618" t="s">
        <v>1230</v>
      </c>
      <c r="E618" t="s">
        <v>30</v>
      </c>
      <c r="F618" t="s">
        <v>154</v>
      </c>
      <c r="G618" t="s">
        <v>32</v>
      </c>
      <c r="H618" t="s">
        <v>33</v>
      </c>
      <c r="I618" s="1" t="s">
        <v>1231</v>
      </c>
      <c r="J618" s="1" t="s">
        <v>71</v>
      </c>
    </row>
    <row r="619" spans="1:10" ht="45" x14ac:dyDescent="0.25">
      <c r="A619" t="s">
        <v>37</v>
      </c>
      <c r="B619" t="s">
        <v>1132</v>
      </c>
      <c r="C619" t="s">
        <v>28</v>
      </c>
      <c r="D619" t="s">
        <v>388</v>
      </c>
      <c r="E619" t="s">
        <v>30</v>
      </c>
      <c r="F619" t="s">
        <v>119</v>
      </c>
      <c r="G619" t="s">
        <v>32</v>
      </c>
      <c r="H619" t="s">
        <v>87</v>
      </c>
      <c r="I619" s="1" t="s">
        <v>1232</v>
      </c>
      <c r="J619" s="1" t="s">
        <v>554</v>
      </c>
    </row>
    <row r="620" spans="1:10" ht="120" x14ac:dyDescent="0.25">
      <c r="A620" t="s">
        <v>64</v>
      </c>
      <c r="B620" t="s">
        <v>1132</v>
      </c>
      <c r="C620" t="s">
        <v>96</v>
      </c>
      <c r="D620" t="s">
        <v>201</v>
      </c>
      <c r="E620" t="s">
        <v>30</v>
      </c>
      <c r="F620" t="s">
        <v>189</v>
      </c>
      <c r="G620" t="s">
        <v>32</v>
      </c>
      <c r="H620" t="s">
        <v>33</v>
      </c>
      <c r="I620" s="1" t="s">
        <v>1233</v>
      </c>
      <c r="J620" s="1" t="s">
        <v>426</v>
      </c>
    </row>
    <row r="621" spans="1:10" ht="60" x14ac:dyDescent="0.25">
      <c r="A621" t="s">
        <v>37</v>
      </c>
      <c r="B621" t="s">
        <v>1132</v>
      </c>
      <c r="C621" t="s">
        <v>55</v>
      </c>
      <c r="D621" t="s">
        <v>579</v>
      </c>
      <c r="E621" t="s">
        <v>30</v>
      </c>
      <c r="F621" t="s">
        <v>161</v>
      </c>
      <c r="G621" t="s">
        <v>32</v>
      </c>
      <c r="H621" t="s">
        <v>33</v>
      </c>
      <c r="I621" s="1" t="s">
        <v>1234</v>
      </c>
      <c r="J621" s="1" t="s">
        <v>426</v>
      </c>
    </row>
    <row r="622" spans="1:10" ht="90" x14ac:dyDescent="0.25">
      <c r="A622" t="s">
        <v>64</v>
      </c>
      <c r="B622" t="s">
        <v>1132</v>
      </c>
      <c r="C622" t="s">
        <v>180</v>
      </c>
      <c r="D622" t="s">
        <v>1105</v>
      </c>
      <c r="E622" t="s">
        <v>30</v>
      </c>
      <c r="F622" t="s">
        <v>40</v>
      </c>
      <c r="G622" t="s">
        <v>69</v>
      </c>
      <c r="H622" t="s">
        <v>87</v>
      </c>
      <c r="I622" s="1" t="s">
        <v>1235</v>
      </c>
      <c r="J622" s="1" t="s">
        <v>481</v>
      </c>
    </row>
    <row r="623" spans="1:10" ht="60" x14ac:dyDescent="0.25">
      <c r="A623" t="s">
        <v>64</v>
      </c>
      <c r="B623" t="s">
        <v>1132</v>
      </c>
      <c r="C623" t="s">
        <v>44</v>
      </c>
      <c r="D623" t="s">
        <v>165</v>
      </c>
      <c r="E623" t="s">
        <v>30</v>
      </c>
      <c r="F623" t="s">
        <v>166</v>
      </c>
      <c r="G623" t="s">
        <v>81</v>
      </c>
      <c r="H623" t="s">
        <v>87</v>
      </c>
      <c r="I623" s="1" t="s">
        <v>1236</v>
      </c>
      <c r="J623" s="1" t="s">
        <v>17</v>
      </c>
    </row>
    <row r="624" spans="1:10" ht="30" x14ac:dyDescent="0.25">
      <c r="A624" t="s">
        <v>64</v>
      </c>
      <c r="B624" t="s">
        <v>1132</v>
      </c>
      <c r="C624" t="s">
        <v>85</v>
      </c>
      <c r="D624" t="s">
        <v>1237</v>
      </c>
      <c r="E624" t="s">
        <v>79</v>
      </c>
      <c r="F624" t="s">
        <v>280</v>
      </c>
      <c r="G624" t="s">
        <v>32</v>
      </c>
      <c r="H624" t="s">
        <v>33</v>
      </c>
      <c r="I624" s="1" t="s">
        <v>1238</v>
      </c>
      <c r="J624" s="1" t="s">
        <v>104</v>
      </c>
    </row>
    <row r="625" spans="1:10" ht="90" x14ac:dyDescent="0.25">
      <c r="A625" t="s">
        <v>37</v>
      </c>
      <c r="B625" t="s">
        <v>1239</v>
      </c>
      <c r="C625" t="s">
        <v>249</v>
      </c>
      <c r="D625" t="s">
        <v>306</v>
      </c>
      <c r="E625" t="s">
        <v>79</v>
      </c>
      <c r="F625" t="s">
        <v>182</v>
      </c>
      <c r="G625" t="s">
        <v>32</v>
      </c>
      <c r="H625" t="s">
        <v>173</v>
      </c>
      <c r="I625" s="1" t="s">
        <v>1240</v>
      </c>
      <c r="J625" s="1" t="s">
        <v>21</v>
      </c>
    </row>
    <row r="626" spans="1:10" ht="105" x14ac:dyDescent="0.25">
      <c r="A626" t="s">
        <v>26</v>
      </c>
      <c r="B626" t="s">
        <v>1239</v>
      </c>
      <c r="C626" t="s">
        <v>92</v>
      </c>
      <c r="D626" t="s">
        <v>1192</v>
      </c>
      <c r="E626" t="s">
        <v>30</v>
      </c>
      <c r="F626" t="s">
        <v>40</v>
      </c>
      <c r="G626" t="s">
        <v>32</v>
      </c>
      <c r="H626" t="s">
        <v>33</v>
      </c>
      <c r="I626" s="1" t="s">
        <v>1241</v>
      </c>
      <c r="J626" s="1" t="s">
        <v>426</v>
      </c>
    </row>
    <row r="627" spans="1:10" ht="45" x14ac:dyDescent="0.25">
      <c r="A627" t="s">
        <v>37</v>
      </c>
      <c r="B627" t="s">
        <v>1239</v>
      </c>
      <c r="C627" t="s">
        <v>92</v>
      </c>
      <c r="D627" t="s">
        <v>887</v>
      </c>
      <c r="E627" t="s">
        <v>30</v>
      </c>
      <c r="F627" t="s">
        <v>130</v>
      </c>
      <c r="G627" t="s">
        <v>81</v>
      </c>
      <c r="H627" t="s">
        <v>173</v>
      </c>
      <c r="I627" s="1" t="s">
        <v>1242</v>
      </c>
      <c r="J627" s="1" t="s">
        <v>17</v>
      </c>
    </row>
    <row r="628" spans="1:10" ht="90" x14ac:dyDescent="0.25">
      <c r="A628" t="s">
        <v>1243</v>
      </c>
      <c r="B628" t="s">
        <v>1244</v>
      </c>
      <c r="C628" t="s">
        <v>79</v>
      </c>
      <c r="D628" t="s">
        <v>196</v>
      </c>
      <c r="E628" t="s">
        <v>1245</v>
      </c>
      <c r="F628" t="s">
        <v>1246</v>
      </c>
      <c r="G628" t="s">
        <v>69</v>
      </c>
      <c r="H628" t="s">
        <v>87</v>
      </c>
      <c r="I628" s="1" t="s">
        <v>1247</v>
      </c>
    </row>
    <row r="629" spans="1:10" ht="105" x14ac:dyDescent="0.25">
      <c r="A629" t="s">
        <v>1243</v>
      </c>
      <c r="B629" t="s">
        <v>1248</v>
      </c>
      <c r="C629" t="s">
        <v>30</v>
      </c>
      <c r="D629" t="s">
        <v>1103</v>
      </c>
      <c r="E629" t="s">
        <v>1249</v>
      </c>
      <c r="F629" t="s">
        <v>1250</v>
      </c>
      <c r="G629" t="s">
        <v>32</v>
      </c>
      <c r="H629" t="s">
        <v>173</v>
      </c>
      <c r="I629" s="1" t="s">
        <v>1251</v>
      </c>
    </row>
    <row r="630" spans="1:10" ht="60" x14ac:dyDescent="0.25">
      <c r="A630" t="s">
        <v>26</v>
      </c>
      <c r="B630" t="s">
        <v>1252</v>
      </c>
      <c r="C630" t="s">
        <v>263</v>
      </c>
      <c r="D630" t="s">
        <v>1253</v>
      </c>
      <c r="E630" t="s">
        <v>30</v>
      </c>
      <c r="F630" t="s">
        <v>205</v>
      </c>
      <c r="G630" t="s">
        <v>32</v>
      </c>
      <c r="H630" t="s">
        <v>87</v>
      </c>
      <c r="I630" s="1" t="s">
        <v>1254</v>
      </c>
    </row>
    <row r="631" spans="1:10" ht="75" x14ac:dyDescent="0.25">
      <c r="A631" t="s">
        <v>26</v>
      </c>
      <c r="B631" t="s">
        <v>1252</v>
      </c>
      <c r="C631" t="s">
        <v>249</v>
      </c>
      <c r="D631" t="s">
        <v>827</v>
      </c>
      <c r="E631" t="s">
        <v>30</v>
      </c>
      <c r="F631" t="s">
        <v>205</v>
      </c>
      <c r="G631" t="s">
        <v>81</v>
      </c>
      <c r="H631" t="s">
        <v>173</v>
      </c>
      <c r="I631" s="1" t="s">
        <v>1255</v>
      </c>
    </row>
    <row r="632" spans="1:10" ht="60" x14ac:dyDescent="0.25">
      <c r="A632" t="s">
        <v>26</v>
      </c>
      <c r="B632" t="s">
        <v>1252</v>
      </c>
      <c r="C632" t="s">
        <v>235</v>
      </c>
      <c r="D632" t="s">
        <v>1256</v>
      </c>
      <c r="E632" t="s">
        <v>30</v>
      </c>
      <c r="F632" t="s">
        <v>1181</v>
      </c>
      <c r="G632" t="s">
        <v>32</v>
      </c>
      <c r="H632" t="s">
        <v>33</v>
      </c>
      <c r="I632" s="1" t="s">
        <v>1257</v>
      </c>
    </row>
    <row r="633" spans="1:10" ht="60" x14ac:dyDescent="0.25">
      <c r="A633" t="s">
        <v>26</v>
      </c>
      <c r="B633" t="s">
        <v>1252</v>
      </c>
      <c r="C633" t="s">
        <v>69</v>
      </c>
      <c r="D633" t="s">
        <v>1258</v>
      </c>
      <c r="E633" t="s">
        <v>30</v>
      </c>
      <c r="F633" t="s">
        <v>189</v>
      </c>
      <c r="G633" t="s">
        <v>69</v>
      </c>
      <c r="H633" t="s">
        <v>33</v>
      </c>
      <c r="I633" s="1" t="s">
        <v>1259</v>
      </c>
    </row>
    <row r="634" spans="1:10" ht="60" x14ac:dyDescent="0.25">
      <c r="A634" t="s">
        <v>26</v>
      </c>
      <c r="B634" t="s">
        <v>1252</v>
      </c>
      <c r="C634" t="s">
        <v>180</v>
      </c>
      <c r="D634" t="s">
        <v>1105</v>
      </c>
      <c r="E634" t="s">
        <v>30</v>
      </c>
      <c r="F634" t="s">
        <v>94</v>
      </c>
      <c r="G634" t="s">
        <v>32</v>
      </c>
      <c r="H634" t="s">
        <v>33</v>
      </c>
      <c r="I634" s="1" t="s">
        <v>1260</v>
      </c>
    </row>
    <row r="635" spans="1:10" ht="45" x14ac:dyDescent="0.25">
      <c r="A635" t="s">
        <v>26</v>
      </c>
      <c r="B635" t="s">
        <v>1252</v>
      </c>
      <c r="C635" t="s">
        <v>235</v>
      </c>
      <c r="D635" t="s">
        <v>427</v>
      </c>
      <c r="E635" t="s">
        <v>30</v>
      </c>
      <c r="F635" t="s">
        <v>52</v>
      </c>
      <c r="G635" t="s">
        <v>32</v>
      </c>
      <c r="H635" t="s">
        <v>173</v>
      </c>
      <c r="I635" s="1" t="s">
        <v>1261</v>
      </c>
    </row>
    <row r="636" spans="1:10" ht="75" x14ac:dyDescent="0.25">
      <c r="A636" t="s">
        <v>49</v>
      </c>
      <c r="B636" t="s">
        <v>1252</v>
      </c>
      <c r="C636" t="s">
        <v>96</v>
      </c>
      <c r="D636" t="s">
        <v>1262</v>
      </c>
      <c r="E636" t="s">
        <v>30</v>
      </c>
      <c r="F636" t="s">
        <v>209</v>
      </c>
      <c r="G636" t="s">
        <v>81</v>
      </c>
      <c r="H636" t="s">
        <v>33</v>
      </c>
      <c r="I636" s="1" t="s">
        <v>1263</v>
      </c>
    </row>
    <row r="637" spans="1:10" ht="30" x14ac:dyDescent="0.25">
      <c r="A637" t="s">
        <v>26</v>
      </c>
      <c r="B637" t="s">
        <v>1252</v>
      </c>
      <c r="C637" t="s">
        <v>50</v>
      </c>
      <c r="D637" t="s">
        <v>817</v>
      </c>
      <c r="E637" t="s">
        <v>30</v>
      </c>
      <c r="F637" t="s">
        <v>112</v>
      </c>
      <c r="G637" t="s">
        <v>32</v>
      </c>
      <c r="H637" t="s">
        <v>33</v>
      </c>
      <c r="I637" s="1" t="s">
        <v>1264</v>
      </c>
    </row>
    <row r="638" spans="1:10" ht="60" x14ac:dyDescent="0.25">
      <c r="A638" t="s">
        <v>26</v>
      </c>
      <c r="B638" t="s">
        <v>1252</v>
      </c>
      <c r="C638" t="s">
        <v>44</v>
      </c>
      <c r="D638" t="s">
        <v>259</v>
      </c>
      <c r="E638" t="s">
        <v>30</v>
      </c>
      <c r="F638" t="s">
        <v>119</v>
      </c>
      <c r="G638" t="s">
        <v>81</v>
      </c>
      <c r="H638" t="s">
        <v>87</v>
      </c>
      <c r="I638" s="1" t="s">
        <v>1265</v>
      </c>
    </row>
    <row r="639" spans="1:10" ht="75" x14ac:dyDescent="0.25">
      <c r="A639" t="s">
        <v>26</v>
      </c>
      <c r="B639" t="s">
        <v>1266</v>
      </c>
      <c r="C639" t="s">
        <v>69</v>
      </c>
      <c r="D639" t="s">
        <v>160</v>
      </c>
      <c r="E639" t="s">
        <v>30</v>
      </c>
      <c r="F639" t="s">
        <v>40</v>
      </c>
      <c r="G639" t="s">
        <v>69</v>
      </c>
      <c r="H639" t="s">
        <v>173</v>
      </c>
      <c r="I639" s="1" t="s">
        <v>1267</v>
      </c>
    </row>
    <row r="640" spans="1:10" x14ac:dyDescent="0.25">
      <c r="A640" t="s">
        <v>26</v>
      </c>
      <c r="B640" t="s">
        <v>1266</v>
      </c>
      <c r="C640" t="s">
        <v>69</v>
      </c>
      <c r="D640" t="s">
        <v>160</v>
      </c>
      <c r="E640" t="s">
        <v>30</v>
      </c>
      <c r="F640" t="s">
        <v>189</v>
      </c>
      <c r="G640" t="s">
        <v>81</v>
      </c>
      <c r="H640" t="s">
        <v>87</v>
      </c>
      <c r="I640" s="1" t="s">
        <v>1268</v>
      </c>
    </row>
    <row r="641" spans="1:9" ht="105" x14ac:dyDescent="0.25">
      <c r="A641" t="s">
        <v>26</v>
      </c>
      <c r="B641" t="s">
        <v>1266</v>
      </c>
      <c r="C641" t="s">
        <v>235</v>
      </c>
      <c r="D641" t="s">
        <v>270</v>
      </c>
      <c r="E641" t="s">
        <v>79</v>
      </c>
      <c r="F641" t="s">
        <v>119</v>
      </c>
      <c r="G641" t="s">
        <v>81</v>
      </c>
      <c r="H641" t="s">
        <v>173</v>
      </c>
      <c r="I641" s="1" t="s">
        <v>1269</v>
      </c>
    </row>
    <row r="642" spans="1:9" ht="105" x14ac:dyDescent="0.25">
      <c r="A642" t="s">
        <v>26</v>
      </c>
      <c r="B642" t="s">
        <v>1266</v>
      </c>
      <c r="C642" t="s">
        <v>472</v>
      </c>
      <c r="D642" t="s">
        <v>1270</v>
      </c>
      <c r="E642" t="s">
        <v>30</v>
      </c>
      <c r="F642" t="s">
        <v>108</v>
      </c>
      <c r="G642" t="s">
        <v>32</v>
      </c>
      <c r="H642" t="s">
        <v>87</v>
      </c>
      <c r="I642" s="1" t="s">
        <v>1271</v>
      </c>
    </row>
    <row r="643" spans="1:9" ht="105" x14ac:dyDescent="0.25">
      <c r="A643" t="s">
        <v>26</v>
      </c>
      <c r="B643" t="s">
        <v>1266</v>
      </c>
      <c r="C643" t="s">
        <v>69</v>
      </c>
      <c r="D643" t="s">
        <v>297</v>
      </c>
      <c r="E643" t="s">
        <v>30</v>
      </c>
      <c r="F643" t="s">
        <v>602</v>
      </c>
      <c r="G643" t="s">
        <v>32</v>
      </c>
      <c r="H643" t="s">
        <v>173</v>
      </c>
      <c r="I643" s="1" t="s">
        <v>1272</v>
      </c>
    </row>
    <row r="644" spans="1:9" ht="60" x14ac:dyDescent="0.25">
      <c r="A644" t="s">
        <v>59</v>
      </c>
      <c r="B644" t="s">
        <v>1266</v>
      </c>
      <c r="C644" t="s">
        <v>28</v>
      </c>
      <c r="D644" t="s">
        <v>344</v>
      </c>
      <c r="E644" t="s">
        <v>30</v>
      </c>
      <c r="F644" t="s">
        <v>161</v>
      </c>
      <c r="G644" t="s">
        <v>38</v>
      </c>
      <c r="H644" t="s">
        <v>87</v>
      </c>
      <c r="I644" s="1" t="s">
        <v>1273</v>
      </c>
    </row>
    <row r="645" spans="1:9" ht="30" x14ac:dyDescent="0.25">
      <c r="A645" t="s">
        <v>91</v>
      </c>
      <c r="B645" t="s">
        <v>1266</v>
      </c>
      <c r="C645" t="s">
        <v>50</v>
      </c>
      <c r="D645" t="s">
        <v>817</v>
      </c>
      <c r="E645" t="s">
        <v>30</v>
      </c>
      <c r="F645" t="s">
        <v>94</v>
      </c>
      <c r="G645" t="s">
        <v>69</v>
      </c>
      <c r="H645" t="s">
        <v>33</v>
      </c>
      <c r="I645" s="1" t="s">
        <v>1274</v>
      </c>
    </row>
    <row r="646" spans="1:9" x14ac:dyDescent="0.25">
      <c r="A646" t="s">
        <v>59</v>
      </c>
      <c r="B646" t="s">
        <v>1266</v>
      </c>
      <c r="C646" t="s">
        <v>106</v>
      </c>
      <c r="D646" t="s">
        <v>1275</v>
      </c>
      <c r="E646" t="s">
        <v>30</v>
      </c>
      <c r="F646" t="s">
        <v>216</v>
      </c>
      <c r="G646" t="s">
        <v>69</v>
      </c>
      <c r="H646" t="s">
        <v>173</v>
      </c>
      <c r="I646" s="1" t="s">
        <v>1276</v>
      </c>
    </row>
    <row r="647" spans="1:9" ht="105" x14ac:dyDescent="0.25">
      <c r="A647" t="s">
        <v>49</v>
      </c>
      <c r="B647" t="s">
        <v>1266</v>
      </c>
      <c r="C647" t="s">
        <v>28</v>
      </c>
      <c r="D647" t="s">
        <v>470</v>
      </c>
      <c r="E647" t="s">
        <v>30</v>
      </c>
      <c r="F647" t="s">
        <v>130</v>
      </c>
      <c r="G647" t="s">
        <v>69</v>
      </c>
      <c r="H647" t="s">
        <v>87</v>
      </c>
      <c r="I647" s="1" t="s">
        <v>1277</v>
      </c>
    </row>
    <row r="648" spans="1:9" ht="90" x14ac:dyDescent="0.25">
      <c r="A648" t="s">
        <v>37</v>
      </c>
      <c r="B648" t="s">
        <v>1266</v>
      </c>
      <c r="C648" t="s">
        <v>69</v>
      </c>
      <c r="D648" t="s">
        <v>229</v>
      </c>
      <c r="E648" t="s">
        <v>30</v>
      </c>
      <c r="F648" t="s">
        <v>94</v>
      </c>
      <c r="G648" t="s">
        <v>81</v>
      </c>
      <c r="H648" t="s">
        <v>87</v>
      </c>
      <c r="I648" s="1" t="s">
        <v>1278</v>
      </c>
    </row>
    <row r="649" spans="1:9" ht="60" x14ac:dyDescent="0.25">
      <c r="A649" t="s">
        <v>26</v>
      </c>
      <c r="B649" t="s">
        <v>1279</v>
      </c>
      <c r="C649" t="s">
        <v>263</v>
      </c>
      <c r="D649" t="s">
        <v>1280</v>
      </c>
      <c r="E649" t="s">
        <v>30</v>
      </c>
      <c r="F649" t="s">
        <v>94</v>
      </c>
      <c r="G649" t="s">
        <v>32</v>
      </c>
      <c r="H649" t="s">
        <v>33</v>
      </c>
      <c r="I649" s="1" t="s">
        <v>1281</v>
      </c>
    </row>
    <row r="650" spans="1:9" ht="90" x14ac:dyDescent="0.25">
      <c r="A650" t="s">
        <v>26</v>
      </c>
      <c r="B650" t="s">
        <v>1279</v>
      </c>
      <c r="C650" t="s">
        <v>249</v>
      </c>
      <c r="D650" t="s">
        <v>1282</v>
      </c>
      <c r="E650" t="s">
        <v>30</v>
      </c>
      <c r="F650" t="s">
        <v>108</v>
      </c>
      <c r="G650" t="s">
        <v>69</v>
      </c>
      <c r="H650" t="s">
        <v>87</v>
      </c>
      <c r="I650" s="1" t="s">
        <v>1283</v>
      </c>
    </row>
    <row r="651" spans="1:9" ht="30" x14ac:dyDescent="0.25">
      <c r="A651" t="s">
        <v>26</v>
      </c>
      <c r="B651" t="s">
        <v>1279</v>
      </c>
      <c r="C651" t="s">
        <v>249</v>
      </c>
      <c r="D651" t="s">
        <v>657</v>
      </c>
      <c r="E651" t="s">
        <v>30</v>
      </c>
      <c r="F651" t="s">
        <v>46</v>
      </c>
      <c r="G651" t="s">
        <v>32</v>
      </c>
      <c r="H651" t="s">
        <v>173</v>
      </c>
      <c r="I651" s="1" t="s">
        <v>1284</v>
      </c>
    </row>
    <row r="652" spans="1:9" ht="105" x14ac:dyDescent="0.25">
      <c r="A652" t="s">
        <v>26</v>
      </c>
      <c r="B652" t="s">
        <v>1279</v>
      </c>
      <c r="C652" t="s">
        <v>235</v>
      </c>
      <c r="D652" t="s">
        <v>1285</v>
      </c>
      <c r="E652" t="s">
        <v>30</v>
      </c>
      <c r="F652" t="s">
        <v>543</v>
      </c>
      <c r="G652" t="s">
        <v>69</v>
      </c>
      <c r="H652" t="s">
        <v>87</v>
      </c>
      <c r="I652" s="1" t="s">
        <v>1286</v>
      </c>
    </row>
    <row r="653" spans="1:9" ht="75" x14ac:dyDescent="0.25">
      <c r="A653" t="s">
        <v>26</v>
      </c>
      <c r="B653" t="s">
        <v>1279</v>
      </c>
      <c r="C653" t="s">
        <v>249</v>
      </c>
      <c r="D653" t="s">
        <v>1287</v>
      </c>
      <c r="E653" t="s">
        <v>30</v>
      </c>
      <c r="F653" t="s">
        <v>102</v>
      </c>
      <c r="G653" t="s">
        <v>32</v>
      </c>
      <c r="H653" t="s">
        <v>33</v>
      </c>
      <c r="I653" s="1" t="s">
        <v>1288</v>
      </c>
    </row>
    <row r="654" spans="1:9" ht="90" x14ac:dyDescent="0.25">
      <c r="A654" t="s">
        <v>26</v>
      </c>
      <c r="B654" t="s">
        <v>1279</v>
      </c>
      <c r="C654" t="s">
        <v>73</v>
      </c>
      <c r="D654" t="s">
        <v>678</v>
      </c>
      <c r="E654" t="s">
        <v>30</v>
      </c>
      <c r="F654" t="s">
        <v>543</v>
      </c>
      <c r="G654" t="s">
        <v>69</v>
      </c>
      <c r="H654" t="s">
        <v>33</v>
      </c>
      <c r="I654" s="1" t="s">
        <v>1289</v>
      </c>
    </row>
    <row r="655" spans="1:9" ht="45" x14ac:dyDescent="0.25">
      <c r="A655" t="s">
        <v>26</v>
      </c>
      <c r="B655" t="s">
        <v>1279</v>
      </c>
      <c r="C655" t="s">
        <v>92</v>
      </c>
      <c r="D655" t="s">
        <v>111</v>
      </c>
      <c r="E655" t="s">
        <v>30</v>
      </c>
      <c r="F655" t="s">
        <v>727</v>
      </c>
      <c r="G655" t="s">
        <v>263</v>
      </c>
      <c r="H655" t="s">
        <v>173</v>
      </c>
      <c r="I655" s="1" t="s">
        <v>1290</v>
      </c>
    </row>
    <row r="656" spans="1:9" ht="60" x14ac:dyDescent="0.25">
      <c r="A656" t="s">
        <v>26</v>
      </c>
      <c r="B656" t="s">
        <v>1279</v>
      </c>
      <c r="C656" t="s">
        <v>235</v>
      </c>
      <c r="D656" t="s">
        <v>1291</v>
      </c>
      <c r="E656" t="s">
        <v>30</v>
      </c>
      <c r="F656" t="s">
        <v>94</v>
      </c>
      <c r="G656" t="s">
        <v>32</v>
      </c>
      <c r="H656" t="s">
        <v>173</v>
      </c>
      <c r="I656" s="1" t="s">
        <v>1292</v>
      </c>
    </row>
    <row r="657" spans="1:9" ht="105" x14ac:dyDescent="0.25">
      <c r="A657" t="s">
        <v>26</v>
      </c>
      <c r="B657" t="s">
        <v>1279</v>
      </c>
      <c r="C657" t="s">
        <v>73</v>
      </c>
      <c r="D657" t="s">
        <v>1293</v>
      </c>
      <c r="E657" t="s">
        <v>30</v>
      </c>
      <c r="F657" t="s">
        <v>61</v>
      </c>
      <c r="G657" t="s">
        <v>81</v>
      </c>
      <c r="H657" t="s">
        <v>87</v>
      </c>
      <c r="I657" s="1" t="s">
        <v>1294</v>
      </c>
    </row>
    <row r="658" spans="1:9" x14ac:dyDescent="0.25">
      <c r="A658" t="s">
        <v>26</v>
      </c>
      <c r="B658" t="s">
        <v>1279</v>
      </c>
      <c r="C658" t="s">
        <v>235</v>
      </c>
      <c r="D658" t="s">
        <v>427</v>
      </c>
      <c r="E658" t="s">
        <v>30</v>
      </c>
      <c r="F658" t="s">
        <v>1142</v>
      </c>
      <c r="G658" t="s">
        <v>32</v>
      </c>
      <c r="H658" t="s">
        <v>87</v>
      </c>
      <c r="I658" s="1" t="s">
        <v>1295</v>
      </c>
    </row>
    <row r="659" spans="1:9" x14ac:dyDescent="0.25">
      <c r="A659" t="s">
        <v>26</v>
      </c>
      <c r="B659" t="s">
        <v>1279</v>
      </c>
      <c r="C659" t="s">
        <v>96</v>
      </c>
      <c r="D659" t="s">
        <v>195</v>
      </c>
      <c r="E659" t="s">
        <v>30</v>
      </c>
      <c r="F659" t="s">
        <v>112</v>
      </c>
      <c r="G659" t="s">
        <v>32</v>
      </c>
      <c r="H659" t="s">
        <v>87</v>
      </c>
      <c r="I659" s="1" t="s">
        <v>1296</v>
      </c>
    </row>
    <row r="660" spans="1:9" ht="30" x14ac:dyDescent="0.25">
      <c r="A660" t="s">
        <v>26</v>
      </c>
      <c r="B660" t="s">
        <v>1279</v>
      </c>
      <c r="C660" t="s">
        <v>180</v>
      </c>
      <c r="D660" t="s">
        <v>1297</v>
      </c>
      <c r="E660" t="s">
        <v>30</v>
      </c>
      <c r="F660" t="s">
        <v>61</v>
      </c>
      <c r="G660" t="s">
        <v>32</v>
      </c>
      <c r="H660" t="s">
        <v>173</v>
      </c>
      <c r="I660" s="1" t="s">
        <v>1298</v>
      </c>
    </row>
    <row r="661" spans="1:9" x14ac:dyDescent="0.25">
      <c r="A661" t="s">
        <v>26</v>
      </c>
      <c r="B661" t="s">
        <v>1279</v>
      </c>
      <c r="C661" t="s">
        <v>96</v>
      </c>
      <c r="D661" t="s">
        <v>201</v>
      </c>
      <c r="E661" t="s">
        <v>30</v>
      </c>
      <c r="F661" t="s">
        <v>61</v>
      </c>
      <c r="G661" t="s">
        <v>32</v>
      </c>
      <c r="H661" t="s">
        <v>173</v>
      </c>
      <c r="I661" s="1" t="s">
        <v>1299</v>
      </c>
    </row>
    <row r="662" spans="1:9" ht="45" x14ac:dyDescent="0.25">
      <c r="A662" t="s">
        <v>26</v>
      </c>
      <c r="B662" t="s">
        <v>1279</v>
      </c>
      <c r="C662" t="s">
        <v>85</v>
      </c>
      <c r="D662" t="s">
        <v>667</v>
      </c>
      <c r="E662" t="s">
        <v>30</v>
      </c>
      <c r="F662" t="s">
        <v>94</v>
      </c>
      <c r="G662" t="s">
        <v>32</v>
      </c>
      <c r="H662" t="s">
        <v>87</v>
      </c>
      <c r="I662" s="1" t="s">
        <v>1300</v>
      </c>
    </row>
    <row r="663" spans="1:9" ht="45" x14ac:dyDescent="0.25">
      <c r="A663" t="s">
        <v>26</v>
      </c>
      <c r="B663" t="s">
        <v>1279</v>
      </c>
      <c r="C663" t="s">
        <v>472</v>
      </c>
      <c r="D663" t="s">
        <v>1301</v>
      </c>
      <c r="E663" t="s">
        <v>30</v>
      </c>
      <c r="F663" t="s">
        <v>189</v>
      </c>
      <c r="G663" t="s">
        <v>32</v>
      </c>
      <c r="H663" t="s">
        <v>173</v>
      </c>
      <c r="I663" s="1" t="s">
        <v>1302</v>
      </c>
    </row>
    <row r="664" spans="1:9" ht="60" x14ac:dyDescent="0.25">
      <c r="A664" t="s">
        <v>26</v>
      </c>
      <c r="B664" t="s">
        <v>1279</v>
      </c>
      <c r="C664" t="s">
        <v>28</v>
      </c>
      <c r="D664" t="s">
        <v>1303</v>
      </c>
      <c r="E664" t="s">
        <v>30</v>
      </c>
      <c r="F664" t="s">
        <v>287</v>
      </c>
      <c r="G664" t="s">
        <v>32</v>
      </c>
      <c r="H664" t="s">
        <v>87</v>
      </c>
      <c r="I664" s="1" t="s">
        <v>1304</v>
      </c>
    </row>
    <row r="665" spans="1:9" ht="105" x14ac:dyDescent="0.25">
      <c r="A665" t="s">
        <v>26</v>
      </c>
      <c r="B665" t="s">
        <v>1279</v>
      </c>
      <c r="C665" t="s">
        <v>38</v>
      </c>
      <c r="D665" t="s">
        <v>1305</v>
      </c>
      <c r="E665" t="s">
        <v>30</v>
      </c>
      <c r="F665" t="s">
        <v>182</v>
      </c>
      <c r="G665" t="s">
        <v>69</v>
      </c>
      <c r="H665" t="s">
        <v>87</v>
      </c>
      <c r="I665" s="1" t="s">
        <v>1306</v>
      </c>
    </row>
    <row r="666" spans="1:9" ht="90" x14ac:dyDescent="0.25">
      <c r="A666" t="s">
        <v>49</v>
      </c>
      <c r="B666" t="s">
        <v>1279</v>
      </c>
      <c r="C666" t="s">
        <v>240</v>
      </c>
      <c r="D666" t="s">
        <v>597</v>
      </c>
      <c r="E666" t="s">
        <v>30</v>
      </c>
      <c r="F666" t="s">
        <v>177</v>
      </c>
      <c r="G666" t="s">
        <v>32</v>
      </c>
      <c r="H666" t="s">
        <v>33</v>
      </c>
      <c r="I666" s="1" t="s">
        <v>1307</v>
      </c>
    </row>
    <row r="667" spans="1:9" ht="60" x14ac:dyDescent="0.25">
      <c r="A667" t="s">
        <v>26</v>
      </c>
      <c r="B667" t="s">
        <v>1279</v>
      </c>
      <c r="C667" t="s">
        <v>50</v>
      </c>
      <c r="D667" t="s">
        <v>226</v>
      </c>
      <c r="E667" t="s">
        <v>30</v>
      </c>
      <c r="F667" t="s">
        <v>205</v>
      </c>
      <c r="G667" t="s">
        <v>32</v>
      </c>
      <c r="H667" t="s">
        <v>33</v>
      </c>
      <c r="I667" s="1" t="s">
        <v>1308</v>
      </c>
    </row>
    <row r="668" spans="1:9" ht="45" x14ac:dyDescent="0.25">
      <c r="A668" t="s">
        <v>49</v>
      </c>
      <c r="B668" t="s">
        <v>1279</v>
      </c>
      <c r="C668" t="s">
        <v>240</v>
      </c>
      <c r="D668" t="s">
        <v>1309</v>
      </c>
      <c r="E668" t="s">
        <v>30</v>
      </c>
      <c r="F668" t="s">
        <v>61</v>
      </c>
      <c r="G668" t="s">
        <v>69</v>
      </c>
      <c r="H668" t="s">
        <v>87</v>
      </c>
      <c r="I668" s="1" t="s">
        <v>1310</v>
      </c>
    </row>
    <row r="669" spans="1:9" ht="105" x14ac:dyDescent="0.25">
      <c r="A669" t="s">
        <v>26</v>
      </c>
      <c r="B669" t="s">
        <v>1279</v>
      </c>
      <c r="C669" t="s">
        <v>44</v>
      </c>
      <c r="D669" t="s">
        <v>616</v>
      </c>
      <c r="E669" t="s">
        <v>30</v>
      </c>
      <c r="F669" t="s">
        <v>136</v>
      </c>
      <c r="G669" t="s">
        <v>32</v>
      </c>
      <c r="H669" t="s">
        <v>87</v>
      </c>
      <c r="I669" s="1" t="s">
        <v>1311</v>
      </c>
    </row>
    <row r="670" spans="1:9" ht="105" x14ac:dyDescent="0.25">
      <c r="A670" t="s">
        <v>91</v>
      </c>
      <c r="B670" t="s">
        <v>1279</v>
      </c>
      <c r="C670" t="s">
        <v>28</v>
      </c>
      <c r="D670" t="s">
        <v>594</v>
      </c>
      <c r="E670" t="s">
        <v>30</v>
      </c>
      <c r="F670" t="s">
        <v>205</v>
      </c>
      <c r="G670" t="s">
        <v>32</v>
      </c>
      <c r="H670" t="s">
        <v>87</v>
      </c>
      <c r="I670" s="1" t="s">
        <v>1312</v>
      </c>
    </row>
    <row r="671" spans="1:9" ht="60" x14ac:dyDescent="0.25">
      <c r="A671" t="s">
        <v>26</v>
      </c>
      <c r="B671" t="s">
        <v>1279</v>
      </c>
      <c r="C671" t="s">
        <v>44</v>
      </c>
      <c r="D671" t="s">
        <v>165</v>
      </c>
      <c r="E671" t="s">
        <v>30</v>
      </c>
      <c r="F671" t="s">
        <v>98</v>
      </c>
      <c r="G671" t="s">
        <v>32</v>
      </c>
      <c r="H671" t="s">
        <v>87</v>
      </c>
      <c r="I671" s="1" t="s">
        <v>1313</v>
      </c>
    </row>
    <row r="672" spans="1:9" x14ac:dyDescent="0.25">
      <c r="A672" t="s">
        <v>49</v>
      </c>
      <c r="B672" t="s">
        <v>1279</v>
      </c>
      <c r="C672" t="s">
        <v>106</v>
      </c>
      <c r="D672" t="s">
        <v>794</v>
      </c>
      <c r="E672" t="s">
        <v>30</v>
      </c>
      <c r="F672" t="s">
        <v>205</v>
      </c>
      <c r="G672" t="s">
        <v>32</v>
      </c>
      <c r="H672" t="s">
        <v>33</v>
      </c>
      <c r="I672" s="1" t="s">
        <v>1314</v>
      </c>
    </row>
    <row r="673" spans="1:9" ht="30" x14ac:dyDescent="0.25">
      <c r="A673" t="s">
        <v>49</v>
      </c>
      <c r="B673" t="s">
        <v>1279</v>
      </c>
      <c r="C673" t="s">
        <v>106</v>
      </c>
      <c r="D673" t="s">
        <v>1315</v>
      </c>
      <c r="E673" t="s">
        <v>30</v>
      </c>
      <c r="F673" t="s">
        <v>112</v>
      </c>
      <c r="G673" t="s">
        <v>32</v>
      </c>
      <c r="H673" t="s">
        <v>33</v>
      </c>
      <c r="I673" s="1" t="s">
        <v>1316</v>
      </c>
    </row>
    <row r="674" spans="1:9" ht="30" x14ac:dyDescent="0.25">
      <c r="A674" t="s">
        <v>37</v>
      </c>
      <c r="B674" t="s">
        <v>1279</v>
      </c>
      <c r="C674" t="s">
        <v>249</v>
      </c>
      <c r="D674" t="s">
        <v>1317</v>
      </c>
      <c r="E674" t="s">
        <v>30</v>
      </c>
      <c r="F674" t="s">
        <v>61</v>
      </c>
      <c r="G674" t="s">
        <v>32</v>
      </c>
      <c r="H674" t="s">
        <v>87</v>
      </c>
      <c r="I674" s="1" t="s">
        <v>1318</v>
      </c>
    </row>
    <row r="675" spans="1:9" ht="105" x14ac:dyDescent="0.25">
      <c r="A675" t="s">
        <v>26</v>
      </c>
      <c r="B675" t="s">
        <v>1279</v>
      </c>
      <c r="C675" t="s">
        <v>44</v>
      </c>
      <c r="D675" t="s">
        <v>616</v>
      </c>
      <c r="E675" t="s">
        <v>30</v>
      </c>
      <c r="F675" t="s">
        <v>130</v>
      </c>
      <c r="G675" t="s">
        <v>81</v>
      </c>
      <c r="H675" t="s">
        <v>33</v>
      </c>
      <c r="I675" s="1" t="s">
        <v>1319</v>
      </c>
    </row>
    <row r="676" spans="1:9" ht="30" x14ac:dyDescent="0.25">
      <c r="A676" t="s">
        <v>49</v>
      </c>
      <c r="B676" t="s">
        <v>1279</v>
      </c>
      <c r="C676" t="s">
        <v>44</v>
      </c>
      <c r="D676" t="s">
        <v>45</v>
      </c>
      <c r="E676" t="s">
        <v>30</v>
      </c>
      <c r="F676" t="s">
        <v>94</v>
      </c>
      <c r="G676" t="s">
        <v>69</v>
      </c>
      <c r="H676" t="s">
        <v>87</v>
      </c>
      <c r="I676" s="1" t="s">
        <v>1320</v>
      </c>
    </row>
    <row r="677" spans="1:9" ht="45" x14ac:dyDescent="0.25">
      <c r="A677" t="s">
        <v>49</v>
      </c>
      <c r="B677" t="s">
        <v>1279</v>
      </c>
      <c r="C677" t="s">
        <v>50</v>
      </c>
      <c r="D677" t="s">
        <v>122</v>
      </c>
      <c r="E677" t="s">
        <v>30</v>
      </c>
      <c r="F677" t="s">
        <v>154</v>
      </c>
      <c r="G677" t="s">
        <v>32</v>
      </c>
      <c r="H677" t="s">
        <v>173</v>
      </c>
      <c r="I677" s="1" t="s">
        <v>1321</v>
      </c>
    </row>
    <row r="678" spans="1:9" ht="30" x14ac:dyDescent="0.25">
      <c r="A678" t="s">
        <v>37</v>
      </c>
      <c r="B678" t="s">
        <v>1279</v>
      </c>
      <c r="C678" t="s">
        <v>240</v>
      </c>
      <c r="D678" t="s">
        <v>504</v>
      </c>
      <c r="E678" t="s">
        <v>30</v>
      </c>
      <c r="F678" t="s">
        <v>246</v>
      </c>
      <c r="G678" t="s">
        <v>32</v>
      </c>
      <c r="H678" t="s">
        <v>33</v>
      </c>
      <c r="I678" s="1" t="s">
        <v>1322</v>
      </c>
    </row>
    <row r="679" spans="1:9" ht="60" x14ac:dyDescent="0.25">
      <c r="A679" t="s">
        <v>26</v>
      </c>
      <c r="B679" t="s">
        <v>1279</v>
      </c>
      <c r="C679" t="s">
        <v>44</v>
      </c>
      <c r="D679" t="s">
        <v>514</v>
      </c>
      <c r="E679" t="s">
        <v>30</v>
      </c>
      <c r="F679" t="s">
        <v>130</v>
      </c>
      <c r="G679" t="s">
        <v>81</v>
      </c>
      <c r="H679" t="s">
        <v>173</v>
      </c>
      <c r="I679" s="1" t="s">
        <v>1323</v>
      </c>
    </row>
    <row r="680" spans="1:9" ht="90" x14ac:dyDescent="0.25">
      <c r="A680" t="s">
        <v>37</v>
      </c>
      <c r="B680" t="s">
        <v>1279</v>
      </c>
      <c r="C680" t="s">
        <v>249</v>
      </c>
      <c r="D680" t="s">
        <v>776</v>
      </c>
      <c r="E680" t="s">
        <v>30</v>
      </c>
      <c r="F680" t="s">
        <v>61</v>
      </c>
      <c r="G680" t="s">
        <v>32</v>
      </c>
      <c r="H680" t="s">
        <v>87</v>
      </c>
      <c r="I680" s="1" t="s">
        <v>1324</v>
      </c>
    </row>
    <row r="681" spans="1:9" ht="60" x14ac:dyDescent="0.25">
      <c r="A681" t="s">
        <v>91</v>
      </c>
      <c r="B681" t="s">
        <v>1279</v>
      </c>
      <c r="C681" t="s">
        <v>263</v>
      </c>
      <c r="D681" t="s">
        <v>958</v>
      </c>
      <c r="E681" t="s">
        <v>79</v>
      </c>
      <c r="F681" t="s">
        <v>108</v>
      </c>
      <c r="G681" t="s">
        <v>32</v>
      </c>
      <c r="H681" t="s">
        <v>33</v>
      </c>
      <c r="I681" s="1" t="s">
        <v>1325</v>
      </c>
    </row>
    <row r="682" spans="1:9" x14ac:dyDescent="0.25">
      <c r="A682" t="s">
        <v>37</v>
      </c>
      <c r="B682" t="s">
        <v>1279</v>
      </c>
      <c r="C682" t="s">
        <v>235</v>
      </c>
      <c r="D682" t="s">
        <v>1326</v>
      </c>
      <c r="E682" t="s">
        <v>30</v>
      </c>
      <c r="F682" t="s">
        <v>130</v>
      </c>
      <c r="G682" t="s">
        <v>32</v>
      </c>
      <c r="H682" t="s">
        <v>33</v>
      </c>
      <c r="I682" s="1" t="s">
        <v>1327</v>
      </c>
    </row>
    <row r="683" spans="1:9" ht="30" x14ac:dyDescent="0.25">
      <c r="A683" t="s">
        <v>26</v>
      </c>
      <c r="B683" t="s">
        <v>1279</v>
      </c>
      <c r="C683" t="s">
        <v>28</v>
      </c>
      <c r="D683" t="s">
        <v>943</v>
      </c>
      <c r="E683" t="s">
        <v>30</v>
      </c>
      <c r="F683" t="s">
        <v>520</v>
      </c>
      <c r="G683" t="s">
        <v>32</v>
      </c>
      <c r="H683" t="s">
        <v>33</v>
      </c>
      <c r="I683" s="1" t="s">
        <v>1328</v>
      </c>
    </row>
    <row r="684" spans="1:9" ht="120" x14ac:dyDescent="0.25">
      <c r="A684" t="s">
        <v>37</v>
      </c>
      <c r="B684" t="s">
        <v>1279</v>
      </c>
      <c r="C684" t="s">
        <v>240</v>
      </c>
      <c r="D684" t="s">
        <v>597</v>
      </c>
      <c r="E684" t="s">
        <v>79</v>
      </c>
      <c r="F684" t="s">
        <v>108</v>
      </c>
      <c r="G684" t="s">
        <v>81</v>
      </c>
      <c r="H684" t="s">
        <v>87</v>
      </c>
      <c r="I684" s="1" t="s">
        <v>1329</v>
      </c>
    </row>
    <row r="685" spans="1:9" ht="45" x14ac:dyDescent="0.25">
      <c r="A685" t="s">
        <v>49</v>
      </c>
      <c r="B685" t="s">
        <v>1279</v>
      </c>
      <c r="C685" t="s">
        <v>96</v>
      </c>
      <c r="D685" t="s">
        <v>201</v>
      </c>
      <c r="E685" t="s">
        <v>30</v>
      </c>
      <c r="F685" t="s">
        <v>189</v>
      </c>
      <c r="G685" t="s">
        <v>69</v>
      </c>
      <c r="H685" t="s">
        <v>87</v>
      </c>
      <c r="I685" s="1" t="s">
        <v>1330</v>
      </c>
    </row>
    <row r="686" spans="1:9" x14ac:dyDescent="0.25">
      <c r="A686" t="s">
        <v>37</v>
      </c>
      <c r="B686" t="s">
        <v>1279</v>
      </c>
      <c r="C686" t="s">
        <v>180</v>
      </c>
      <c r="D686" t="s">
        <v>1331</v>
      </c>
      <c r="E686" t="s">
        <v>30</v>
      </c>
      <c r="F686" t="s">
        <v>166</v>
      </c>
      <c r="G686" t="s">
        <v>32</v>
      </c>
      <c r="H686" t="s">
        <v>173</v>
      </c>
      <c r="I686" s="1" t="s">
        <v>1332</v>
      </c>
    </row>
    <row r="687" spans="1:9" ht="45" x14ac:dyDescent="0.25">
      <c r="A687" t="s">
        <v>91</v>
      </c>
      <c r="B687" t="s">
        <v>1279</v>
      </c>
      <c r="C687" t="s">
        <v>38</v>
      </c>
      <c r="D687" t="s">
        <v>1333</v>
      </c>
      <c r="E687" t="s">
        <v>30</v>
      </c>
      <c r="F687" t="s">
        <v>140</v>
      </c>
      <c r="G687" t="s">
        <v>69</v>
      </c>
      <c r="H687" t="s">
        <v>173</v>
      </c>
      <c r="I687" s="1" t="s">
        <v>1334</v>
      </c>
    </row>
    <row r="688" spans="1:9" x14ac:dyDescent="0.25">
      <c r="A688" t="s">
        <v>37</v>
      </c>
      <c r="B688" t="s">
        <v>1279</v>
      </c>
      <c r="C688" t="s">
        <v>106</v>
      </c>
      <c r="D688" t="s">
        <v>484</v>
      </c>
      <c r="E688" t="s">
        <v>30</v>
      </c>
      <c r="F688" t="s">
        <v>46</v>
      </c>
      <c r="G688" t="s">
        <v>69</v>
      </c>
      <c r="H688" t="s">
        <v>87</v>
      </c>
      <c r="I688" s="1" t="s">
        <v>1335</v>
      </c>
    </row>
    <row r="689" spans="1:9" ht="30" x14ac:dyDescent="0.25">
      <c r="A689" t="s">
        <v>37</v>
      </c>
      <c r="B689" t="s">
        <v>1279</v>
      </c>
      <c r="C689" t="s">
        <v>106</v>
      </c>
      <c r="D689" t="s">
        <v>107</v>
      </c>
      <c r="E689" t="s">
        <v>30</v>
      </c>
      <c r="F689" t="s">
        <v>52</v>
      </c>
      <c r="G689" t="s">
        <v>32</v>
      </c>
      <c r="H689" t="s">
        <v>87</v>
      </c>
      <c r="I689" s="1" t="s">
        <v>1336</v>
      </c>
    </row>
    <row r="690" spans="1:9" ht="90" x14ac:dyDescent="0.25">
      <c r="A690" t="s">
        <v>64</v>
      </c>
      <c r="B690" t="s">
        <v>1279</v>
      </c>
      <c r="C690" t="s">
        <v>73</v>
      </c>
      <c r="D690" t="s">
        <v>1337</v>
      </c>
      <c r="E690" t="s">
        <v>30</v>
      </c>
      <c r="F690" t="s">
        <v>136</v>
      </c>
      <c r="G690" t="s">
        <v>69</v>
      </c>
      <c r="H690" t="s">
        <v>87</v>
      </c>
      <c r="I690" s="1" t="s">
        <v>1338</v>
      </c>
    </row>
    <row r="691" spans="1:9" ht="105" x14ac:dyDescent="0.25">
      <c r="A691" t="s">
        <v>64</v>
      </c>
      <c r="B691" t="s">
        <v>1279</v>
      </c>
      <c r="C691" t="s">
        <v>96</v>
      </c>
      <c r="D691" t="s">
        <v>875</v>
      </c>
      <c r="E691" t="s">
        <v>30</v>
      </c>
      <c r="F691" t="s">
        <v>189</v>
      </c>
      <c r="G691" t="s">
        <v>69</v>
      </c>
      <c r="H691" t="s">
        <v>173</v>
      </c>
      <c r="I691" s="1" t="s">
        <v>1339</v>
      </c>
    </row>
    <row r="692" spans="1:9" ht="60" x14ac:dyDescent="0.25">
      <c r="A692" t="s">
        <v>64</v>
      </c>
      <c r="B692" t="s">
        <v>1279</v>
      </c>
      <c r="C692" t="s">
        <v>28</v>
      </c>
      <c r="D692" t="s">
        <v>1340</v>
      </c>
      <c r="E692" t="s">
        <v>79</v>
      </c>
      <c r="F692" t="s">
        <v>189</v>
      </c>
      <c r="G692" t="s">
        <v>69</v>
      </c>
      <c r="H692" t="s">
        <v>33</v>
      </c>
      <c r="I692" s="1" t="s">
        <v>1341</v>
      </c>
    </row>
    <row r="693" spans="1:9" ht="45" x14ac:dyDescent="0.25">
      <c r="A693" t="s">
        <v>26</v>
      </c>
      <c r="B693" t="s">
        <v>1342</v>
      </c>
      <c r="C693" t="s">
        <v>249</v>
      </c>
      <c r="D693" t="s">
        <v>657</v>
      </c>
      <c r="E693" t="s">
        <v>30</v>
      </c>
      <c r="F693" t="s">
        <v>154</v>
      </c>
      <c r="G693" t="s">
        <v>32</v>
      </c>
      <c r="H693" t="s">
        <v>87</v>
      </c>
      <c r="I693" s="1" t="s">
        <v>1343</v>
      </c>
    </row>
    <row r="694" spans="1:9" ht="45" x14ac:dyDescent="0.25">
      <c r="A694" t="s">
        <v>26</v>
      </c>
      <c r="B694" t="s">
        <v>1342</v>
      </c>
      <c r="C694" t="s">
        <v>73</v>
      </c>
      <c r="D694" t="s">
        <v>678</v>
      </c>
      <c r="E694" t="s">
        <v>30</v>
      </c>
      <c r="F694" t="s">
        <v>543</v>
      </c>
      <c r="G694" t="s">
        <v>69</v>
      </c>
      <c r="H694" t="s">
        <v>87</v>
      </c>
      <c r="I694" s="1" t="s">
        <v>1344</v>
      </c>
    </row>
    <row r="695" spans="1:9" x14ac:dyDescent="0.25">
      <c r="A695" t="s">
        <v>26</v>
      </c>
      <c r="B695" t="s">
        <v>1342</v>
      </c>
      <c r="C695" t="s">
        <v>263</v>
      </c>
      <c r="D695" t="s">
        <v>1135</v>
      </c>
      <c r="E695" t="s">
        <v>30</v>
      </c>
      <c r="F695" t="s">
        <v>140</v>
      </c>
      <c r="G695" t="s">
        <v>69</v>
      </c>
      <c r="H695" t="s">
        <v>173</v>
      </c>
      <c r="I695" s="1" t="s">
        <v>1345</v>
      </c>
    </row>
    <row r="696" spans="1:9" ht="45" x14ac:dyDescent="0.25">
      <c r="A696" t="s">
        <v>26</v>
      </c>
      <c r="B696" t="s">
        <v>1342</v>
      </c>
      <c r="C696" t="s">
        <v>73</v>
      </c>
      <c r="D696" t="s">
        <v>293</v>
      </c>
      <c r="E696" t="s">
        <v>30</v>
      </c>
      <c r="F696" t="s">
        <v>446</v>
      </c>
      <c r="G696" t="s">
        <v>32</v>
      </c>
      <c r="H696" t="s">
        <v>173</v>
      </c>
      <c r="I696" s="1" t="s">
        <v>1346</v>
      </c>
    </row>
    <row r="697" spans="1:9" ht="45" x14ac:dyDescent="0.25">
      <c r="A697" t="s">
        <v>26</v>
      </c>
      <c r="B697" t="s">
        <v>1342</v>
      </c>
      <c r="C697" t="s">
        <v>249</v>
      </c>
      <c r="D697" t="s">
        <v>639</v>
      </c>
      <c r="E697" t="s">
        <v>30</v>
      </c>
      <c r="F697" t="s">
        <v>161</v>
      </c>
      <c r="G697" t="s">
        <v>32</v>
      </c>
      <c r="H697" t="s">
        <v>87</v>
      </c>
      <c r="I697" s="1" t="s">
        <v>1347</v>
      </c>
    </row>
    <row r="698" spans="1:9" ht="105" x14ac:dyDescent="0.25">
      <c r="A698" t="s">
        <v>26</v>
      </c>
      <c r="B698" t="s">
        <v>1342</v>
      </c>
      <c r="C698" t="s">
        <v>240</v>
      </c>
      <c r="D698" t="s">
        <v>267</v>
      </c>
      <c r="E698" t="s">
        <v>30</v>
      </c>
      <c r="F698" t="s">
        <v>94</v>
      </c>
      <c r="G698" t="s">
        <v>32</v>
      </c>
      <c r="H698" t="s">
        <v>87</v>
      </c>
      <c r="I698" s="1" t="s">
        <v>1348</v>
      </c>
    </row>
    <row r="699" spans="1:9" ht="30" x14ac:dyDescent="0.25">
      <c r="A699" t="s">
        <v>26</v>
      </c>
      <c r="B699" t="s">
        <v>1342</v>
      </c>
      <c r="C699" t="s">
        <v>249</v>
      </c>
      <c r="D699" t="s">
        <v>1349</v>
      </c>
      <c r="E699" t="s">
        <v>30</v>
      </c>
      <c r="F699" t="s">
        <v>94</v>
      </c>
      <c r="G699" t="s">
        <v>32</v>
      </c>
      <c r="H699" t="s">
        <v>33</v>
      </c>
      <c r="I699" s="1" t="s">
        <v>1350</v>
      </c>
    </row>
    <row r="700" spans="1:9" ht="30" x14ac:dyDescent="0.25">
      <c r="A700" t="s">
        <v>26</v>
      </c>
      <c r="B700" t="s">
        <v>1342</v>
      </c>
      <c r="C700" t="s">
        <v>92</v>
      </c>
      <c r="D700" t="s">
        <v>111</v>
      </c>
      <c r="E700" t="s">
        <v>30</v>
      </c>
      <c r="F700" t="s">
        <v>112</v>
      </c>
      <c r="G700" t="s">
        <v>32</v>
      </c>
      <c r="H700" t="s">
        <v>173</v>
      </c>
      <c r="I700" s="1" t="s">
        <v>1351</v>
      </c>
    </row>
    <row r="701" spans="1:9" ht="30" x14ac:dyDescent="0.25">
      <c r="A701" t="s">
        <v>26</v>
      </c>
      <c r="B701" t="s">
        <v>1342</v>
      </c>
      <c r="C701" t="s">
        <v>240</v>
      </c>
      <c r="D701" t="s">
        <v>1008</v>
      </c>
      <c r="E701" t="s">
        <v>30</v>
      </c>
      <c r="F701" t="s">
        <v>94</v>
      </c>
      <c r="G701" t="s">
        <v>32</v>
      </c>
      <c r="H701" t="s">
        <v>33</v>
      </c>
      <c r="I701" s="1" t="s">
        <v>1352</v>
      </c>
    </row>
    <row r="702" spans="1:9" ht="105" x14ac:dyDescent="0.25">
      <c r="A702" t="s">
        <v>26</v>
      </c>
      <c r="B702" t="s">
        <v>1342</v>
      </c>
      <c r="C702" t="s">
        <v>240</v>
      </c>
      <c r="D702" t="s">
        <v>1353</v>
      </c>
      <c r="E702" t="s">
        <v>30</v>
      </c>
      <c r="F702" t="s">
        <v>417</v>
      </c>
      <c r="G702" t="s">
        <v>32</v>
      </c>
      <c r="H702" t="s">
        <v>33</v>
      </c>
      <c r="I702" s="1" t="s">
        <v>1354</v>
      </c>
    </row>
    <row r="703" spans="1:9" ht="60" x14ac:dyDescent="0.25">
      <c r="A703" t="s">
        <v>26</v>
      </c>
      <c r="B703" t="s">
        <v>1342</v>
      </c>
      <c r="C703" t="s">
        <v>240</v>
      </c>
      <c r="D703" t="s">
        <v>504</v>
      </c>
      <c r="E703" t="s">
        <v>30</v>
      </c>
      <c r="F703" t="s">
        <v>492</v>
      </c>
      <c r="G703" t="s">
        <v>32</v>
      </c>
      <c r="H703" t="s">
        <v>33</v>
      </c>
      <c r="I703" s="1" t="s">
        <v>1355</v>
      </c>
    </row>
    <row r="704" spans="1:9" ht="75" x14ac:dyDescent="0.25">
      <c r="A704" t="s">
        <v>26</v>
      </c>
      <c r="B704" t="s">
        <v>1342</v>
      </c>
      <c r="C704" t="s">
        <v>92</v>
      </c>
      <c r="D704" t="s">
        <v>477</v>
      </c>
      <c r="E704" t="s">
        <v>30</v>
      </c>
      <c r="F704" t="s">
        <v>189</v>
      </c>
      <c r="G704" t="s">
        <v>69</v>
      </c>
      <c r="H704" t="s">
        <v>173</v>
      </c>
      <c r="I704" s="1" t="s">
        <v>1356</v>
      </c>
    </row>
    <row r="705" spans="1:9" ht="90" x14ac:dyDescent="0.25">
      <c r="A705" t="s">
        <v>26</v>
      </c>
      <c r="B705" t="s">
        <v>1342</v>
      </c>
      <c r="C705" t="s">
        <v>106</v>
      </c>
      <c r="D705" t="s">
        <v>370</v>
      </c>
      <c r="E705" t="s">
        <v>30</v>
      </c>
      <c r="F705" t="s">
        <v>46</v>
      </c>
      <c r="G705" t="s">
        <v>32</v>
      </c>
      <c r="H705" t="s">
        <v>33</v>
      </c>
      <c r="I705" s="1" t="s">
        <v>1357</v>
      </c>
    </row>
    <row r="706" spans="1:9" ht="105" x14ac:dyDescent="0.25">
      <c r="A706" t="s">
        <v>26</v>
      </c>
      <c r="B706" t="s">
        <v>1342</v>
      </c>
      <c r="C706" t="s">
        <v>44</v>
      </c>
      <c r="D706" t="s">
        <v>655</v>
      </c>
      <c r="E706" t="s">
        <v>79</v>
      </c>
      <c r="F706" t="s">
        <v>209</v>
      </c>
      <c r="G706" t="s">
        <v>263</v>
      </c>
      <c r="H706" t="s">
        <v>87</v>
      </c>
      <c r="I706" s="1" t="s">
        <v>1358</v>
      </c>
    </row>
    <row r="707" spans="1:9" ht="105" x14ac:dyDescent="0.25">
      <c r="A707" t="s">
        <v>26</v>
      </c>
      <c r="B707" t="s">
        <v>1342</v>
      </c>
      <c r="C707" t="s">
        <v>96</v>
      </c>
      <c r="D707" t="s">
        <v>1152</v>
      </c>
      <c r="E707" t="s">
        <v>30</v>
      </c>
      <c r="F707" t="s">
        <v>112</v>
      </c>
      <c r="G707" t="s">
        <v>32</v>
      </c>
      <c r="H707" t="s">
        <v>87</v>
      </c>
      <c r="I707" s="1" t="s">
        <v>1359</v>
      </c>
    </row>
    <row r="708" spans="1:9" ht="75" x14ac:dyDescent="0.25">
      <c r="A708" t="s">
        <v>26</v>
      </c>
      <c r="B708" t="s">
        <v>1342</v>
      </c>
      <c r="C708" t="s">
        <v>235</v>
      </c>
      <c r="D708" t="s">
        <v>427</v>
      </c>
      <c r="E708" t="s">
        <v>30</v>
      </c>
      <c r="F708" t="s">
        <v>205</v>
      </c>
      <c r="G708" t="s">
        <v>69</v>
      </c>
      <c r="H708" t="s">
        <v>173</v>
      </c>
      <c r="I708" s="1" t="s">
        <v>1360</v>
      </c>
    </row>
    <row r="709" spans="1:9" ht="75" x14ac:dyDescent="0.25">
      <c r="A709" t="s">
        <v>26</v>
      </c>
      <c r="B709" t="s">
        <v>1342</v>
      </c>
      <c r="C709" t="s">
        <v>50</v>
      </c>
      <c r="D709" t="s">
        <v>226</v>
      </c>
      <c r="E709" t="s">
        <v>30</v>
      </c>
      <c r="F709" t="s">
        <v>61</v>
      </c>
      <c r="G709" t="s">
        <v>69</v>
      </c>
      <c r="H709" t="s">
        <v>87</v>
      </c>
      <c r="I709" s="1" t="s">
        <v>1361</v>
      </c>
    </row>
    <row r="710" spans="1:9" ht="30" x14ac:dyDescent="0.25">
      <c r="A710" t="s">
        <v>26</v>
      </c>
      <c r="B710" t="s">
        <v>1342</v>
      </c>
      <c r="C710" t="s">
        <v>85</v>
      </c>
      <c r="D710" t="s">
        <v>616</v>
      </c>
      <c r="E710" t="s">
        <v>30</v>
      </c>
      <c r="F710" t="s">
        <v>102</v>
      </c>
      <c r="G710" t="s">
        <v>69</v>
      </c>
      <c r="H710" t="s">
        <v>87</v>
      </c>
      <c r="I710" s="1" t="s">
        <v>1362</v>
      </c>
    </row>
    <row r="711" spans="1:9" x14ac:dyDescent="0.25">
      <c r="A711" t="s">
        <v>26</v>
      </c>
      <c r="B711" t="s">
        <v>1342</v>
      </c>
      <c r="C711" t="s">
        <v>96</v>
      </c>
      <c r="D711" t="s">
        <v>1363</v>
      </c>
      <c r="E711" t="s">
        <v>30</v>
      </c>
      <c r="F711" t="s">
        <v>166</v>
      </c>
      <c r="G711" t="s">
        <v>32</v>
      </c>
      <c r="H711" t="s">
        <v>33</v>
      </c>
      <c r="I711" s="1" t="s">
        <v>1364</v>
      </c>
    </row>
    <row r="712" spans="1:9" x14ac:dyDescent="0.25">
      <c r="A712" t="s">
        <v>26</v>
      </c>
      <c r="B712" t="s">
        <v>1342</v>
      </c>
      <c r="C712" t="s">
        <v>50</v>
      </c>
      <c r="D712" t="s">
        <v>870</v>
      </c>
      <c r="E712" t="s">
        <v>30</v>
      </c>
      <c r="F712" t="s">
        <v>108</v>
      </c>
      <c r="G712" t="s">
        <v>32</v>
      </c>
      <c r="H712" t="s">
        <v>87</v>
      </c>
      <c r="I712" s="1" t="s">
        <v>1365</v>
      </c>
    </row>
    <row r="713" spans="1:9" ht="120" x14ac:dyDescent="0.25">
      <c r="A713" t="s">
        <v>26</v>
      </c>
      <c r="B713" t="s">
        <v>1342</v>
      </c>
      <c r="C713" t="s">
        <v>50</v>
      </c>
      <c r="D713" t="s">
        <v>1086</v>
      </c>
      <c r="E713" t="s">
        <v>30</v>
      </c>
      <c r="F713" t="s">
        <v>61</v>
      </c>
      <c r="G713" t="s">
        <v>69</v>
      </c>
      <c r="H713" t="s">
        <v>87</v>
      </c>
      <c r="I713" s="1" t="s">
        <v>1366</v>
      </c>
    </row>
    <row r="714" spans="1:9" ht="105" x14ac:dyDescent="0.25">
      <c r="A714" t="s">
        <v>26</v>
      </c>
      <c r="B714" t="s">
        <v>1342</v>
      </c>
      <c r="C714" t="s">
        <v>55</v>
      </c>
      <c r="D714" t="s">
        <v>392</v>
      </c>
      <c r="E714" t="s">
        <v>30</v>
      </c>
      <c r="F714" t="s">
        <v>602</v>
      </c>
      <c r="G714" t="s">
        <v>32</v>
      </c>
      <c r="H714" t="s">
        <v>87</v>
      </c>
      <c r="I714" s="1" t="s">
        <v>1367</v>
      </c>
    </row>
    <row r="715" spans="1:9" ht="45" x14ac:dyDescent="0.25">
      <c r="A715" t="s">
        <v>26</v>
      </c>
      <c r="B715" t="s">
        <v>1342</v>
      </c>
      <c r="C715" t="s">
        <v>50</v>
      </c>
      <c r="D715" t="s">
        <v>1013</v>
      </c>
      <c r="E715" t="s">
        <v>30</v>
      </c>
      <c r="F715" t="s">
        <v>166</v>
      </c>
      <c r="G715" t="s">
        <v>32</v>
      </c>
      <c r="H715" t="s">
        <v>33</v>
      </c>
      <c r="I715" s="1" t="s">
        <v>1368</v>
      </c>
    </row>
    <row r="716" spans="1:9" ht="75" x14ac:dyDescent="0.25">
      <c r="A716" t="s">
        <v>26</v>
      </c>
      <c r="B716" t="s">
        <v>1342</v>
      </c>
      <c r="C716" t="s">
        <v>50</v>
      </c>
      <c r="D716" t="s">
        <v>801</v>
      </c>
      <c r="E716" t="s">
        <v>30</v>
      </c>
      <c r="F716" t="s">
        <v>94</v>
      </c>
      <c r="G716" t="s">
        <v>32</v>
      </c>
      <c r="H716" t="s">
        <v>33</v>
      </c>
      <c r="I716" s="1" t="s">
        <v>1369</v>
      </c>
    </row>
    <row r="717" spans="1:9" ht="120" x14ac:dyDescent="0.25">
      <c r="A717" t="s">
        <v>26</v>
      </c>
      <c r="B717" t="s">
        <v>1342</v>
      </c>
      <c r="C717" t="s">
        <v>44</v>
      </c>
      <c r="D717" t="s">
        <v>616</v>
      </c>
      <c r="E717" t="s">
        <v>30</v>
      </c>
      <c r="F717" t="s">
        <v>61</v>
      </c>
      <c r="G717" t="s">
        <v>32</v>
      </c>
      <c r="H717" t="s">
        <v>87</v>
      </c>
      <c r="I717" s="1" t="s">
        <v>1370</v>
      </c>
    </row>
    <row r="718" spans="1:9" ht="135" x14ac:dyDescent="0.25">
      <c r="A718" t="s">
        <v>49</v>
      </c>
      <c r="B718" t="s">
        <v>1342</v>
      </c>
      <c r="C718" t="s">
        <v>240</v>
      </c>
      <c r="D718" t="s">
        <v>703</v>
      </c>
      <c r="E718" t="s">
        <v>30</v>
      </c>
      <c r="F718" t="s">
        <v>446</v>
      </c>
      <c r="G718" t="s">
        <v>32</v>
      </c>
      <c r="H718" t="s">
        <v>173</v>
      </c>
      <c r="I718" s="1" t="s">
        <v>1371</v>
      </c>
    </row>
    <row r="719" spans="1:9" ht="90" x14ac:dyDescent="0.25">
      <c r="A719" t="s">
        <v>26</v>
      </c>
      <c r="B719" t="s">
        <v>1342</v>
      </c>
      <c r="C719" t="s">
        <v>180</v>
      </c>
      <c r="D719" t="s">
        <v>1297</v>
      </c>
      <c r="E719" t="s">
        <v>79</v>
      </c>
      <c r="F719" t="s">
        <v>136</v>
      </c>
      <c r="G719" t="s">
        <v>32</v>
      </c>
      <c r="H719" t="s">
        <v>87</v>
      </c>
      <c r="I719" s="1" t="s">
        <v>1372</v>
      </c>
    </row>
    <row r="720" spans="1:9" ht="75" x14ac:dyDescent="0.25">
      <c r="A720" t="s">
        <v>26</v>
      </c>
      <c r="B720" t="s">
        <v>1342</v>
      </c>
      <c r="C720" t="s">
        <v>180</v>
      </c>
      <c r="D720" t="s">
        <v>181</v>
      </c>
      <c r="E720" t="s">
        <v>30</v>
      </c>
      <c r="F720" t="s">
        <v>61</v>
      </c>
      <c r="G720" t="s">
        <v>69</v>
      </c>
      <c r="H720" t="s">
        <v>33</v>
      </c>
      <c r="I720" s="1" t="s">
        <v>1373</v>
      </c>
    </row>
    <row r="721" spans="1:9" ht="60" x14ac:dyDescent="0.25">
      <c r="A721" t="s">
        <v>49</v>
      </c>
      <c r="B721" t="s">
        <v>1342</v>
      </c>
      <c r="C721" t="s">
        <v>50</v>
      </c>
      <c r="D721" t="s">
        <v>1374</v>
      </c>
      <c r="E721" t="s">
        <v>30</v>
      </c>
      <c r="F721" t="s">
        <v>166</v>
      </c>
      <c r="G721" t="s">
        <v>32</v>
      </c>
      <c r="H721" t="s">
        <v>33</v>
      </c>
      <c r="I721" s="1" t="s">
        <v>1375</v>
      </c>
    </row>
    <row r="722" spans="1:9" ht="30" x14ac:dyDescent="0.25">
      <c r="A722" t="s">
        <v>49</v>
      </c>
      <c r="B722" t="s">
        <v>1342</v>
      </c>
      <c r="C722" t="s">
        <v>106</v>
      </c>
      <c r="D722" t="s">
        <v>169</v>
      </c>
      <c r="E722" t="s">
        <v>30</v>
      </c>
      <c r="F722" t="s">
        <v>126</v>
      </c>
      <c r="G722" t="s">
        <v>32</v>
      </c>
      <c r="H722" t="s">
        <v>173</v>
      </c>
      <c r="I722" s="1" t="s">
        <v>1376</v>
      </c>
    </row>
    <row r="723" spans="1:9" ht="30" x14ac:dyDescent="0.25">
      <c r="A723" t="s">
        <v>26</v>
      </c>
      <c r="B723" t="s">
        <v>1342</v>
      </c>
      <c r="C723" t="s">
        <v>44</v>
      </c>
      <c r="D723" t="s">
        <v>165</v>
      </c>
      <c r="E723" t="s">
        <v>30</v>
      </c>
      <c r="F723" t="s">
        <v>61</v>
      </c>
      <c r="G723" t="s">
        <v>69</v>
      </c>
      <c r="H723" t="s">
        <v>87</v>
      </c>
      <c r="I723" s="1" t="s">
        <v>1377</v>
      </c>
    </row>
    <row r="724" spans="1:9" ht="60" x14ac:dyDescent="0.25">
      <c r="A724" t="s">
        <v>26</v>
      </c>
      <c r="B724" t="s">
        <v>1342</v>
      </c>
      <c r="C724" t="s">
        <v>180</v>
      </c>
      <c r="D724" t="s">
        <v>1378</v>
      </c>
      <c r="E724" t="s">
        <v>30</v>
      </c>
      <c r="F724" t="s">
        <v>177</v>
      </c>
      <c r="G724" t="s">
        <v>32</v>
      </c>
      <c r="H724" t="s">
        <v>87</v>
      </c>
      <c r="I724" s="1" t="s">
        <v>1379</v>
      </c>
    </row>
    <row r="725" spans="1:9" ht="30" x14ac:dyDescent="0.25">
      <c r="A725" t="s">
        <v>49</v>
      </c>
      <c r="B725" t="s">
        <v>1342</v>
      </c>
      <c r="C725" t="s">
        <v>50</v>
      </c>
      <c r="D725" t="s">
        <v>1380</v>
      </c>
      <c r="E725" t="s">
        <v>30</v>
      </c>
      <c r="F725" t="s">
        <v>196</v>
      </c>
      <c r="G725" t="s">
        <v>69</v>
      </c>
      <c r="H725" t="s">
        <v>33</v>
      </c>
      <c r="I725" s="1" t="s">
        <v>1381</v>
      </c>
    </row>
    <row r="726" spans="1:9" ht="105" x14ac:dyDescent="0.25">
      <c r="A726" t="s">
        <v>49</v>
      </c>
      <c r="B726" t="s">
        <v>1342</v>
      </c>
      <c r="C726" t="s">
        <v>235</v>
      </c>
      <c r="D726" t="s">
        <v>327</v>
      </c>
      <c r="E726" t="s">
        <v>30</v>
      </c>
      <c r="F726" t="s">
        <v>94</v>
      </c>
      <c r="G726" t="s">
        <v>32</v>
      </c>
      <c r="H726" t="s">
        <v>87</v>
      </c>
      <c r="I726" s="1" t="s">
        <v>1382</v>
      </c>
    </row>
    <row r="727" spans="1:9" ht="75" x14ac:dyDescent="0.25">
      <c r="A727" t="s">
        <v>26</v>
      </c>
      <c r="B727" t="s">
        <v>1342</v>
      </c>
      <c r="C727" t="s">
        <v>44</v>
      </c>
      <c r="D727" t="s">
        <v>655</v>
      </c>
      <c r="E727" t="s">
        <v>30</v>
      </c>
      <c r="F727" t="s">
        <v>46</v>
      </c>
      <c r="G727" t="s">
        <v>32</v>
      </c>
      <c r="H727" t="s">
        <v>87</v>
      </c>
      <c r="I727" s="1" t="s">
        <v>1383</v>
      </c>
    </row>
    <row r="728" spans="1:9" ht="90" x14ac:dyDescent="0.25">
      <c r="A728" t="s">
        <v>26</v>
      </c>
      <c r="B728" t="s">
        <v>1342</v>
      </c>
      <c r="C728" t="s">
        <v>44</v>
      </c>
      <c r="D728" t="s">
        <v>616</v>
      </c>
      <c r="E728" t="s">
        <v>30</v>
      </c>
      <c r="F728" t="s">
        <v>186</v>
      </c>
      <c r="G728" t="s">
        <v>81</v>
      </c>
      <c r="H728" t="s">
        <v>87</v>
      </c>
      <c r="I728" s="1" t="s">
        <v>1384</v>
      </c>
    </row>
    <row r="729" spans="1:9" ht="90" x14ac:dyDescent="0.25">
      <c r="A729" t="s">
        <v>26</v>
      </c>
      <c r="B729" t="s">
        <v>1342</v>
      </c>
      <c r="C729" t="s">
        <v>44</v>
      </c>
      <c r="D729" t="s">
        <v>643</v>
      </c>
      <c r="E729" t="s">
        <v>30</v>
      </c>
      <c r="F729" t="s">
        <v>389</v>
      </c>
      <c r="G729" t="s">
        <v>32</v>
      </c>
      <c r="H729" t="s">
        <v>173</v>
      </c>
      <c r="I729" s="1" t="s">
        <v>1385</v>
      </c>
    </row>
    <row r="730" spans="1:9" ht="45" x14ac:dyDescent="0.25">
      <c r="A730" t="s">
        <v>49</v>
      </c>
      <c r="B730" t="s">
        <v>1342</v>
      </c>
      <c r="C730" t="s">
        <v>85</v>
      </c>
      <c r="D730" t="s">
        <v>510</v>
      </c>
      <c r="E730" t="s">
        <v>30</v>
      </c>
      <c r="F730" t="s">
        <v>166</v>
      </c>
      <c r="G730" t="s">
        <v>32</v>
      </c>
      <c r="H730" t="s">
        <v>87</v>
      </c>
      <c r="I730" s="1" t="s">
        <v>1386</v>
      </c>
    </row>
    <row r="731" spans="1:9" ht="105" x14ac:dyDescent="0.25">
      <c r="A731" t="s">
        <v>26</v>
      </c>
      <c r="B731" t="s">
        <v>1342</v>
      </c>
      <c r="C731" t="s">
        <v>28</v>
      </c>
      <c r="D731" t="s">
        <v>1387</v>
      </c>
      <c r="E731" t="s">
        <v>30</v>
      </c>
      <c r="F731" t="s">
        <v>94</v>
      </c>
      <c r="G731" t="s">
        <v>69</v>
      </c>
      <c r="H731" t="s">
        <v>33</v>
      </c>
      <c r="I731" s="1" t="s">
        <v>1388</v>
      </c>
    </row>
    <row r="732" spans="1:9" x14ac:dyDescent="0.25">
      <c r="A732" t="s">
        <v>26</v>
      </c>
      <c r="B732" t="s">
        <v>1342</v>
      </c>
      <c r="C732" t="s">
        <v>85</v>
      </c>
      <c r="D732" t="s">
        <v>86</v>
      </c>
      <c r="E732" t="s">
        <v>30</v>
      </c>
      <c r="F732" t="s">
        <v>587</v>
      </c>
      <c r="G732" t="s">
        <v>69</v>
      </c>
      <c r="H732" t="s">
        <v>173</v>
      </c>
      <c r="I732" s="1" t="s">
        <v>1389</v>
      </c>
    </row>
    <row r="733" spans="1:9" x14ac:dyDescent="0.25">
      <c r="A733" t="s">
        <v>26</v>
      </c>
      <c r="B733" t="s">
        <v>1342</v>
      </c>
      <c r="C733" t="s">
        <v>55</v>
      </c>
      <c r="D733" t="s">
        <v>1053</v>
      </c>
      <c r="E733" t="s">
        <v>30</v>
      </c>
      <c r="F733" t="s">
        <v>446</v>
      </c>
      <c r="G733" t="s">
        <v>81</v>
      </c>
      <c r="H733" t="s">
        <v>87</v>
      </c>
      <c r="I733" s="1" t="s">
        <v>1390</v>
      </c>
    </row>
    <row r="734" spans="1:9" ht="30" x14ac:dyDescent="0.25">
      <c r="A734" t="s">
        <v>49</v>
      </c>
      <c r="B734" t="s">
        <v>1342</v>
      </c>
      <c r="C734" t="s">
        <v>28</v>
      </c>
      <c r="D734" t="s">
        <v>1391</v>
      </c>
      <c r="E734" t="s">
        <v>30</v>
      </c>
      <c r="F734" t="s">
        <v>389</v>
      </c>
      <c r="G734" t="s">
        <v>69</v>
      </c>
      <c r="H734" t="s">
        <v>87</v>
      </c>
      <c r="I734" s="1" t="s">
        <v>1392</v>
      </c>
    </row>
    <row r="735" spans="1:9" ht="105" x14ac:dyDescent="0.25">
      <c r="A735" t="s">
        <v>49</v>
      </c>
      <c r="B735" t="s">
        <v>1342</v>
      </c>
      <c r="C735" t="s">
        <v>106</v>
      </c>
      <c r="D735" t="s">
        <v>107</v>
      </c>
      <c r="E735" t="s">
        <v>30</v>
      </c>
      <c r="F735" t="s">
        <v>108</v>
      </c>
      <c r="G735" t="s">
        <v>32</v>
      </c>
      <c r="H735" t="s">
        <v>33</v>
      </c>
      <c r="I735" s="1" t="s">
        <v>1393</v>
      </c>
    </row>
    <row r="736" spans="1:9" ht="90" x14ac:dyDescent="0.25">
      <c r="A736" t="s">
        <v>49</v>
      </c>
      <c r="B736" t="s">
        <v>1342</v>
      </c>
      <c r="C736" t="s">
        <v>96</v>
      </c>
      <c r="D736" t="s">
        <v>1152</v>
      </c>
      <c r="E736" t="s">
        <v>30</v>
      </c>
      <c r="F736" t="s">
        <v>102</v>
      </c>
      <c r="G736" t="s">
        <v>38</v>
      </c>
      <c r="H736" t="s">
        <v>87</v>
      </c>
      <c r="I736" s="1" t="s">
        <v>1394</v>
      </c>
    </row>
    <row r="737" spans="1:9" ht="45" x14ac:dyDescent="0.25">
      <c r="A737" t="s">
        <v>49</v>
      </c>
      <c r="B737" t="s">
        <v>1342</v>
      </c>
      <c r="C737" t="s">
        <v>106</v>
      </c>
      <c r="D737" t="s">
        <v>605</v>
      </c>
      <c r="E737" t="s">
        <v>30</v>
      </c>
      <c r="F737" t="s">
        <v>130</v>
      </c>
      <c r="G737" t="s">
        <v>32</v>
      </c>
      <c r="H737" t="s">
        <v>87</v>
      </c>
      <c r="I737" s="1" t="s">
        <v>1395</v>
      </c>
    </row>
    <row r="738" spans="1:9" ht="45" x14ac:dyDescent="0.25">
      <c r="A738" t="s">
        <v>91</v>
      </c>
      <c r="B738" t="s">
        <v>1342</v>
      </c>
      <c r="C738" t="s">
        <v>106</v>
      </c>
      <c r="D738" t="s">
        <v>150</v>
      </c>
      <c r="E738" t="s">
        <v>30</v>
      </c>
      <c r="F738" t="s">
        <v>216</v>
      </c>
      <c r="G738" t="s">
        <v>32</v>
      </c>
      <c r="H738" t="s">
        <v>173</v>
      </c>
      <c r="I738" s="1" t="s">
        <v>1396</v>
      </c>
    </row>
    <row r="739" spans="1:9" ht="135" x14ac:dyDescent="0.25">
      <c r="A739" t="s">
        <v>91</v>
      </c>
      <c r="B739" t="s">
        <v>1342</v>
      </c>
      <c r="C739" t="s">
        <v>235</v>
      </c>
      <c r="D739" t="s">
        <v>236</v>
      </c>
      <c r="E739" t="s">
        <v>30</v>
      </c>
      <c r="F739" t="s">
        <v>1397</v>
      </c>
      <c r="G739" t="s">
        <v>32</v>
      </c>
      <c r="H739" t="s">
        <v>173</v>
      </c>
      <c r="I739" s="1" t="s">
        <v>1398</v>
      </c>
    </row>
    <row r="740" spans="1:9" ht="45" x14ac:dyDescent="0.25">
      <c r="A740" t="s">
        <v>49</v>
      </c>
      <c r="B740" t="s">
        <v>1342</v>
      </c>
      <c r="C740" t="s">
        <v>50</v>
      </c>
      <c r="D740" t="s">
        <v>1013</v>
      </c>
      <c r="E740" t="s">
        <v>30</v>
      </c>
      <c r="F740" t="s">
        <v>1142</v>
      </c>
      <c r="G740" t="s">
        <v>69</v>
      </c>
      <c r="H740" t="s">
        <v>173</v>
      </c>
      <c r="I740" s="1" t="s">
        <v>1399</v>
      </c>
    </row>
    <row r="741" spans="1:9" ht="105" x14ac:dyDescent="0.25">
      <c r="A741" t="s">
        <v>37</v>
      </c>
      <c r="B741" t="s">
        <v>1342</v>
      </c>
      <c r="C741" t="s">
        <v>92</v>
      </c>
      <c r="D741" t="s">
        <v>629</v>
      </c>
      <c r="E741" t="s">
        <v>30</v>
      </c>
      <c r="F741" t="s">
        <v>196</v>
      </c>
      <c r="G741" t="s">
        <v>81</v>
      </c>
      <c r="H741" t="s">
        <v>87</v>
      </c>
      <c r="I741" s="1" t="s">
        <v>1400</v>
      </c>
    </row>
    <row r="742" spans="1:9" ht="75" x14ac:dyDescent="0.25">
      <c r="A742" t="s">
        <v>37</v>
      </c>
      <c r="B742" t="s">
        <v>1342</v>
      </c>
      <c r="C742" t="s">
        <v>235</v>
      </c>
      <c r="D742" t="s">
        <v>1285</v>
      </c>
      <c r="E742" t="s">
        <v>30</v>
      </c>
      <c r="F742" t="s">
        <v>46</v>
      </c>
      <c r="G742" t="s">
        <v>32</v>
      </c>
      <c r="H742" t="s">
        <v>33</v>
      </c>
      <c r="I742" s="1" t="s">
        <v>1401</v>
      </c>
    </row>
    <row r="743" spans="1:9" ht="60" x14ac:dyDescent="0.25">
      <c r="A743" t="s">
        <v>37</v>
      </c>
      <c r="B743" t="s">
        <v>1342</v>
      </c>
      <c r="C743" t="s">
        <v>55</v>
      </c>
      <c r="D743" t="s">
        <v>535</v>
      </c>
      <c r="E743" t="s">
        <v>30</v>
      </c>
      <c r="F743" t="s">
        <v>126</v>
      </c>
      <c r="G743" t="s">
        <v>32</v>
      </c>
      <c r="H743" t="s">
        <v>33</v>
      </c>
      <c r="I743" s="1" t="s">
        <v>1402</v>
      </c>
    </row>
    <row r="744" spans="1:9" ht="105" x14ac:dyDescent="0.25">
      <c r="A744" t="s">
        <v>91</v>
      </c>
      <c r="B744" t="s">
        <v>1342</v>
      </c>
      <c r="C744" t="s">
        <v>50</v>
      </c>
      <c r="D744" t="s">
        <v>563</v>
      </c>
      <c r="E744" t="s">
        <v>30</v>
      </c>
      <c r="F744" t="s">
        <v>112</v>
      </c>
      <c r="G744" t="s">
        <v>81</v>
      </c>
      <c r="H744" t="s">
        <v>33</v>
      </c>
      <c r="I744" s="1" t="s">
        <v>1403</v>
      </c>
    </row>
    <row r="745" spans="1:9" ht="60" x14ac:dyDescent="0.25">
      <c r="A745" t="s">
        <v>59</v>
      </c>
      <c r="B745" t="s">
        <v>1342</v>
      </c>
      <c r="C745" t="s">
        <v>240</v>
      </c>
      <c r="D745" t="s">
        <v>1404</v>
      </c>
      <c r="E745" t="s">
        <v>30</v>
      </c>
      <c r="F745" t="s">
        <v>94</v>
      </c>
      <c r="G745" t="s">
        <v>69</v>
      </c>
      <c r="H745" t="s">
        <v>87</v>
      </c>
      <c r="I745" s="1" t="s">
        <v>1405</v>
      </c>
    </row>
    <row r="746" spans="1:9" ht="105" x14ac:dyDescent="0.25">
      <c r="A746" t="s">
        <v>26</v>
      </c>
      <c r="B746" t="s">
        <v>1406</v>
      </c>
      <c r="C746" t="s">
        <v>249</v>
      </c>
      <c r="D746" t="s">
        <v>657</v>
      </c>
      <c r="E746" t="s">
        <v>30</v>
      </c>
      <c r="F746" t="s">
        <v>196</v>
      </c>
      <c r="G746" t="s">
        <v>32</v>
      </c>
      <c r="H746" t="s">
        <v>87</v>
      </c>
      <c r="I746" s="1" t="s">
        <v>1407</v>
      </c>
    </row>
    <row r="747" spans="1:9" ht="45" x14ac:dyDescent="0.25">
      <c r="A747" t="s">
        <v>26</v>
      </c>
      <c r="B747" t="s">
        <v>1406</v>
      </c>
      <c r="C747" t="s">
        <v>106</v>
      </c>
      <c r="D747" t="s">
        <v>169</v>
      </c>
      <c r="E747" t="s">
        <v>30</v>
      </c>
      <c r="F747" t="s">
        <v>166</v>
      </c>
      <c r="G747" t="s">
        <v>69</v>
      </c>
      <c r="H747" t="s">
        <v>173</v>
      </c>
      <c r="I747" s="1" t="s">
        <v>1408</v>
      </c>
    </row>
    <row r="748" spans="1:9" ht="75" x14ac:dyDescent="0.25">
      <c r="A748" t="s">
        <v>26</v>
      </c>
      <c r="B748" t="s">
        <v>1406</v>
      </c>
      <c r="C748" t="s">
        <v>240</v>
      </c>
      <c r="D748" t="s">
        <v>882</v>
      </c>
      <c r="E748" t="s">
        <v>30</v>
      </c>
      <c r="F748" t="s">
        <v>102</v>
      </c>
      <c r="G748" t="s">
        <v>32</v>
      </c>
      <c r="H748" t="s">
        <v>173</v>
      </c>
      <c r="I748" s="1" t="s">
        <v>1409</v>
      </c>
    </row>
    <row r="749" spans="1:9" ht="90" x14ac:dyDescent="0.25">
      <c r="A749" t="s">
        <v>26</v>
      </c>
      <c r="B749" t="s">
        <v>1406</v>
      </c>
      <c r="C749" t="s">
        <v>69</v>
      </c>
      <c r="D749" t="s">
        <v>160</v>
      </c>
      <c r="E749" t="s">
        <v>30</v>
      </c>
      <c r="F749" t="s">
        <v>112</v>
      </c>
      <c r="G749" t="s">
        <v>32</v>
      </c>
      <c r="H749" t="s">
        <v>33</v>
      </c>
      <c r="I749" s="1" t="s">
        <v>1410</v>
      </c>
    </row>
    <row r="750" spans="1:9" ht="30" x14ac:dyDescent="0.25">
      <c r="A750" t="s">
        <v>26</v>
      </c>
      <c r="B750" t="s">
        <v>1406</v>
      </c>
      <c r="C750" t="s">
        <v>28</v>
      </c>
      <c r="D750" t="s">
        <v>522</v>
      </c>
      <c r="E750" t="s">
        <v>30</v>
      </c>
      <c r="F750" t="s">
        <v>136</v>
      </c>
      <c r="G750" t="s">
        <v>69</v>
      </c>
      <c r="H750" t="s">
        <v>87</v>
      </c>
      <c r="I750" s="1" t="s">
        <v>1411</v>
      </c>
    </row>
    <row r="751" spans="1:9" ht="90" x14ac:dyDescent="0.25">
      <c r="A751" t="s">
        <v>49</v>
      </c>
      <c r="B751" t="s">
        <v>1406</v>
      </c>
      <c r="C751" t="s">
        <v>55</v>
      </c>
      <c r="D751" t="s">
        <v>382</v>
      </c>
      <c r="E751" t="s">
        <v>30</v>
      </c>
      <c r="F751" t="s">
        <v>112</v>
      </c>
      <c r="G751" t="s">
        <v>69</v>
      </c>
      <c r="H751" t="s">
        <v>173</v>
      </c>
      <c r="I751" s="1" t="s">
        <v>1412</v>
      </c>
    </row>
    <row r="752" spans="1:9" ht="90" x14ac:dyDescent="0.25">
      <c r="A752" t="s">
        <v>37</v>
      </c>
      <c r="B752" t="s">
        <v>1406</v>
      </c>
      <c r="C752" t="s">
        <v>180</v>
      </c>
      <c r="D752" t="s">
        <v>181</v>
      </c>
      <c r="E752" t="s">
        <v>30</v>
      </c>
      <c r="F752" t="s">
        <v>196</v>
      </c>
      <c r="G752" t="s">
        <v>69</v>
      </c>
      <c r="H752" t="s">
        <v>87</v>
      </c>
      <c r="I752" s="1" t="s">
        <v>1413</v>
      </c>
    </row>
    <row r="753" spans="1:9" ht="30" x14ac:dyDescent="0.25">
      <c r="A753" t="s">
        <v>26</v>
      </c>
      <c r="B753" t="s">
        <v>1244</v>
      </c>
      <c r="C753" t="s">
        <v>263</v>
      </c>
      <c r="D753" t="s">
        <v>1128</v>
      </c>
      <c r="E753" t="s">
        <v>30</v>
      </c>
      <c r="F753" t="s">
        <v>98</v>
      </c>
      <c r="G753" t="s">
        <v>32</v>
      </c>
      <c r="H753" t="s">
        <v>33</v>
      </c>
      <c r="I753" s="1" t="s">
        <v>1414</v>
      </c>
    </row>
    <row r="754" spans="1:9" ht="90" x14ac:dyDescent="0.25">
      <c r="A754" t="s">
        <v>26</v>
      </c>
      <c r="B754" t="s">
        <v>1244</v>
      </c>
      <c r="C754" t="s">
        <v>263</v>
      </c>
      <c r="D754" t="s">
        <v>1415</v>
      </c>
      <c r="E754" t="s">
        <v>30</v>
      </c>
      <c r="F754" t="s">
        <v>154</v>
      </c>
      <c r="G754" t="s">
        <v>32</v>
      </c>
      <c r="H754" t="s">
        <v>87</v>
      </c>
      <c r="I754" s="1" t="s">
        <v>1416</v>
      </c>
    </row>
    <row r="755" spans="1:9" ht="90" x14ac:dyDescent="0.25">
      <c r="A755" t="s">
        <v>26</v>
      </c>
      <c r="B755" t="s">
        <v>1244</v>
      </c>
      <c r="C755" t="s">
        <v>240</v>
      </c>
      <c r="D755" t="s">
        <v>1417</v>
      </c>
      <c r="E755" t="s">
        <v>79</v>
      </c>
      <c r="F755" t="s">
        <v>280</v>
      </c>
      <c r="G755" t="s">
        <v>69</v>
      </c>
      <c r="H755" t="s">
        <v>173</v>
      </c>
      <c r="I755" s="1" t="s">
        <v>1418</v>
      </c>
    </row>
    <row r="756" spans="1:9" ht="75" x14ac:dyDescent="0.25">
      <c r="A756" t="s">
        <v>26</v>
      </c>
      <c r="B756" t="s">
        <v>1244</v>
      </c>
      <c r="C756" t="s">
        <v>263</v>
      </c>
      <c r="D756" t="s">
        <v>457</v>
      </c>
      <c r="E756" t="s">
        <v>30</v>
      </c>
      <c r="F756" t="s">
        <v>94</v>
      </c>
      <c r="G756" t="s">
        <v>69</v>
      </c>
      <c r="H756" t="s">
        <v>173</v>
      </c>
      <c r="I756" s="1" t="s">
        <v>1419</v>
      </c>
    </row>
    <row r="757" spans="1:9" ht="45" x14ac:dyDescent="0.25">
      <c r="A757" t="s">
        <v>26</v>
      </c>
      <c r="B757" t="s">
        <v>1244</v>
      </c>
      <c r="C757" t="s">
        <v>263</v>
      </c>
      <c r="D757" t="s">
        <v>841</v>
      </c>
      <c r="E757" t="s">
        <v>30</v>
      </c>
      <c r="F757" t="s">
        <v>205</v>
      </c>
      <c r="G757" t="s">
        <v>32</v>
      </c>
      <c r="H757" t="s">
        <v>87</v>
      </c>
      <c r="I757" s="1" t="s">
        <v>1420</v>
      </c>
    </row>
    <row r="758" spans="1:9" ht="105" x14ac:dyDescent="0.25">
      <c r="A758" t="s">
        <v>26</v>
      </c>
      <c r="B758" t="s">
        <v>1244</v>
      </c>
      <c r="C758" t="s">
        <v>73</v>
      </c>
      <c r="D758" t="s">
        <v>157</v>
      </c>
      <c r="E758" t="s">
        <v>30</v>
      </c>
      <c r="F758" t="s">
        <v>154</v>
      </c>
      <c r="G758" t="s">
        <v>69</v>
      </c>
      <c r="H758" t="s">
        <v>173</v>
      </c>
      <c r="I758" s="1" t="s">
        <v>1421</v>
      </c>
    </row>
    <row r="759" spans="1:9" ht="105" x14ac:dyDescent="0.25">
      <c r="A759" t="s">
        <v>26</v>
      </c>
      <c r="B759" t="s">
        <v>1244</v>
      </c>
      <c r="C759" t="s">
        <v>50</v>
      </c>
      <c r="D759" t="s">
        <v>817</v>
      </c>
      <c r="E759" t="s">
        <v>30</v>
      </c>
      <c r="F759" t="s">
        <v>602</v>
      </c>
      <c r="G759" t="s">
        <v>69</v>
      </c>
      <c r="H759" t="s">
        <v>173</v>
      </c>
      <c r="I759" s="1" t="s">
        <v>1422</v>
      </c>
    </row>
    <row r="760" spans="1:9" ht="60" x14ac:dyDescent="0.25">
      <c r="A760" t="s">
        <v>26</v>
      </c>
      <c r="B760" t="s">
        <v>1244</v>
      </c>
      <c r="C760" t="s">
        <v>96</v>
      </c>
      <c r="D760" t="s">
        <v>97</v>
      </c>
      <c r="E760" t="s">
        <v>30</v>
      </c>
      <c r="F760" t="s">
        <v>112</v>
      </c>
      <c r="G760" t="s">
        <v>69</v>
      </c>
      <c r="H760" t="s">
        <v>87</v>
      </c>
      <c r="I760" s="1" t="s">
        <v>1423</v>
      </c>
    </row>
    <row r="761" spans="1:9" ht="75" x14ac:dyDescent="0.25">
      <c r="A761" t="s">
        <v>26</v>
      </c>
      <c r="B761" t="s">
        <v>1244</v>
      </c>
      <c r="C761" t="s">
        <v>249</v>
      </c>
      <c r="D761" t="s">
        <v>657</v>
      </c>
      <c r="E761" t="s">
        <v>79</v>
      </c>
      <c r="F761" t="s">
        <v>136</v>
      </c>
      <c r="G761" t="s">
        <v>32</v>
      </c>
      <c r="H761" t="s">
        <v>87</v>
      </c>
      <c r="I761" s="1" t="s">
        <v>1424</v>
      </c>
    </row>
    <row r="762" spans="1:9" ht="60" x14ac:dyDescent="0.25">
      <c r="A762" t="s">
        <v>26</v>
      </c>
      <c r="B762" t="s">
        <v>1244</v>
      </c>
      <c r="C762" t="s">
        <v>92</v>
      </c>
      <c r="D762" t="s">
        <v>111</v>
      </c>
      <c r="E762" t="s">
        <v>30</v>
      </c>
      <c r="F762" t="s">
        <v>154</v>
      </c>
      <c r="G762" t="s">
        <v>32</v>
      </c>
      <c r="H762" t="s">
        <v>173</v>
      </c>
      <c r="I762" s="1" t="s">
        <v>1425</v>
      </c>
    </row>
    <row r="763" spans="1:9" ht="45" x14ac:dyDescent="0.25">
      <c r="A763" t="s">
        <v>26</v>
      </c>
      <c r="B763" t="s">
        <v>1244</v>
      </c>
      <c r="C763" t="s">
        <v>180</v>
      </c>
      <c r="D763" t="s">
        <v>1105</v>
      </c>
      <c r="E763" t="s">
        <v>30</v>
      </c>
      <c r="F763" t="s">
        <v>189</v>
      </c>
      <c r="G763" t="s">
        <v>32</v>
      </c>
      <c r="H763" t="s">
        <v>173</v>
      </c>
      <c r="I763" s="1" t="s">
        <v>1426</v>
      </c>
    </row>
    <row r="764" spans="1:9" ht="30" x14ac:dyDescent="0.25">
      <c r="A764" t="s">
        <v>26</v>
      </c>
      <c r="B764" t="s">
        <v>1244</v>
      </c>
      <c r="C764" t="s">
        <v>235</v>
      </c>
      <c r="D764" t="s">
        <v>1326</v>
      </c>
      <c r="E764" t="s">
        <v>30</v>
      </c>
      <c r="F764" t="s">
        <v>61</v>
      </c>
      <c r="G764" t="s">
        <v>32</v>
      </c>
      <c r="H764" t="s">
        <v>33</v>
      </c>
      <c r="I764" s="1" t="s">
        <v>1427</v>
      </c>
    </row>
    <row r="765" spans="1:9" ht="45" x14ac:dyDescent="0.25">
      <c r="A765" t="s">
        <v>26</v>
      </c>
      <c r="B765" t="s">
        <v>1244</v>
      </c>
      <c r="C765" t="s">
        <v>249</v>
      </c>
      <c r="D765" t="s">
        <v>424</v>
      </c>
      <c r="E765" t="s">
        <v>30</v>
      </c>
      <c r="F765" t="s">
        <v>389</v>
      </c>
      <c r="G765" t="s">
        <v>32</v>
      </c>
      <c r="H765" t="s">
        <v>33</v>
      </c>
      <c r="I765" s="1" t="s">
        <v>1428</v>
      </c>
    </row>
    <row r="766" spans="1:9" ht="135" x14ac:dyDescent="0.25">
      <c r="A766" t="s">
        <v>26</v>
      </c>
      <c r="B766" t="s">
        <v>1244</v>
      </c>
      <c r="C766" t="s">
        <v>96</v>
      </c>
      <c r="D766" t="s">
        <v>176</v>
      </c>
      <c r="E766" t="s">
        <v>30</v>
      </c>
      <c r="F766" t="s">
        <v>446</v>
      </c>
      <c r="G766" t="s">
        <v>32</v>
      </c>
      <c r="H766" t="s">
        <v>87</v>
      </c>
      <c r="I766" s="1" t="s">
        <v>1429</v>
      </c>
    </row>
    <row r="767" spans="1:9" ht="30" x14ac:dyDescent="0.25">
      <c r="A767" t="s">
        <v>26</v>
      </c>
      <c r="B767" t="s">
        <v>1244</v>
      </c>
      <c r="C767" t="s">
        <v>69</v>
      </c>
      <c r="D767" t="s">
        <v>500</v>
      </c>
      <c r="E767" t="s">
        <v>30</v>
      </c>
      <c r="F767" t="s">
        <v>98</v>
      </c>
      <c r="G767" t="s">
        <v>32</v>
      </c>
      <c r="H767" t="s">
        <v>173</v>
      </c>
      <c r="I767" s="1" t="s">
        <v>1430</v>
      </c>
    </row>
    <row r="768" spans="1:9" ht="105" x14ac:dyDescent="0.25">
      <c r="A768" t="s">
        <v>26</v>
      </c>
      <c r="B768" t="s">
        <v>1244</v>
      </c>
      <c r="C768" t="s">
        <v>50</v>
      </c>
      <c r="D768" t="s">
        <v>226</v>
      </c>
      <c r="E768" t="s">
        <v>30</v>
      </c>
      <c r="F768" t="s">
        <v>130</v>
      </c>
      <c r="G768" t="s">
        <v>81</v>
      </c>
      <c r="H768" t="s">
        <v>173</v>
      </c>
      <c r="I768" s="1" t="s">
        <v>1431</v>
      </c>
    </row>
    <row r="769" spans="1:9" ht="30" x14ac:dyDescent="0.25">
      <c r="A769" t="s">
        <v>26</v>
      </c>
      <c r="B769" t="s">
        <v>1244</v>
      </c>
      <c r="C769" t="s">
        <v>249</v>
      </c>
      <c r="D769" t="s">
        <v>424</v>
      </c>
      <c r="E769" t="s">
        <v>30</v>
      </c>
      <c r="F769" t="s">
        <v>119</v>
      </c>
      <c r="G769" t="s">
        <v>32</v>
      </c>
      <c r="H769" t="s">
        <v>33</v>
      </c>
      <c r="I769" s="1" t="s">
        <v>1432</v>
      </c>
    </row>
    <row r="770" spans="1:9" ht="105" x14ac:dyDescent="0.25">
      <c r="A770" t="s">
        <v>26</v>
      </c>
      <c r="B770" t="s">
        <v>1244</v>
      </c>
      <c r="C770" t="s">
        <v>96</v>
      </c>
      <c r="D770" t="s">
        <v>769</v>
      </c>
      <c r="E770" t="s">
        <v>30</v>
      </c>
      <c r="F770" t="s">
        <v>46</v>
      </c>
      <c r="G770" t="s">
        <v>32</v>
      </c>
      <c r="H770" t="s">
        <v>33</v>
      </c>
      <c r="I770" s="1" t="s">
        <v>1433</v>
      </c>
    </row>
    <row r="771" spans="1:9" ht="60" x14ac:dyDescent="0.25">
      <c r="A771" t="s">
        <v>26</v>
      </c>
      <c r="B771" t="s">
        <v>1244</v>
      </c>
      <c r="C771" t="s">
        <v>69</v>
      </c>
      <c r="D771" t="s">
        <v>500</v>
      </c>
      <c r="E771" t="s">
        <v>30</v>
      </c>
      <c r="F771" t="s">
        <v>627</v>
      </c>
      <c r="G771" t="s">
        <v>32</v>
      </c>
      <c r="H771" t="s">
        <v>33</v>
      </c>
      <c r="I771" s="1" t="s">
        <v>1434</v>
      </c>
    </row>
    <row r="772" spans="1:9" ht="30" x14ac:dyDescent="0.25">
      <c r="A772" t="s">
        <v>26</v>
      </c>
      <c r="B772" t="s">
        <v>1244</v>
      </c>
      <c r="C772" t="s">
        <v>50</v>
      </c>
      <c r="D772" t="s">
        <v>60</v>
      </c>
      <c r="E772" t="s">
        <v>30</v>
      </c>
      <c r="F772" t="s">
        <v>216</v>
      </c>
      <c r="G772" t="s">
        <v>32</v>
      </c>
      <c r="H772" t="s">
        <v>173</v>
      </c>
      <c r="I772" s="1" t="s">
        <v>1435</v>
      </c>
    </row>
    <row r="773" spans="1:9" ht="30" x14ac:dyDescent="0.25">
      <c r="A773" t="s">
        <v>26</v>
      </c>
      <c r="B773" t="s">
        <v>1244</v>
      </c>
      <c r="C773" t="s">
        <v>73</v>
      </c>
      <c r="D773" t="s">
        <v>1436</v>
      </c>
      <c r="E773" t="s">
        <v>30</v>
      </c>
      <c r="F773" t="s">
        <v>196</v>
      </c>
      <c r="G773" t="s">
        <v>32</v>
      </c>
      <c r="H773" t="s">
        <v>87</v>
      </c>
      <c r="I773" s="1" t="s">
        <v>1437</v>
      </c>
    </row>
    <row r="774" spans="1:9" ht="105" x14ac:dyDescent="0.25">
      <c r="A774" t="s">
        <v>26</v>
      </c>
      <c r="B774" t="s">
        <v>1244</v>
      </c>
      <c r="C774" t="s">
        <v>472</v>
      </c>
      <c r="D774" t="s">
        <v>1000</v>
      </c>
      <c r="E774" t="s">
        <v>30</v>
      </c>
      <c r="F774" t="s">
        <v>130</v>
      </c>
      <c r="G774" t="s">
        <v>32</v>
      </c>
      <c r="H774" t="s">
        <v>33</v>
      </c>
      <c r="I774" s="1" t="s">
        <v>1438</v>
      </c>
    </row>
    <row r="775" spans="1:9" ht="30" x14ac:dyDescent="0.25">
      <c r="A775" t="s">
        <v>26</v>
      </c>
      <c r="B775" t="s">
        <v>1244</v>
      </c>
      <c r="C775" t="s">
        <v>85</v>
      </c>
      <c r="D775" t="s">
        <v>616</v>
      </c>
      <c r="E775" t="s">
        <v>30</v>
      </c>
      <c r="F775" t="s">
        <v>216</v>
      </c>
      <c r="G775" t="s">
        <v>32</v>
      </c>
      <c r="H775" t="s">
        <v>33</v>
      </c>
      <c r="I775" s="1" t="s">
        <v>1439</v>
      </c>
    </row>
    <row r="776" spans="1:9" ht="90" x14ac:dyDescent="0.25">
      <c r="A776" t="s">
        <v>26</v>
      </c>
      <c r="B776" t="s">
        <v>1244</v>
      </c>
      <c r="C776" t="s">
        <v>69</v>
      </c>
      <c r="D776" t="s">
        <v>297</v>
      </c>
      <c r="E776" t="s">
        <v>30</v>
      </c>
      <c r="F776" t="s">
        <v>189</v>
      </c>
      <c r="G776" t="s">
        <v>32</v>
      </c>
      <c r="H776" t="s">
        <v>87</v>
      </c>
      <c r="I776" s="1" t="s">
        <v>1440</v>
      </c>
    </row>
    <row r="777" spans="1:9" ht="30" x14ac:dyDescent="0.25">
      <c r="A777" t="s">
        <v>26</v>
      </c>
      <c r="B777" t="s">
        <v>1244</v>
      </c>
      <c r="C777" t="s">
        <v>92</v>
      </c>
      <c r="D777" t="s">
        <v>477</v>
      </c>
      <c r="E777" t="s">
        <v>30</v>
      </c>
      <c r="F777" t="s">
        <v>189</v>
      </c>
      <c r="G777" t="s">
        <v>32</v>
      </c>
      <c r="H777" t="s">
        <v>173</v>
      </c>
      <c r="I777" s="1" t="s">
        <v>1441</v>
      </c>
    </row>
    <row r="778" spans="1:9" ht="90" x14ac:dyDescent="0.25">
      <c r="A778" t="s">
        <v>26</v>
      </c>
      <c r="B778" t="s">
        <v>1244</v>
      </c>
      <c r="C778" t="s">
        <v>180</v>
      </c>
      <c r="D778" t="s">
        <v>1442</v>
      </c>
      <c r="E778" t="s">
        <v>30</v>
      </c>
      <c r="F778" t="s">
        <v>161</v>
      </c>
      <c r="G778" t="s">
        <v>32</v>
      </c>
      <c r="H778" t="s">
        <v>87</v>
      </c>
      <c r="I778" s="1" t="s">
        <v>1443</v>
      </c>
    </row>
    <row r="779" spans="1:9" ht="105" x14ac:dyDescent="0.25">
      <c r="A779" t="s">
        <v>26</v>
      </c>
      <c r="B779" t="s">
        <v>1244</v>
      </c>
      <c r="C779" t="s">
        <v>55</v>
      </c>
      <c r="D779" t="s">
        <v>579</v>
      </c>
      <c r="E779" t="s">
        <v>30</v>
      </c>
      <c r="F779" t="s">
        <v>119</v>
      </c>
      <c r="G779" t="s">
        <v>32</v>
      </c>
      <c r="H779" t="s">
        <v>173</v>
      </c>
      <c r="I779" s="1" t="s">
        <v>1444</v>
      </c>
    </row>
    <row r="780" spans="1:9" ht="60" x14ac:dyDescent="0.25">
      <c r="A780" t="s">
        <v>26</v>
      </c>
      <c r="B780" t="s">
        <v>1244</v>
      </c>
      <c r="C780" t="s">
        <v>32</v>
      </c>
      <c r="D780" t="s">
        <v>1445</v>
      </c>
      <c r="E780" t="s">
        <v>30</v>
      </c>
      <c r="F780" t="s">
        <v>61</v>
      </c>
      <c r="G780" t="s">
        <v>81</v>
      </c>
      <c r="H780" t="s">
        <v>173</v>
      </c>
      <c r="I780" s="1" t="s">
        <v>1446</v>
      </c>
    </row>
    <row r="781" spans="1:9" ht="30" x14ac:dyDescent="0.25">
      <c r="A781" t="s">
        <v>26</v>
      </c>
      <c r="B781" t="s">
        <v>1244</v>
      </c>
      <c r="C781" t="s">
        <v>106</v>
      </c>
      <c r="D781" t="s">
        <v>431</v>
      </c>
      <c r="E781" t="s">
        <v>79</v>
      </c>
      <c r="F781" t="s">
        <v>166</v>
      </c>
      <c r="G781" t="s">
        <v>32</v>
      </c>
      <c r="H781" t="s">
        <v>33</v>
      </c>
      <c r="I781" s="1" t="s">
        <v>1447</v>
      </c>
    </row>
    <row r="782" spans="1:9" ht="45" x14ac:dyDescent="0.25">
      <c r="A782" t="s">
        <v>49</v>
      </c>
      <c r="B782" t="s">
        <v>1244</v>
      </c>
      <c r="C782" t="s">
        <v>249</v>
      </c>
      <c r="D782" t="s">
        <v>306</v>
      </c>
      <c r="E782" t="s">
        <v>30</v>
      </c>
      <c r="F782" t="s">
        <v>307</v>
      </c>
      <c r="G782" t="s">
        <v>32</v>
      </c>
      <c r="H782" t="s">
        <v>33</v>
      </c>
      <c r="I782" s="1" t="s">
        <v>1448</v>
      </c>
    </row>
    <row r="783" spans="1:9" ht="45" x14ac:dyDescent="0.25">
      <c r="A783" t="s">
        <v>49</v>
      </c>
      <c r="B783" t="s">
        <v>1244</v>
      </c>
      <c r="C783" t="s">
        <v>106</v>
      </c>
      <c r="D783" t="s">
        <v>605</v>
      </c>
      <c r="E783" t="s">
        <v>30</v>
      </c>
      <c r="F783" t="s">
        <v>31</v>
      </c>
      <c r="G783" t="s">
        <v>32</v>
      </c>
      <c r="H783" t="s">
        <v>33</v>
      </c>
      <c r="I783" s="1" t="s">
        <v>1449</v>
      </c>
    </row>
    <row r="784" spans="1:9" ht="45" x14ac:dyDescent="0.25">
      <c r="A784" t="s">
        <v>26</v>
      </c>
      <c r="B784" t="s">
        <v>1244</v>
      </c>
      <c r="C784" t="s">
        <v>85</v>
      </c>
      <c r="D784" t="s">
        <v>1450</v>
      </c>
      <c r="E784" t="s">
        <v>30</v>
      </c>
      <c r="F784" t="s">
        <v>614</v>
      </c>
      <c r="G784" t="s">
        <v>32</v>
      </c>
      <c r="H784" t="s">
        <v>33</v>
      </c>
      <c r="I784" s="1" t="s">
        <v>1451</v>
      </c>
    </row>
    <row r="785" spans="1:9" ht="45" x14ac:dyDescent="0.25">
      <c r="A785" t="s">
        <v>26</v>
      </c>
      <c r="B785" t="s">
        <v>1244</v>
      </c>
      <c r="C785" t="s">
        <v>69</v>
      </c>
      <c r="D785" t="s">
        <v>1452</v>
      </c>
      <c r="E785" t="s">
        <v>30</v>
      </c>
      <c r="F785" t="s">
        <v>46</v>
      </c>
      <c r="G785" t="s">
        <v>32</v>
      </c>
      <c r="H785" t="s">
        <v>87</v>
      </c>
      <c r="I785" s="1" t="s">
        <v>1453</v>
      </c>
    </row>
    <row r="786" spans="1:9" ht="105" x14ac:dyDescent="0.25">
      <c r="A786" t="s">
        <v>49</v>
      </c>
      <c r="B786" t="s">
        <v>1244</v>
      </c>
      <c r="C786" t="s">
        <v>249</v>
      </c>
      <c r="D786" t="s">
        <v>1454</v>
      </c>
      <c r="E786" t="s">
        <v>30</v>
      </c>
      <c r="F786" t="s">
        <v>166</v>
      </c>
      <c r="G786" t="s">
        <v>32</v>
      </c>
      <c r="H786" t="s">
        <v>173</v>
      </c>
      <c r="I786" s="1" t="s">
        <v>1455</v>
      </c>
    </row>
    <row r="787" spans="1:9" ht="60" x14ac:dyDescent="0.25">
      <c r="A787" t="s">
        <v>49</v>
      </c>
      <c r="B787" t="s">
        <v>1244</v>
      </c>
      <c r="C787" t="s">
        <v>96</v>
      </c>
      <c r="D787" t="s">
        <v>97</v>
      </c>
      <c r="E787" t="s">
        <v>30</v>
      </c>
      <c r="F787" t="s">
        <v>166</v>
      </c>
      <c r="G787" t="s">
        <v>32</v>
      </c>
      <c r="H787" t="s">
        <v>173</v>
      </c>
      <c r="I787" s="1" t="s">
        <v>1456</v>
      </c>
    </row>
    <row r="788" spans="1:9" ht="90" x14ac:dyDescent="0.25">
      <c r="A788" t="s">
        <v>26</v>
      </c>
      <c r="B788" t="s">
        <v>1244</v>
      </c>
      <c r="C788" t="s">
        <v>85</v>
      </c>
      <c r="D788" t="s">
        <v>899</v>
      </c>
      <c r="E788" t="s">
        <v>30</v>
      </c>
      <c r="F788" t="s">
        <v>417</v>
      </c>
      <c r="G788" t="s">
        <v>32</v>
      </c>
      <c r="H788" t="s">
        <v>33</v>
      </c>
      <c r="I788" s="1" t="s">
        <v>1457</v>
      </c>
    </row>
    <row r="789" spans="1:9" ht="45" x14ac:dyDescent="0.25">
      <c r="A789" t="s">
        <v>26</v>
      </c>
      <c r="B789" t="s">
        <v>1244</v>
      </c>
      <c r="C789" t="s">
        <v>44</v>
      </c>
      <c r="D789" t="s">
        <v>165</v>
      </c>
      <c r="E789" t="s">
        <v>79</v>
      </c>
      <c r="F789" t="s">
        <v>130</v>
      </c>
      <c r="G789" t="s">
        <v>69</v>
      </c>
      <c r="H789" t="s">
        <v>87</v>
      </c>
      <c r="I789" s="1" t="s">
        <v>1458</v>
      </c>
    </row>
    <row r="790" spans="1:9" ht="105" x14ac:dyDescent="0.25">
      <c r="A790" t="s">
        <v>59</v>
      </c>
      <c r="B790" t="s">
        <v>1244</v>
      </c>
      <c r="C790" t="s">
        <v>106</v>
      </c>
      <c r="D790" t="s">
        <v>431</v>
      </c>
      <c r="E790" t="s">
        <v>30</v>
      </c>
      <c r="F790" t="s">
        <v>108</v>
      </c>
      <c r="G790" t="s">
        <v>32</v>
      </c>
      <c r="H790" t="s">
        <v>173</v>
      </c>
      <c r="I790" s="1" t="s">
        <v>1459</v>
      </c>
    </row>
    <row r="791" spans="1:9" ht="105" x14ac:dyDescent="0.25">
      <c r="A791" t="s">
        <v>91</v>
      </c>
      <c r="B791" t="s">
        <v>1244</v>
      </c>
      <c r="C791" t="s">
        <v>235</v>
      </c>
      <c r="D791" t="s">
        <v>1460</v>
      </c>
      <c r="E791" t="s">
        <v>79</v>
      </c>
      <c r="F791" t="s">
        <v>112</v>
      </c>
      <c r="G791" t="s">
        <v>69</v>
      </c>
      <c r="H791" t="s">
        <v>87</v>
      </c>
      <c r="I791" s="1" t="s">
        <v>1461</v>
      </c>
    </row>
    <row r="792" spans="1:9" ht="30" x14ac:dyDescent="0.25">
      <c r="A792" t="s">
        <v>49</v>
      </c>
      <c r="B792" t="s">
        <v>1244</v>
      </c>
      <c r="C792" t="s">
        <v>55</v>
      </c>
      <c r="D792" t="s">
        <v>1462</v>
      </c>
      <c r="E792" t="s">
        <v>30</v>
      </c>
      <c r="F792" t="s">
        <v>543</v>
      </c>
      <c r="G792" t="s">
        <v>32</v>
      </c>
      <c r="H792" t="s">
        <v>33</v>
      </c>
      <c r="I792" s="1" t="s">
        <v>1463</v>
      </c>
    </row>
    <row r="793" spans="1:9" ht="60" x14ac:dyDescent="0.25">
      <c r="A793" t="s">
        <v>26</v>
      </c>
      <c r="B793" t="s">
        <v>1244</v>
      </c>
      <c r="C793" t="s">
        <v>44</v>
      </c>
      <c r="D793" t="s">
        <v>146</v>
      </c>
      <c r="E793" t="s">
        <v>30</v>
      </c>
      <c r="F793" t="s">
        <v>147</v>
      </c>
      <c r="G793" t="s">
        <v>81</v>
      </c>
      <c r="H793" t="s">
        <v>33</v>
      </c>
      <c r="I793" s="1" t="s">
        <v>1464</v>
      </c>
    </row>
    <row r="794" spans="1:9" ht="45" x14ac:dyDescent="0.25">
      <c r="A794" t="s">
        <v>37</v>
      </c>
      <c r="B794" t="s">
        <v>1244</v>
      </c>
      <c r="C794" t="s">
        <v>44</v>
      </c>
      <c r="D794" t="s">
        <v>45</v>
      </c>
      <c r="E794" t="s">
        <v>79</v>
      </c>
      <c r="F794" t="s">
        <v>492</v>
      </c>
      <c r="G794" t="s">
        <v>81</v>
      </c>
      <c r="H794" t="s">
        <v>173</v>
      </c>
      <c r="I794" s="1" t="s">
        <v>1465</v>
      </c>
    </row>
    <row r="795" spans="1:9" ht="105" x14ac:dyDescent="0.25">
      <c r="A795" t="s">
        <v>59</v>
      </c>
      <c r="B795" t="s">
        <v>1244</v>
      </c>
      <c r="C795" t="s">
        <v>92</v>
      </c>
      <c r="D795" t="s">
        <v>692</v>
      </c>
      <c r="E795" t="s">
        <v>30</v>
      </c>
      <c r="F795" t="s">
        <v>119</v>
      </c>
      <c r="G795" t="s">
        <v>32</v>
      </c>
      <c r="H795" t="s">
        <v>87</v>
      </c>
      <c r="I795" s="1" t="s">
        <v>1466</v>
      </c>
    </row>
    <row r="796" spans="1:9" ht="75" x14ac:dyDescent="0.25">
      <c r="A796" t="s">
        <v>64</v>
      </c>
      <c r="B796" t="s">
        <v>1244</v>
      </c>
      <c r="C796" t="s">
        <v>235</v>
      </c>
      <c r="D796" t="s">
        <v>1467</v>
      </c>
      <c r="E796" t="s">
        <v>30</v>
      </c>
      <c r="F796" t="s">
        <v>108</v>
      </c>
      <c r="G796" t="s">
        <v>32</v>
      </c>
      <c r="H796" t="s">
        <v>87</v>
      </c>
      <c r="I796" s="1" t="s">
        <v>1468</v>
      </c>
    </row>
    <row r="797" spans="1:9" ht="45" x14ac:dyDescent="0.25">
      <c r="A797" t="s">
        <v>49</v>
      </c>
      <c r="B797" t="s">
        <v>1244</v>
      </c>
      <c r="C797" t="s">
        <v>240</v>
      </c>
      <c r="D797" t="s">
        <v>1469</v>
      </c>
      <c r="E797" t="s">
        <v>30</v>
      </c>
      <c r="F797" t="s">
        <v>61</v>
      </c>
      <c r="G797" t="s">
        <v>32</v>
      </c>
      <c r="H797" t="s">
        <v>33</v>
      </c>
      <c r="I797" s="1" t="s">
        <v>1470</v>
      </c>
    </row>
    <row r="798" spans="1:9" x14ac:dyDescent="0.25">
      <c r="A798" t="s">
        <v>64</v>
      </c>
      <c r="B798" t="s">
        <v>1244</v>
      </c>
      <c r="C798" t="s">
        <v>85</v>
      </c>
      <c r="D798" t="s">
        <v>616</v>
      </c>
      <c r="E798" t="s">
        <v>79</v>
      </c>
      <c r="F798" t="s">
        <v>290</v>
      </c>
      <c r="G798" t="s">
        <v>32</v>
      </c>
      <c r="H798" t="s">
        <v>173</v>
      </c>
      <c r="I798" s="1" t="s">
        <v>1471</v>
      </c>
    </row>
    <row r="799" spans="1:9" ht="60" x14ac:dyDescent="0.25">
      <c r="A799" t="s">
        <v>37</v>
      </c>
      <c r="B799" t="s">
        <v>1244</v>
      </c>
      <c r="C799" t="s">
        <v>106</v>
      </c>
      <c r="D799" t="s">
        <v>1121</v>
      </c>
      <c r="E799" t="s">
        <v>30</v>
      </c>
      <c r="F799" t="s">
        <v>287</v>
      </c>
      <c r="G799" t="s">
        <v>32</v>
      </c>
      <c r="H799" t="s">
        <v>87</v>
      </c>
      <c r="I799" s="1" t="s">
        <v>1472</v>
      </c>
    </row>
    <row r="800" spans="1:9" ht="45" x14ac:dyDescent="0.25">
      <c r="A800" t="s">
        <v>64</v>
      </c>
      <c r="B800" t="s">
        <v>1244</v>
      </c>
      <c r="C800" t="s">
        <v>69</v>
      </c>
      <c r="D800" t="s">
        <v>1473</v>
      </c>
      <c r="E800" t="s">
        <v>30</v>
      </c>
      <c r="F800" t="s">
        <v>561</v>
      </c>
      <c r="G800" t="s">
        <v>32</v>
      </c>
      <c r="H800" t="s">
        <v>33</v>
      </c>
      <c r="I800" s="1" t="s">
        <v>1474</v>
      </c>
    </row>
    <row r="801" spans="1:9" ht="45" x14ac:dyDescent="0.25">
      <c r="A801" t="s">
        <v>49</v>
      </c>
      <c r="B801" t="s">
        <v>1244</v>
      </c>
      <c r="C801" t="s">
        <v>106</v>
      </c>
      <c r="D801" t="s">
        <v>107</v>
      </c>
      <c r="E801" t="s">
        <v>79</v>
      </c>
      <c r="F801" t="s">
        <v>196</v>
      </c>
      <c r="G801" t="s">
        <v>32</v>
      </c>
      <c r="H801" t="s">
        <v>33</v>
      </c>
      <c r="I801" s="1" t="s">
        <v>1475</v>
      </c>
    </row>
    <row r="802" spans="1:9" ht="30" x14ac:dyDescent="0.25">
      <c r="A802" t="s">
        <v>37</v>
      </c>
      <c r="B802" t="s">
        <v>1244</v>
      </c>
      <c r="C802" t="s">
        <v>50</v>
      </c>
      <c r="D802" t="s">
        <v>817</v>
      </c>
      <c r="E802" t="s">
        <v>30</v>
      </c>
      <c r="F802" t="s">
        <v>216</v>
      </c>
      <c r="G802" t="s">
        <v>69</v>
      </c>
      <c r="H802" t="s">
        <v>33</v>
      </c>
      <c r="I802" s="1" t="s">
        <v>1476</v>
      </c>
    </row>
    <row r="803" spans="1:9" ht="60" x14ac:dyDescent="0.25">
      <c r="A803" t="s">
        <v>49</v>
      </c>
      <c r="B803" t="s">
        <v>1244</v>
      </c>
      <c r="C803" t="s">
        <v>106</v>
      </c>
      <c r="D803" t="s">
        <v>779</v>
      </c>
      <c r="E803" t="s">
        <v>30</v>
      </c>
      <c r="F803" t="s">
        <v>223</v>
      </c>
      <c r="G803" t="s">
        <v>32</v>
      </c>
      <c r="H803" t="s">
        <v>173</v>
      </c>
      <c r="I803" s="1" t="s">
        <v>1477</v>
      </c>
    </row>
    <row r="804" spans="1:9" ht="120" x14ac:dyDescent="0.25">
      <c r="A804" t="s">
        <v>37</v>
      </c>
      <c r="B804" t="s">
        <v>1244</v>
      </c>
      <c r="C804" t="s">
        <v>180</v>
      </c>
      <c r="D804" t="s">
        <v>1105</v>
      </c>
      <c r="E804" t="s">
        <v>30</v>
      </c>
      <c r="F804" t="s">
        <v>1478</v>
      </c>
      <c r="G804" t="s">
        <v>32</v>
      </c>
      <c r="H804" t="s">
        <v>87</v>
      </c>
      <c r="I804" s="1" t="s">
        <v>1479</v>
      </c>
    </row>
    <row r="805" spans="1:9" x14ac:dyDescent="0.25">
      <c r="A805" t="s">
        <v>49</v>
      </c>
      <c r="B805" t="s">
        <v>1244</v>
      </c>
      <c r="C805" t="s">
        <v>472</v>
      </c>
      <c r="D805" t="s">
        <v>973</v>
      </c>
      <c r="E805" t="s">
        <v>79</v>
      </c>
      <c r="F805" t="s">
        <v>260</v>
      </c>
      <c r="G805" t="s">
        <v>69</v>
      </c>
      <c r="H805" t="s">
        <v>33</v>
      </c>
      <c r="I805" s="1" t="s">
        <v>1480</v>
      </c>
    </row>
    <row r="806" spans="1:9" ht="105" x14ac:dyDescent="0.25">
      <c r="A806" t="s">
        <v>49</v>
      </c>
      <c r="B806" t="s">
        <v>1244</v>
      </c>
      <c r="C806" t="s">
        <v>50</v>
      </c>
      <c r="D806" t="s">
        <v>843</v>
      </c>
      <c r="E806" t="s">
        <v>30</v>
      </c>
      <c r="F806" t="s">
        <v>196</v>
      </c>
      <c r="G806" t="s">
        <v>263</v>
      </c>
      <c r="H806" t="s">
        <v>87</v>
      </c>
      <c r="I806" s="1" t="s">
        <v>1481</v>
      </c>
    </row>
    <row r="807" spans="1:9" ht="30" x14ac:dyDescent="0.25">
      <c r="A807" t="s">
        <v>49</v>
      </c>
      <c r="B807" t="s">
        <v>1244</v>
      </c>
      <c r="C807" t="s">
        <v>28</v>
      </c>
      <c r="D807" t="s">
        <v>613</v>
      </c>
      <c r="E807" t="s">
        <v>30</v>
      </c>
      <c r="F807" t="s">
        <v>189</v>
      </c>
      <c r="G807" t="s">
        <v>69</v>
      </c>
      <c r="H807" t="s">
        <v>173</v>
      </c>
      <c r="I807" s="1" t="s">
        <v>1482</v>
      </c>
    </row>
    <row r="808" spans="1:9" ht="60" x14ac:dyDescent="0.25">
      <c r="A808" t="s">
        <v>91</v>
      </c>
      <c r="B808" t="s">
        <v>1244</v>
      </c>
      <c r="C808" t="s">
        <v>249</v>
      </c>
      <c r="D808" t="s">
        <v>657</v>
      </c>
      <c r="E808" t="s">
        <v>30</v>
      </c>
      <c r="F808" t="s">
        <v>154</v>
      </c>
      <c r="G808" t="s">
        <v>32</v>
      </c>
      <c r="H808" t="s">
        <v>173</v>
      </c>
      <c r="I808" s="1" t="s">
        <v>1483</v>
      </c>
    </row>
    <row r="809" spans="1:9" ht="30" x14ac:dyDescent="0.25">
      <c r="A809" t="s">
        <v>59</v>
      </c>
      <c r="B809" t="s">
        <v>1244</v>
      </c>
      <c r="C809" t="s">
        <v>240</v>
      </c>
      <c r="D809" t="s">
        <v>767</v>
      </c>
      <c r="E809" t="s">
        <v>30</v>
      </c>
      <c r="F809" t="s">
        <v>290</v>
      </c>
      <c r="G809" t="s">
        <v>69</v>
      </c>
      <c r="H809" t="s">
        <v>173</v>
      </c>
      <c r="I809" s="1" t="s">
        <v>1484</v>
      </c>
    </row>
    <row r="810" spans="1:9" ht="60" x14ac:dyDescent="0.25">
      <c r="A810" t="s">
        <v>37</v>
      </c>
      <c r="B810" t="s">
        <v>1244</v>
      </c>
      <c r="C810" t="s">
        <v>73</v>
      </c>
      <c r="D810" t="s">
        <v>678</v>
      </c>
      <c r="E810" t="s">
        <v>30</v>
      </c>
      <c r="F810" t="s">
        <v>94</v>
      </c>
      <c r="G810" t="s">
        <v>32</v>
      </c>
      <c r="H810" t="s">
        <v>33</v>
      </c>
      <c r="I810" s="1" t="s">
        <v>1485</v>
      </c>
    </row>
    <row r="811" spans="1:9" x14ac:dyDescent="0.25">
      <c r="A811" t="s">
        <v>37</v>
      </c>
      <c r="B811" t="s">
        <v>1244</v>
      </c>
      <c r="C811" t="s">
        <v>92</v>
      </c>
      <c r="D811" t="s">
        <v>111</v>
      </c>
      <c r="E811" t="s">
        <v>30</v>
      </c>
      <c r="F811" t="s">
        <v>94</v>
      </c>
      <c r="G811" t="s">
        <v>32</v>
      </c>
      <c r="H811" t="s">
        <v>33</v>
      </c>
      <c r="I811" s="1" t="s">
        <v>1486</v>
      </c>
    </row>
    <row r="812" spans="1:9" x14ac:dyDescent="0.25">
      <c r="A812" t="s">
        <v>37</v>
      </c>
      <c r="B812" t="s">
        <v>1244</v>
      </c>
      <c r="C812" t="s">
        <v>106</v>
      </c>
      <c r="D812" t="s">
        <v>605</v>
      </c>
      <c r="E812" t="s">
        <v>30</v>
      </c>
      <c r="F812" t="s">
        <v>166</v>
      </c>
      <c r="G812" t="s">
        <v>69</v>
      </c>
      <c r="H812" t="s">
        <v>87</v>
      </c>
      <c r="I812" s="1" t="s">
        <v>1487</v>
      </c>
    </row>
    <row r="813" spans="1:9" ht="45" x14ac:dyDescent="0.25">
      <c r="A813" t="s">
        <v>37</v>
      </c>
      <c r="B813" t="s">
        <v>1244</v>
      </c>
      <c r="C813" t="s">
        <v>85</v>
      </c>
      <c r="D813" t="s">
        <v>86</v>
      </c>
      <c r="E813" t="s">
        <v>30</v>
      </c>
      <c r="F813" t="s">
        <v>52</v>
      </c>
      <c r="G813" t="s">
        <v>69</v>
      </c>
      <c r="H813" t="s">
        <v>87</v>
      </c>
      <c r="I813" s="1" t="s">
        <v>1488</v>
      </c>
    </row>
    <row r="814" spans="1:9" ht="90" x14ac:dyDescent="0.25">
      <c r="A814" t="s">
        <v>64</v>
      </c>
      <c r="B814" t="s">
        <v>1244</v>
      </c>
      <c r="C814" t="s">
        <v>106</v>
      </c>
      <c r="D814" t="s">
        <v>803</v>
      </c>
      <c r="E814" t="s">
        <v>79</v>
      </c>
      <c r="F814" t="s">
        <v>389</v>
      </c>
      <c r="G814" t="s">
        <v>69</v>
      </c>
      <c r="H814" t="s">
        <v>87</v>
      </c>
      <c r="I814" s="1" t="s">
        <v>1489</v>
      </c>
    </row>
    <row r="815" spans="1:9" ht="75" x14ac:dyDescent="0.25">
      <c r="A815" t="s">
        <v>26</v>
      </c>
      <c r="B815" t="s">
        <v>1248</v>
      </c>
      <c r="C815" t="s">
        <v>263</v>
      </c>
      <c r="D815" t="s">
        <v>457</v>
      </c>
      <c r="E815" t="s">
        <v>30</v>
      </c>
      <c r="F815" t="s">
        <v>130</v>
      </c>
      <c r="G815" t="s">
        <v>81</v>
      </c>
      <c r="H815" t="s">
        <v>87</v>
      </c>
      <c r="I815" s="1" t="s">
        <v>1490</v>
      </c>
    </row>
    <row r="816" spans="1:9" ht="90" x14ac:dyDescent="0.25">
      <c r="A816" t="s">
        <v>26</v>
      </c>
      <c r="B816" t="s">
        <v>1248</v>
      </c>
      <c r="C816" t="s">
        <v>263</v>
      </c>
      <c r="D816" t="s">
        <v>1128</v>
      </c>
      <c r="E816" t="s">
        <v>30</v>
      </c>
      <c r="F816" t="s">
        <v>223</v>
      </c>
      <c r="G816" t="s">
        <v>69</v>
      </c>
      <c r="H816" t="s">
        <v>173</v>
      </c>
      <c r="I816" s="1" t="s">
        <v>1491</v>
      </c>
    </row>
    <row r="817" spans="1:9" ht="90" x14ac:dyDescent="0.25">
      <c r="A817" t="s">
        <v>26</v>
      </c>
      <c r="B817" t="s">
        <v>1248</v>
      </c>
      <c r="C817" t="s">
        <v>249</v>
      </c>
      <c r="D817" t="s">
        <v>880</v>
      </c>
      <c r="E817" t="s">
        <v>30</v>
      </c>
      <c r="F817" t="s">
        <v>280</v>
      </c>
      <c r="G817" t="s">
        <v>32</v>
      </c>
      <c r="H817" t="s">
        <v>87</v>
      </c>
      <c r="I817" s="1" t="s">
        <v>1492</v>
      </c>
    </row>
    <row r="818" spans="1:9" ht="30" x14ac:dyDescent="0.25">
      <c r="A818" t="s">
        <v>26</v>
      </c>
      <c r="B818" t="s">
        <v>1248</v>
      </c>
      <c r="C818" t="s">
        <v>106</v>
      </c>
      <c r="D818" t="s">
        <v>789</v>
      </c>
      <c r="E818" t="s">
        <v>30</v>
      </c>
      <c r="F818" t="s">
        <v>189</v>
      </c>
      <c r="G818" t="s">
        <v>32</v>
      </c>
      <c r="H818" t="s">
        <v>33</v>
      </c>
      <c r="I818" s="1" t="s">
        <v>1493</v>
      </c>
    </row>
    <row r="819" spans="1:9" ht="90" x14ac:dyDescent="0.25">
      <c r="A819" t="s">
        <v>26</v>
      </c>
      <c r="B819" t="s">
        <v>1248</v>
      </c>
      <c r="C819" t="s">
        <v>106</v>
      </c>
      <c r="D819" t="s">
        <v>539</v>
      </c>
      <c r="E819" t="s">
        <v>30</v>
      </c>
      <c r="F819" t="s">
        <v>52</v>
      </c>
      <c r="G819" t="s">
        <v>69</v>
      </c>
      <c r="H819" t="s">
        <v>87</v>
      </c>
      <c r="I819" s="1" t="s">
        <v>1494</v>
      </c>
    </row>
    <row r="820" spans="1:9" ht="30" x14ac:dyDescent="0.25">
      <c r="A820" t="s">
        <v>26</v>
      </c>
      <c r="B820" t="s">
        <v>1248</v>
      </c>
      <c r="C820" t="s">
        <v>249</v>
      </c>
      <c r="D820" t="s">
        <v>776</v>
      </c>
      <c r="E820" t="s">
        <v>30</v>
      </c>
      <c r="F820" t="s">
        <v>446</v>
      </c>
      <c r="G820" t="s">
        <v>69</v>
      </c>
      <c r="H820" t="s">
        <v>173</v>
      </c>
      <c r="I820" s="1" t="s">
        <v>1495</v>
      </c>
    </row>
    <row r="821" spans="1:9" ht="30" x14ac:dyDescent="0.25">
      <c r="A821" t="s">
        <v>26</v>
      </c>
      <c r="B821" t="s">
        <v>1248</v>
      </c>
      <c r="C821" t="s">
        <v>73</v>
      </c>
      <c r="D821" t="s">
        <v>1123</v>
      </c>
      <c r="E821" t="s">
        <v>30</v>
      </c>
      <c r="F821" t="s">
        <v>186</v>
      </c>
      <c r="G821" t="s">
        <v>69</v>
      </c>
      <c r="H821" t="s">
        <v>173</v>
      </c>
      <c r="I821" s="1" t="s">
        <v>1496</v>
      </c>
    </row>
    <row r="822" spans="1:9" ht="75" x14ac:dyDescent="0.25">
      <c r="A822" t="s">
        <v>26</v>
      </c>
      <c r="B822" t="s">
        <v>1248</v>
      </c>
      <c r="C822" t="s">
        <v>50</v>
      </c>
      <c r="D822" t="s">
        <v>226</v>
      </c>
      <c r="E822" t="s">
        <v>30</v>
      </c>
      <c r="F822" t="s">
        <v>112</v>
      </c>
      <c r="G822" t="s">
        <v>32</v>
      </c>
      <c r="H822" t="s">
        <v>33</v>
      </c>
      <c r="I822" s="1" t="s">
        <v>1497</v>
      </c>
    </row>
    <row r="823" spans="1:9" ht="30" x14ac:dyDescent="0.25">
      <c r="A823" t="s">
        <v>26</v>
      </c>
      <c r="B823" t="s">
        <v>1248</v>
      </c>
      <c r="C823" t="s">
        <v>50</v>
      </c>
      <c r="D823" t="s">
        <v>226</v>
      </c>
      <c r="E823" t="s">
        <v>30</v>
      </c>
      <c r="F823" t="s">
        <v>543</v>
      </c>
      <c r="G823" t="s">
        <v>69</v>
      </c>
      <c r="H823" t="s">
        <v>173</v>
      </c>
      <c r="I823" s="1" t="s">
        <v>1498</v>
      </c>
    </row>
    <row r="824" spans="1:9" ht="105" x14ac:dyDescent="0.25">
      <c r="A824" t="s">
        <v>26</v>
      </c>
      <c r="B824" t="s">
        <v>1248</v>
      </c>
      <c r="C824" t="s">
        <v>73</v>
      </c>
      <c r="D824" t="s">
        <v>1147</v>
      </c>
      <c r="E824" t="s">
        <v>30</v>
      </c>
      <c r="F824" t="s">
        <v>177</v>
      </c>
      <c r="G824" t="s">
        <v>32</v>
      </c>
      <c r="H824" t="s">
        <v>33</v>
      </c>
      <c r="I824" s="1" t="s">
        <v>1499</v>
      </c>
    </row>
    <row r="825" spans="1:9" ht="105" x14ac:dyDescent="0.25">
      <c r="A825" t="s">
        <v>26</v>
      </c>
      <c r="B825" t="s">
        <v>1248</v>
      </c>
      <c r="C825" t="s">
        <v>92</v>
      </c>
      <c r="D825" t="s">
        <v>111</v>
      </c>
      <c r="E825" t="s">
        <v>30</v>
      </c>
      <c r="F825" t="s">
        <v>52</v>
      </c>
      <c r="G825" t="s">
        <v>32</v>
      </c>
      <c r="H825" t="s">
        <v>87</v>
      </c>
      <c r="I825" s="1" t="s">
        <v>1500</v>
      </c>
    </row>
    <row r="826" spans="1:9" ht="45" x14ac:dyDescent="0.25">
      <c r="A826" t="s">
        <v>26</v>
      </c>
      <c r="B826" t="s">
        <v>1248</v>
      </c>
      <c r="C826" t="s">
        <v>50</v>
      </c>
      <c r="D826" t="s">
        <v>362</v>
      </c>
      <c r="E826" t="s">
        <v>30</v>
      </c>
      <c r="F826" t="s">
        <v>1014</v>
      </c>
      <c r="G826" t="s">
        <v>32</v>
      </c>
      <c r="H826" t="s">
        <v>87</v>
      </c>
      <c r="I826" s="1" t="s">
        <v>1501</v>
      </c>
    </row>
    <row r="827" spans="1:9" x14ac:dyDescent="0.25">
      <c r="A827" t="s">
        <v>26</v>
      </c>
      <c r="B827" t="s">
        <v>1248</v>
      </c>
      <c r="C827" t="s">
        <v>50</v>
      </c>
      <c r="D827" t="s">
        <v>1502</v>
      </c>
      <c r="E827" t="s">
        <v>79</v>
      </c>
      <c r="F827" t="s">
        <v>290</v>
      </c>
      <c r="G827" t="s">
        <v>32</v>
      </c>
      <c r="H827" t="s">
        <v>33</v>
      </c>
      <c r="I827" s="1" t="s">
        <v>1503</v>
      </c>
    </row>
    <row r="828" spans="1:9" ht="60" x14ac:dyDescent="0.25">
      <c r="A828" t="s">
        <v>26</v>
      </c>
      <c r="B828" t="s">
        <v>1248</v>
      </c>
      <c r="C828" t="s">
        <v>106</v>
      </c>
      <c r="D828" t="s">
        <v>431</v>
      </c>
      <c r="E828" t="s">
        <v>30</v>
      </c>
      <c r="F828" t="s">
        <v>202</v>
      </c>
      <c r="G828" t="s">
        <v>81</v>
      </c>
      <c r="H828" t="s">
        <v>173</v>
      </c>
      <c r="I828" s="1" t="s">
        <v>1504</v>
      </c>
    </row>
    <row r="829" spans="1:9" ht="45" x14ac:dyDescent="0.25">
      <c r="A829" t="s">
        <v>26</v>
      </c>
      <c r="B829" t="s">
        <v>1248</v>
      </c>
      <c r="C829" t="s">
        <v>92</v>
      </c>
      <c r="D829" t="s">
        <v>1505</v>
      </c>
      <c r="E829" t="s">
        <v>79</v>
      </c>
      <c r="F829" t="s">
        <v>98</v>
      </c>
      <c r="G829" t="s">
        <v>69</v>
      </c>
      <c r="H829" t="s">
        <v>33</v>
      </c>
      <c r="I829" s="1" t="s">
        <v>1506</v>
      </c>
    </row>
    <row r="830" spans="1:9" ht="45" x14ac:dyDescent="0.25">
      <c r="A830" t="s">
        <v>26</v>
      </c>
      <c r="B830" t="s">
        <v>1248</v>
      </c>
      <c r="C830" t="s">
        <v>69</v>
      </c>
      <c r="D830" t="s">
        <v>283</v>
      </c>
      <c r="E830" t="s">
        <v>30</v>
      </c>
      <c r="F830" t="s">
        <v>119</v>
      </c>
      <c r="G830" t="s">
        <v>32</v>
      </c>
      <c r="H830" t="s">
        <v>33</v>
      </c>
      <c r="I830" s="1" t="s">
        <v>1507</v>
      </c>
    </row>
    <row r="831" spans="1:9" ht="105" x14ac:dyDescent="0.25">
      <c r="A831" t="s">
        <v>26</v>
      </c>
      <c r="B831" t="s">
        <v>1248</v>
      </c>
      <c r="C831" t="s">
        <v>50</v>
      </c>
      <c r="D831" t="s">
        <v>60</v>
      </c>
      <c r="E831" t="s">
        <v>30</v>
      </c>
      <c r="F831" t="s">
        <v>112</v>
      </c>
      <c r="G831" t="s">
        <v>32</v>
      </c>
      <c r="H831" t="s">
        <v>87</v>
      </c>
      <c r="I831" s="1" t="s">
        <v>1508</v>
      </c>
    </row>
    <row r="832" spans="1:9" ht="105" x14ac:dyDescent="0.25">
      <c r="A832" t="s">
        <v>26</v>
      </c>
      <c r="B832" t="s">
        <v>1248</v>
      </c>
      <c r="C832" t="s">
        <v>106</v>
      </c>
      <c r="D832" t="s">
        <v>1084</v>
      </c>
      <c r="E832" t="s">
        <v>30</v>
      </c>
      <c r="F832" t="s">
        <v>446</v>
      </c>
      <c r="G832" t="s">
        <v>81</v>
      </c>
      <c r="H832" t="s">
        <v>87</v>
      </c>
      <c r="I832" s="1" t="s">
        <v>1509</v>
      </c>
    </row>
    <row r="833" spans="1:9" ht="105" x14ac:dyDescent="0.25">
      <c r="A833" t="s">
        <v>26</v>
      </c>
      <c r="B833" t="s">
        <v>1248</v>
      </c>
      <c r="C833" t="s">
        <v>235</v>
      </c>
      <c r="D833" t="s">
        <v>537</v>
      </c>
      <c r="E833" t="s">
        <v>30</v>
      </c>
      <c r="F833" t="s">
        <v>112</v>
      </c>
      <c r="G833" t="s">
        <v>32</v>
      </c>
      <c r="H833" t="s">
        <v>33</v>
      </c>
      <c r="I833" s="1" t="s">
        <v>1510</v>
      </c>
    </row>
    <row r="834" spans="1:9" ht="105" x14ac:dyDescent="0.25">
      <c r="A834" t="s">
        <v>26</v>
      </c>
      <c r="B834" t="s">
        <v>1248</v>
      </c>
      <c r="C834" t="s">
        <v>44</v>
      </c>
      <c r="D834" t="s">
        <v>514</v>
      </c>
      <c r="E834" t="s">
        <v>30</v>
      </c>
      <c r="F834" t="s">
        <v>389</v>
      </c>
      <c r="G834" t="s">
        <v>32</v>
      </c>
      <c r="H834" t="s">
        <v>87</v>
      </c>
      <c r="I834" s="1" t="s">
        <v>1511</v>
      </c>
    </row>
    <row r="835" spans="1:9" ht="45" x14ac:dyDescent="0.25">
      <c r="A835" t="s">
        <v>26</v>
      </c>
      <c r="B835" t="s">
        <v>1248</v>
      </c>
      <c r="C835" t="s">
        <v>180</v>
      </c>
      <c r="D835" t="s">
        <v>181</v>
      </c>
      <c r="E835" t="s">
        <v>30</v>
      </c>
      <c r="F835" t="s">
        <v>147</v>
      </c>
      <c r="G835" t="s">
        <v>32</v>
      </c>
      <c r="H835" t="s">
        <v>33</v>
      </c>
      <c r="I835" s="1" t="s">
        <v>1512</v>
      </c>
    </row>
    <row r="836" spans="1:9" ht="120" x14ac:dyDescent="0.25">
      <c r="A836" t="s">
        <v>26</v>
      </c>
      <c r="B836" t="s">
        <v>1248</v>
      </c>
      <c r="C836" t="s">
        <v>96</v>
      </c>
      <c r="D836" t="s">
        <v>201</v>
      </c>
      <c r="E836" t="s">
        <v>30</v>
      </c>
      <c r="F836" t="s">
        <v>294</v>
      </c>
      <c r="G836" t="s">
        <v>32</v>
      </c>
      <c r="H836" t="s">
        <v>87</v>
      </c>
      <c r="I836" s="1" t="s">
        <v>1513</v>
      </c>
    </row>
    <row r="837" spans="1:9" ht="75" x14ac:dyDescent="0.25">
      <c r="A837" t="s">
        <v>26</v>
      </c>
      <c r="B837" t="s">
        <v>1248</v>
      </c>
      <c r="C837" t="s">
        <v>50</v>
      </c>
      <c r="D837" t="s">
        <v>1013</v>
      </c>
      <c r="E837" t="s">
        <v>30</v>
      </c>
      <c r="F837" t="s">
        <v>119</v>
      </c>
      <c r="G837" t="s">
        <v>69</v>
      </c>
      <c r="H837" t="s">
        <v>33</v>
      </c>
      <c r="I837" s="1" t="s">
        <v>1514</v>
      </c>
    </row>
    <row r="838" spans="1:9" ht="45" x14ac:dyDescent="0.25">
      <c r="A838" t="s">
        <v>26</v>
      </c>
      <c r="B838" t="s">
        <v>1248</v>
      </c>
      <c r="C838" t="s">
        <v>28</v>
      </c>
      <c r="D838" t="s">
        <v>1515</v>
      </c>
      <c r="E838" t="s">
        <v>30</v>
      </c>
      <c r="F838" t="s">
        <v>182</v>
      </c>
      <c r="G838" t="s">
        <v>69</v>
      </c>
      <c r="H838" t="s">
        <v>173</v>
      </c>
      <c r="I838" s="1" t="s">
        <v>1516</v>
      </c>
    </row>
    <row r="839" spans="1:9" ht="30" x14ac:dyDescent="0.25">
      <c r="A839" t="s">
        <v>26</v>
      </c>
      <c r="B839" t="s">
        <v>1248</v>
      </c>
      <c r="C839" t="s">
        <v>44</v>
      </c>
      <c r="D839" t="s">
        <v>165</v>
      </c>
      <c r="E839" t="s">
        <v>30</v>
      </c>
      <c r="F839" t="s">
        <v>196</v>
      </c>
      <c r="G839" t="s">
        <v>69</v>
      </c>
      <c r="H839" t="s">
        <v>87</v>
      </c>
      <c r="I839" s="1" t="s">
        <v>1517</v>
      </c>
    </row>
    <row r="840" spans="1:9" ht="105" x14ac:dyDescent="0.25">
      <c r="A840" t="s">
        <v>26</v>
      </c>
      <c r="B840" t="s">
        <v>1248</v>
      </c>
      <c r="C840" t="s">
        <v>235</v>
      </c>
      <c r="D840" t="s">
        <v>427</v>
      </c>
      <c r="E840" t="s">
        <v>30</v>
      </c>
      <c r="F840" t="s">
        <v>543</v>
      </c>
      <c r="G840" t="s">
        <v>69</v>
      </c>
      <c r="H840" t="s">
        <v>173</v>
      </c>
      <c r="I840" s="1" t="s">
        <v>1518</v>
      </c>
    </row>
    <row r="841" spans="1:9" ht="45" x14ac:dyDescent="0.25">
      <c r="A841" t="s">
        <v>26</v>
      </c>
      <c r="B841" t="s">
        <v>1248</v>
      </c>
      <c r="C841" t="s">
        <v>32</v>
      </c>
      <c r="D841" t="s">
        <v>245</v>
      </c>
      <c r="E841" t="s">
        <v>30</v>
      </c>
      <c r="F841" t="s">
        <v>446</v>
      </c>
      <c r="G841" t="s">
        <v>32</v>
      </c>
      <c r="H841" t="s">
        <v>33</v>
      </c>
      <c r="I841" s="1" t="s">
        <v>1519</v>
      </c>
    </row>
    <row r="842" spans="1:9" ht="30" x14ac:dyDescent="0.25">
      <c r="A842" t="s">
        <v>26</v>
      </c>
      <c r="B842" t="s">
        <v>1248</v>
      </c>
      <c r="C842" t="s">
        <v>55</v>
      </c>
      <c r="D842" t="s">
        <v>1520</v>
      </c>
      <c r="E842" t="s">
        <v>30</v>
      </c>
      <c r="F842" t="s">
        <v>294</v>
      </c>
      <c r="G842" t="s">
        <v>69</v>
      </c>
      <c r="H842" t="s">
        <v>87</v>
      </c>
      <c r="I842" s="1" t="s">
        <v>1521</v>
      </c>
    </row>
    <row r="843" spans="1:9" ht="60" x14ac:dyDescent="0.25">
      <c r="A843" t="s">
        <v>26</v>
      </c>
      <c r="B843" t="s">
        <v>1248</v>
      </c>
      <c r="C843" t="s">
        <v>44</v>
      </c>
      <c r="D843" t="s">
        <v>1162</v>
      </c>
      <c r="E843" t="s">
        <v>30</v>
      </c>
      <c r="F843" t="s">
        <v>189</v>
      </c>
      <c r="G843" t="s">
        <v>32</v>
      </c>
      <c r="H843" t="s">
        <v>33</v>
      </c>
      <c r="I843" s="1" t="s">
        <v>1522</v>
      </c>
    </row>
    <row r="844" spans="1:9" ht="30" x14ac:dyDescent="0.25">
      <c r="A844" t="s">
        <v>26</v>
      </c>
      <c r="B844" t="s">
        <v>1248</v>
      </c>
      <c r="C844" t="s">
        <v>44</v>
      </c>
      <c r="D844" t="s">
        <v>1162</v>
      </c>
      <c r="E844" t="s">
        <v>30</v>
      </c>
      <c r="F844" t="s">
        <v>61</v>
      </c>
      <c r="G844" t="s">
        <v>32</v>
      </c>
      <c r="H844" t="s">
        <v>33</v>
      </c>
      <c r="I844" s="1" t="s">
        <v>1523</v>
      </c>
    </row>
    <row r="845" spans="1:9" ht="75" x14ac:dyDescent="0.25">
      <c r="A845" t="s">
        <v>26</v>
      </c>
      <c r="B845" t="s">
        <v>1248</v>
      </c>
      <c r="C845" t="s">
        <v>44</v>
      </c>
      <c r="D845" t="s">
        <v>45</v>
      </c>
      <c r="E845" t="s">
        <v>30</v>
      </c>
      <c r="F845" t="s">
        <v>147</v>
      </c>
      <c r="G845" t="s">
        <v>32</v>
      </c>
      <c r="H845" t="s">
        <v>33</v>
      </c>
      <c r="I845" s="1" t="s">
        <v>1524</v>
      </c>
    </row>
    <row r="846" spans="1:9" ht="45" x14ac:dyDescent="0.25">
      <c r="A846" t="s">
        <v>49</v>
      </c>
      <c r="B846" t="s">
        <v>1248</v>
      </c>
      <c r="C846" t="s">
        <v>249</v>
      </c>
      <c r="D846" t="s">
        <v>355</v>
      </c>
      <c r="E846" t="s">
        <v>30</v>
      </c>
      <c r="F846" t="s">
        <v>186</v>
      </c>
      <c r="G846" t="s">
        <v>32</v>
      </c>
      <c r="H846" t="s">
        <v>33</v>
      </c>
      <c r="I846" s="1" t="s">
        <v>1525</v>
      </c>
    </row>
    <row r="847" spans="1:9" ht="105" x14ac:dyDescent="0.25">
      <c r="A847" t="s">
        <v>26</v>
      </c>
      <c r="B847" t="s">
        <v>1248</v>
      </c>
      <c r="C847" t="s">
        <v>28</v>
      </c>
      <c r="D847" t="s">
        <v>388</v>
      </c>
      <c r="E847" t="s">
        <v>30</v>
      </c>
      <c r="F847" t="s">
        <v>61</v>
      </c>
      <c r="G847" t="s">
        <v>81</v>
      </c>
      <c r="H847" t="s">
        <v>173</v>
      </c>
      <c r="I847" s="1" t="s">
        <v>1526</v>
      </c>
    </row>
    <row r="848" spans="1:9" ht="75" x14ac:dyDescent="0.25">
      <c r="A848" t="s">
        <v>26</v>
      </c>
      <c r="B848" t="s">
        <v>1248</v>
      </c>
      <c r="C848" t="s">
        <v>85</v>
      </c>
      <c r="D848" t="s">
        <v>1527</v>
      </c>
      <c r="E848" t="s">
        <v>30</v>
      </c>
      <c r="F848" t="s">
        <v>61</v>
      </c>
      <c r="G848" t="s">
        <v>32</v>
      </c>
      <c r="H848" t="s">
        <v>33</v>
      </c>
      <c r="I848" s="1" t="s">
        <v>1528</v>
      </c>
    </row>
    <row r="849" spans="1:9" x14ac:dyDescent="0.25">
      <c r="A849" t="s">
        <v>26</v>
      </c>
      <c r="B849" t="s">
        <v>1248</v>
      </c>
      <c r="C849" t="s">
        <v>85</v>
      </c>
      <c r="D849" t="s">
        <v>1529</v>
      </c>
      <c r="E849" t="s">
        <v>30</v>
      </c>
      <c r="F849" t="s">
        <v>161</v>
      </c>
      <c r="G849" t="s">
        <v>38</v>
      </c>
      <c r="H849" t="s">
        <v>173</v>
      </c>
      <c r="I849" s="1" t="s">
        <v>1530</v>
      </c>
    </row>
    <row r="850" spans="1:9" ht="45" x14ac:dyDescent="0.25">
      <c r="A850" t="s">
        <v>49</v>
      </c>
      <c r="B850" t="s">
        <v>1248</v>
      </c>
      <c r="C850" t="s">
        <v>73</v>
      </c>
      <c r="D850" t="s">
        <v>798</v>
      </c>
      <c r="E850" t="s">
        <v>30</v>
      </c>
      <c r="F850" t="s">
        <v>205</v>
      </c>
      <c r="G850" t="s">
        <v>32</v>
      </c>
      <c r="H850" t="s">
        <v>33</v>
      </c>
      <c r="I850" s="1" t="s">
        <v>1531</v>
      </c>
    </row>
    <row r="851" spans="1:9" ht="105" x14ac:dyDescent="0.25">
      <c r="A851" t="s">
        <v>49</v>
      </c>
      <c r="B851" t="s">
        <v>1248</v>
      </c>
      <c r="C851" t="s">
        <v>32</v>
      </c>
      <c r="D851" t="s">
        <v>245</v>
      </c>
      <c r="E851" t="s">
        <v>30</v>
      </c>
      <c r="F851" t="s">
        <v>587</v>
      </c>
      <c r="G851" t="s">
        <v>81</v>
      </c>
      <c r="H851" t="s">
        <v>173</v>
      </c>
      <c r="I851" s="1" t="s">
        <v>1532</v>
      </c>
    </row>
    <row r="852" spans="1:9" ht="60" x14ac:dyDescent="0.25">
      <c r="A852" t="s">
        <v>49</v>
      </c>
      <c r="B852" t="s">
        <v>1248</v>
      </c>
      <c r="C852" t="s">
        <v>249</v>
      </c>
      <c r="D852" t="s">
        <v>776</v>
      </c>
      <c r="E852" t="s">
        <v>30</v>
      </c>
      <c r="F852" t="s">
        <v>130</v>
      </c>
      <c r="G852" t="s">
        <v>69</v>
      </c>
      <c r="H852" t="s">
        <v>33</v>
      </c>
      <c r="I852" s="1" t="s">
        <v>1533</v>
      </c>
    </row>
    <row r="853" spans="1:9" x14ac:dyDescent="0.25">
      <c r="A853" t="s">
        <v>49</v>
      </c>
      <c r="B853" t="s">
        <v>1248</v>
      </c>
      <c r="C853" t="s">
        <v>249</v>
      </c>
      <c r="D853" t="s">
        <v>1404</v>
      </c>
      <c r="E853" t="s">
        <v>30</v>
      </c>
      <c r="F853" t="s">
        <v>189</v>
      </c>
      <c r="G853" t="s">
        <v>69</v>
      </c>
      <c r="H853" t="s">
        <v>33</v>
      </c>
      <c r="I853" s="1" t="s">
        <v>1534</v>
      </c>
    </row>
    <row r="854" spans="1:9" ht="75" x14ac:dyDescent="0.25">
      <c r="A854" t="s">
        <v>49</v>
      </c>
      <c r="B854" t="s">
        <v>1248</v>
      </c>
      <c r="C854" t="s">
        <v>73</v>
      </c>
      <c r="D854" t="s">
        <v>1147</v>
      </c>
      <c r="E854" t="s">
        <v>30</v>
      </c>
      <c r="F854" t="s">
        <v>446</v>
      </c>
      <c r="G854" t="s">
        <v>69</v>
      </c>
      <c r="H854" t="s">
        <v>173</v>
      </c>
      <c r="I854" s="1" t="s">
        <v>1535</v>
      </c>
    </row>
    <row r="855" spans="1:9" x14ac:dyDescent="0.25">
      <c r="A855" t="s">
        <v>49</v>
      </c>
      <c r="B855" t="s">
        <v>1248</v>
      </c>
      <c r="C855" t="s">
        <v>28</v>
      </c>
      <c r="D855" t="s">
        <v>571</v>
      </c>
      <c r="E855" t="s">
        <v>30</v>
      </c>
      <c r="F855" t="s">
        <v>140</v>
      </c>
      <c r="G855" t="s">
        <v>32</v>
      </c>
      <c r="H855" t="s">
        <v>33</v>
      </c>
      <c r="I855" s="1" t="s">
        <v>1536</v>
      </c>
    </row>
    <row r="856" spans="1:9" ht="105" x14ac:dyDescent="0.25">
      <c r="A856" t="s">
        <v>49</v>
      </c>
      <c r="B856" t="s">
        <v>1248</v>
      </c>
      <c r="C856" t="s">
        <v>235</v>
      </c>
      <c r="D856" t="s">
        <v>1467</v>
      </c>
      <c r="E856" t="s">
        <v>30</v>
      </c>
      <c r="F856" t="s">
        <v>102</v>
      </c>
      <c r="G856" t="s">
        <v>32</v>
      </c>
      <c r="H856" t="s">
        <v>87</v>
      </c>
      <c r="I856" s="1" t="s">
        <v>1537</v>
      </c>
    </row>
    <row r="857" spans="1:9" ht="120" x14ac:dyDescent="0.25">
      <c r="A857" t="s">
        <v>49</v>
      </c>
      <c r="B857" t="s">
        <v>1248</v>
      </c>
      <c r="C857" t="s">
        <v>96</v>
      </c>
      <c r="D857" t="s">
        <v>201</v>
      </c>
      <c r="E857" t="s">
        <v>30</v>
      </c>
      <c r="F857" t="s">
        <v>98</v>
      </c>
      <c r="G857" t="s">
        <v>69</v>
      </c>
      <c r="H857" t="s">
        <v>33</v>
      </c>
      <c r="I857" s="1" t="s">
        <v>1538</v>
      </c>
    </row>
    <row r="858" spans="1:9" ht="60" x14ac:dyDescent="0.25">
      <c r="A858" t="s">
        <v>49</v>
      </c>
      <c r="B858" t="s">
        <v>1248</v>
      </c>
      <c r="C858" t="s">
        <v>106</v>
      </c>
      <c r="D858" t="s">
        <v>150</v>
      </c>
      <c r="E858" t="s">
        <v>30</v>
      </c>
      <c r="F858" t="s">
        <v>202</v>
      </c>
      <c r="G858" t="s">
        <v>32</v>
      </c>
      <c r="H858" t="s">
        <v>173</v>
      </c>
      <c r="I858" s="1" t="s">
        <v>1539</v>
      </c>
    </row>
    <row r="859" spans="1:9" ht="105" x14ac:dyDescent="0.25">
      <c r="A859" t="s">
        <v>49</v>
      </c>
      <c r="B859" t="s">
        <v>1248</v>
      </c>
      <c r="C859" t="s">
        <v>55</v>
      </c>
      <c r="D859" t="s">
        <v>1462</v>
      </c>
      <c r="E859" t="s">
        <v>30</v>
      </c>
      <c r="F859" t="s">
        <v>52</v>
      </c>
      <c r="G859" t="s">
        <v>69</v>
      </c>
      <c r="H859" t="s">
        <v>87</v>
      </c>
      <c r="I859" s="1" t="s">
        <v>1540</v>
      </c>
    </row>
    <row r="860" spans="1:9" ht="60" x14ac:dyDescent="0.25">
      <c r="A860" t="s">
        <v>49</v>
      </c>
      <c r="B860" t="s">
        <v>1248</v>
      </c>
      <c r="C860" t="s">
        <v>28</v>
      </c>
      <c r="D860" t="s">
        <v>715</v>
      </c>
      <c r="E860" t="s">
        <v>30</v>
      </c>
      <c r="F860" t="s">
        <v>389</v>
      </c>
      <c r="G860" t="s">
        <v>32</v>
      </c>
      <c r="H860" t="s">
        <v>87</v>
      </c>
      <c r="I860" s="1" t="s">
        <v>1541</v>
      </c>
    </row>
    <row r="861" spans="1:9" ht="105" x14ac:dyDescent="0.25">
      <c r="A861" t="s">
        <v>49</v>
      </c>
      <c r="B861" t="s">
        <v>1248</v>
      </c>
      <c r="C861" t="s">
        <v>472</v>
      </c>
      <c r="D861" t="s">
        <v>839</v>
      </c>
      <c r="E861" t="s">
        <v>79</v>
      </c>
      <c r="F861" t="s">
        <v>290</v>
      </c>
      <c r="G861" t="s">
        <v>69</v>
      </c>
      <c r="H861" t="s">
        <v>87</v>
      </c>
      <c r="I861" s="1" t="s">
        <v>1542</v>
      </c>
    </row>
    <row r="862" spans="1:9" ht="60" x14ac:dyDescent="0.25">
      <c r="A862" t="s">
        <v>49</v>
      </c>
      <c r="B862" t="s">
        <v>1248</v>
      </c>
      <c r="C862" t="s">
        <v>28</v>
      </c>
      <c r="D862" t="s">
        <v>751</v>
      </c>
      <c r="E862" t="s">
        <v>79</v>
      </c>
      <c r="F862" t="s">
        <v>102</v>
      </c>
      <c r="G862" t="s">
        <v>32</v>
      </c>
      <c r="H862" t="s">
        <v>87</v>
      </c>
      <c r="I862" s="1" t="s">
        <v>1543</v>
      </c>
    </row>
    <row r="863" spans="1:9" ht="105" x14ac:dyDescent="0.25">
      <c r="A863" t="s">
        <v>91</v>
      </c>
      <c r="B863" t="s">
        <v>1248</v>
      </c>
      <c r="C863" t="s">
        <v>28</v>
      </c>
      <c r="D863" t="s">
        <v>528</v>
      </c>
      <c r="E863" t="s">
        <v>30</v>
      </c>
      <c r="F863" t="s">
        <v>182</v>
      </c>
      <c r="G863" t="s">
        <v>69</v>
      </c>
      <c r="H863" t="s">
        <v>87</v>
      </c>
      <c r="I863" s="1" t="s">
        <v>1544</v>
      </c>
    </row>
    <row r="864" spans="1:9" ht="105" x14ac:dyDescent="0.25">
      <c r="A864" t="s">
        <v>91</v>
      </c>
      <c r="B864" t="s">
        <v>1248</v>
      </c>
      <c r="C864" t="s">
        <v>96</v>
      </c>
      <c r="D864" t="s">
        <v>97</v>
      </c>
      <c r="E864" t="s">
        <v>79</v>
      </c>
      <c r="F864" t="s">
        <v>543</v>
      </c>
      <c r="G864" t="s">
        <v>32</v>
      </c>
      <c r="H864" t="s">
        <v>33</v>
      </c>
      <c r="I864" s="1" t="s">
        <v>1545</v>
      </c>
    </row>
    <row r="865" spans="1:9" ht="90" x14ac:dyDescent="0.25">
      <c r="A865" t="s">
        <v>49</v>
      </c>
      <c r="B865" t="s">
        <v>1248</v>
      </c>
      <c r="C865" t="s">
        <v>28</v>
      </c>
      <c r="D865" t="s">
        <v>29</v>
      </c>
      <c r="E865" t="s">
        <v>30</v>
      </c>
      <c r="F865" t="s">
        <v>260</v>
      </c>
      <c r="G865" t="s">
        <v>32</v>
      </c>
      <c r="H865" t="s">
        <v>33</v>
      </c>
      <c r="I865" s="1" t="s">
        <v>1546</v>
      </c>
    </row>
    <row r="866" spans="1:9" ht="105" x14ac:dyDescent="0.25">
      <c r="A866" t="s">
        <v>49</v>
      </c>
      <c r="B866" t="s">
        <v>1248</v>
      </c>
      <c r="C866" t="s">
        <v>28</v>
      </c>
      <c r="D866" t="s">
        <v>751</v>
      </c>
      <c r="E866" t="s">
        <v>30</v>
      </c>
      <c r="F866" t="s">
        <v>561</v>
      </c>
      <c r="G866" t="s">
        <v>32</v>
      </c>
      <c r="H866" t="s">
        <v>87</v>
      </c>
      <c r="I866" s="1" t="s">
        <v>1547</v>
      </c>
    </row>
    <row r="867" spans="1:9" ht="120" x14ac:dyDescent="0.25">
      <c r="A867" t="s">
        <v>37</v>
      </c>
      <c r="B867" t="s">
        <v>1248</v>
      </c>
      <c r="C867" t="s">
        <v>96</v>
      </c>
      <c r="D867" t="s">
        <v>676</v>
      </c>
      <c r="E867" t="s">
        <v>30</v>
      </c>
      <c r="F867" t="s">
        <v>205</v>
      </c>
      <c r="G867" t="s">
        <v>69</v>
      </c>
      <c r="H867" t="s">
        <v>33</v>
      </c>
      <c r="I867" s="1" t="s">
        <v>1548</v>
      </c>
    </row>
    <row r="868" spans="1:9" ht="60" x14ac:dyDescent="0.25">
      <c r="A868" t="s">
        <v>37</v>
      </c>
      <c r="B868" t="s">
        <v>1248</v>
      </c>
      <c r="C868" t="s">
        <v>92</v>
      </c>
      <c r="D868" t="s">
        <v>452</v>
      </c>
      <c r="E868" t="s">
        <v>30</v>
      </c>
      <c r="F868" t="s">
        <v>61</v>
      </c>
      <c r="G868" t="s">
        <v>32</v>
      </c>
      <c r="H868" t="s">
        <v>87</v>
      </c>
      <c r="I868" s="1" t="s">
        <v>1549</v>
      </c>
    </row>
    <row r="869" spans="1:9" ht="60" x14ac:dyDescent="0.25">
      <c r="A869" t="s">
        <v>91</v>
      </c>
      <c r="B869" t="s">
        <v>1248</v>
      </c>
      <c r="C869" t="s">
        <v>69</v>
      </c>
      <c r="D869" t="s">
        <v>507</v>
      </c>
      <c r="E869" t="s">
        <v>30</v>
      </c>
      <c r="F869" t="s">
        <v>216</v>
      </c>
      <c r="G869" t="s">
        <v>69</v>
      </c>
      <c r="H869" t="s">
        <v>87</v>
      </c>
      <c r="I869" s="1" t="s">
        <v>1550</v>
      </c>
    </row>
    <row r="870" spans="1:9" ht="90" x14ac:dyDescent="0.25">
      <c r="A870" t="s">
        <v>59</v>
      </c>
      <c r="B870" t="s">
        <v>1248</v>
      </c>
      <c r="C870" t="s">
        <v>50</v>
      </c>
      <c r="D870" t="s">
        <v>563</v>
      </c>
      <c r="E870" t="s">
        <v>30</v>
      </c>
      <c r="F870" t="s">
        <v>140</v>
      </c>
      <c r="G870" t="s">
        <v>69</v>
      </c>
      <c r="H870" t="s">
        <v>33</v>
      </c>
      <c r="I870" s="1" t="s">
        <v>1551</v>
      </c>
    </row>
    <row r="871" spans="1:9" ht="45" x14ac:dyDescent="0.25">
      <c r="A871" t="s">
        <v>37</v>
      </c>
      <c r="B871" t="s">
        <v>1248</v>
      </c>
      <c r="C871" t="s">
        <v>28</v>
      </c>
      <c r="D871" t="s">
        <v>1552</v>
      </c>
      <c r="E871" t="s">
        <v>30</v>
      </c>
      <c r="F871" t="s">
        <v>140</v>
      </c>
      <c r="G871" t="s">
        <v>32</v>
      </c>
      <c r="H871" t="s">
        <v>33</v>
      </c>
      <c r="I871" s="1" t="s">
        <v>1553</v>
      </c>
    </row>
    <row r="872" spans="1:9" ht="75" x14ac:dyDescent="0.25">
      <c r="A872" t="s">
        <v>37</v>
      </c>
      <c r="B872" t="s">
        <v>1248</v>
      </c>
      <c r="C872" t="s">
        <v>96</v>
      </c>
      <c r="D872" t="s">
        <v>1554</v>
      </c>
      <c r="E872" t="s">
        <v>30</v>
      </c>
      <c r="F872" t="s">
        <v>130</v>
      </c>
      <c r="G872" t="s">
        <v>32</v>
      </c>
      <c r="H872" t="s">
        <v>33</v>
      </c>
      <c r="I872" s="1" t="s">
        <v>1555</v>
      </c>
    </row>
    <row r="873" spans="1:9" ht="105" x14ac:dyDescent="0.25">
      <c r="A873" t="s">
        <v>59</v>
      </c>
      <c r="B873" t="s">
        <v>1248</v>
      </c>
      <c r="C873" t="s">
        <v>240</v>
      </c>
      <c r="D873" t="s">
        <v>978</v>
      </c>
      <c r="E873" t="s">
        <v>30</v>
      </c>
      <c r="F873" t="s">
        <v>130</v>
      </c>
      <c r="G873" t="s">
        <v>32</v>
      </c>
      <c r="H873" t="s">
        <v>87</v>
      </c>
      <c r="I873" s="1" t="s">
        <v>1556</v>
      </c>
    </row>
    <row r="874" spans="1:9" ht="45" x14ac:dyDescent="0.25">
      <c r="A874" t="s">
        <v>37</v>
      </c>
      <c r="B874" t="s">
        <v>1248</v>
      </c>
      <c r="C874" t="s">
        <v>263</v>
      </c>
      <c r="D874" t="s">
        <v>1557</v>
      </c>
      <c r="E874" t="s">
        <v>30</v>
      </c>
      <c r="F874" t="s">
        <v>94</v>
      </c>
      <c r="G874" t="s">
        <v>32</v>
      </c>
      <c r="H874" t="s">
        <v>33</v>
      </c>
      <c r="I874" s="1" t="s">
        <v>1558</v>
      </c>
    </row>
    <row r="875" spans="1:9" ht="60" x14ac:dyDescent="0.25">
      <c r="A875" t="s">
        <v>64</v>
      </c>
      <c r="B875" t="s">
        <v>1248</v>
      </c>
      <c r="C875" t="s">
        <v>249</v>
      </c>
      <c r="D875" t="s">
        <v>1559</v>
      </c>
      <c r="E875" t="s">
        <v>30</v>
      </c>
      <c r="F875" t="s">
        <v>61</v>
      </c>
      <c r="G875" t="s">
        <v>32</v>
      </c>
      <c r="H875" t="s">
        <v>33</v>
      </c>
      <c r="I875" s="1" t="s">
        <v>1560</v>
      </c>
    </row>
    <row r="876" spans="1:9" x14ac:dyDescent="0.25">
      <c r="A876" t="s">
        <v>37</v>
      </c>
      <c r="B876" t="s">
        <v>1248</v>
      </c>
      <c r="C876" t="s">
        <v>96</v>
      </c>
      <c r="D876" t="s">
        <v>1152</v>
      </c>
      <c r="E876" t="s">
        <v>30</v>
      </c>
      <c r="F876" t="s">
        <v>61</v>
      </c>
      <c r="G876" t="s">
        <v>32</v>
      </c>
      <c r="H876" t="s">
        <v>87</v>
      </c>
      <c r="I876" s="1" t="s">
        <v>1561</v>
      </c>
    </row>
    <row r="877" spans="1:9" ht="90" x14ac:dyDescent="0.25">
      <c r="A877" t="s">
        <v>37</v>
      </c>
      <c r="B877" t="s">
        <v>1248</v>
      </c>
      <c r="C877" t="s">
        <v>240</v>
      </c>
      <c r="D877" t="s">
        <v>882</v>
      </c>
      <c r="E877" t="s">
        <v>30</v>
      </c>
      <c r="F877" t="s">
        <v>543</v>
      </c>
      <c r="G877" t="s">
        <v>32</v>
      </c>
      <c r="H877" t="s">
        <v>87</v>
      </c>
      <c r="I877" s="1" t="s">
        <v>1562</v>
      </c>
    </row>
    <row r="878" spans="1:9" ht="45" x14ac:dyDescent="0.25">
      <c r="A878" t="s">
        <v>37</v>
      </c>
      <c r="B878" t="s">
        <v>1248</v>
      </c>
      <c r="C878" t="s">
        <v>240</v>
      </c>
      <c r="D878" t="s">
        <v>703</v>
      </c>
      <c r="E878" t="s">
        <v>30</v>
      </c>
      <c r="F878" t="s">
        <v>543</v>
      </c>
      <c r="G878" t="s">
        <v>69</v>
      </c>
      <c r="H878" t="s">
        <v>173</v>
      </c>
      <c r="I878" s="1" t="s">
        <v>1563</v>
      </c>
    </row>
    <row r="879" spans="1:9" ht="45" x14ac:dyDescent="0.25">
      <c r="A879" t="s">
        <v>64</v>
      </c>
      <c r="B879" t="s">
        <v>1248</v>
      </c>
      <c r="C879" t="s">
        <v>32</v>
      </c>
      <c r="D879" t="s">
        <v>1564</v>
      </c>
      <c r="E879" t="s">
        <v>30</v>
      </c>
      <c r="F879" t="s">
        <v>186</v>
      </c>
      <c r="G879" t="s">
        <v>32</v>
      </c>
      <c r="H879" t="s">
        <v>173</v>
      </c>
      <c r="I879" s="1" t="s">
        <v>1565</v>
      </c>
    </row>
    <row r="880" spans="1:9" ht="105" x14ac:dyDescent="0.25">
      <c r="A880" t="s">
        <v>37</v>
      </c>
      <c r="B880" t="s">
        <v>1248</v>
      </c>
      <c r="C880" t="s">
        <v>235</v>
      </c>
      <c r="D880" t="s">
        <v>1467</v>
      </c>
      <c r="E880" t="s">
        <v>30</v>
      </c>
      <c r="F880" t="s">
        <v>246</v>
      </c>
      <c r="G880" t="s">
        <v>69</v>
      </c>
      <c r="H880" t="s">
        <v>87</v>
      </c>
      <c r="I880" s="1" t="s">
        <v>1566</v>
      </c>
    </row>
    <row r="881" spans="1:9" ht="60" x14ac:dyDescent="0.25">
      <c r="A881" t="s">
        <v>64</v>
      </c>
      <c r="B881" t="s">
        <v>1248</v>
      </c>
      <c r="C881" t="s">
        <v>50</v>
      </c>
      <c r="D881" t="s">
        <v>1567</v>
      </c>
      <c r="E881" t="s">
        <v>30</v>
      </c>
      <c r="F881" t="s">
        <v>492</v>
      </c>
      <c r="G881" t="s">
        <v>69</v>
      </c>
      <c r="H881" t="s">
        <v>173</v>
      </c>
      <c r="I881" s="1" t="s">
        <v>1568</v>
      </c>
    </row>
    <row r="882" spans="1:9" ht="30" x14ac:dyDescent="0.25">
      <c r="A882" t="s">
        <v>37</v>
      </c>
      <c r="B882" t="s">
        <v>1248</v>
      </c>
      <c r="C882" t="s">
        <v>69</v>
      </c>
      <c r="D882" t="s">
        <v>160</v>
      </c>
      <c r="E882" t="s">
        <v>30</v>
      </c>
      <c r="F882" t="s">
        <v>154</v>
      </c>
      <c r="G882" t="s">
        <v>32</v>
      </c>
      <c r="H882" t="s">
        <v>87</v>
      </c>
      <c r="I882" s="1" t="s">
        <v>1569</v>
      </c>
    </row>
    <row r="883" spans="1:9" ht="105" x14ac:dyDescent="0.25">
      <c r="A883" t="s">
        <v>64</v>
      </c>
      <c r="B883" t="s">
        <v>1248</v>
      </c>
      <c r="C883" t="s">
        <v>32</v>
      </c>
      <c r="D883" t="s">
        <v>1116</v>
      </c>
      <c r="E883" t="s">
        <v>30</v>
      </c>
      <c r="F883" t="s">
        <v>52</v>
      </c>
      <c r="G883" t="s">
        <v>69</v>
      </c>
      <c r="H883" t="s">
        <v>87</v>
      </c>
      <c r="I883" s="1" t="s">
        <v>1570</v>
      </c>
    </row>
    <row r="884" spans="1:9" ht="90" x14ac:dyDescent="0.25">
      <c r="A884" t="s">
        <v>37</v>
      </c>
      <c r="B884" t="s">
        <v>1248</v>
      </c>
      <c r="C884" t="s">
        <v>50</v>
      </c>
      <c r="D884" t="s">
        <v>843</v>
      </c>
      <c r="E884" t="s">
        <v>79</v>
      </c>
      <c r="F884" t="s">
        <v>147</v>
      </c>
      <c r="G884" t="s">
        <v>69</v>
      </c>
      <c r="H884" t="s">
        <v>87</v>
      </c>
      <c r="I884" s="1" t="s">
        <v>1571</v>
      </c>
    </row>
    <row r="885" spans="1:9" ht="45" x14ac:dyDescent="0.25">
      <c r="A885" t="s">
        <v>64</v>
      </c>
      <c r="B885" t="s">
        <v>1248</v>
      </c>
      <c r="C885" t="s">
        <v>249</v>
      </c>
      <c r="D885" t="s">
        <v>1454</v>
      </c>
      <c r="E885" t="s">
        <v>30</v>
      </c>
      <c r="F885" t="s">
        <v>161</v>
      </c>
      <c r="G885" t="s">
        <v>69</v>
      </c>
      <c r="H885" t="s">
        <v>33</v>
      </c>
      <c r="I885" s="1" t="s">
        <v>1572</v>
      </c>
    </row>
    <row r="886" spans="1:9" ht="30" x14ac:dyDescent="0.25">
      <c r="A886" t="s">
        <v>64</v>
      </c>
      <c r="B886" t="s">
        <v>1248</v>
      </c>
      <c r="C886" t="s">
        <v>235</v>
      </c>
      <c r="D886" t="s">
        <v>1158</v>
      </c>
      <c r="E886" t="s">
        <v>79</v>
      </c>
      <c r="F886" t="s">
        <v>102</v>
      </c>
      <c r="G886" t="s">
        <v>69</v>
      </c>
      <c r="H886" t="s">
        <v>173</v>
      </c>
      <c r="I886" s="1" t="s">
        <v>1573</v>
      </c>
    </row>
    <row r="887" spans="1:9" ht="75" x14ac:dyDescent="0.25">
      <c r="A887" t="s">
        <v>64</v>
      </c>
      <c r="B887" t="s">
        <v>1248</v>
      </c>
      <c r="C887" t="s">
        <v>85</v>
      </c>
      <c r="D887" t="s">
        <v>1527</v>
      </c>
      <c r="E887" t="s">
        <v>79</v>
      </c>
      <c r="F887" t="s">
        <v>40</v>
      </c>
      <c r="G887" t="s">
        <v>69</v>
      </c>
      <c r="H887" t="s">
        <v>33</v>
      </c>
      <c r="I887" s="1" t="s">
        <v>1574</v>
      </c>
    </row>
    <row r="888" spans="1:9" ht="45" x14ac:dyDescent="0.25">
      <c r="A888" t="s">
        <v>64</v>
      </c>
      <c r="B888" t="s">
        <v>1248</v>
      </c>
      <c r="C888" t="s">
        <v>28</v>
      </c>
      <c r="D888" t="s">
        <v>594</v>
      </c>
      <c r="E888" t="s">
        <v>30</v>
      </c>
      <c r="F888" t="s">
        <v>196</v>
      </c>
      <c r="G888" t="s">
        <v>32</v>
      </c>
      <c r="H888" t="s">
        <v>33</v>
      </c>
      <c r="I888" s="1" t="s">
        <v>1575</v>
      </c>
    </row>
    <row r="889" spans="1:9" x14ac:dyDescent="0.25">
      <c r="A889" t="s">
        <v>26</v>
      </c>
      <c r="B889" t="s">
        <v>1576</v>
      </c>
      <c r="C889" t="s">
        <v>69</v>
      </c>
      <c r="D889" t="s">
        <v>160</v>
      </c>
      <c r="E889" t="s">
        <v>79</v>
      </c>
      <c r="F889" t="s">
        <v>161</v>
      </c>
      <c r="G889" t="s">
        <v>69</v>
      </c>
      <c r="H889" t="s">
        <v>173</v>
      </c>
      <c r="I889" s="1" t="s">
        <v>1577</v>
      </c>
    </row>
    <row r="890" spans="1:9" ht="45" x14ac:dyDescent="0.25">
      <c r="A890" t="s">
        <v>37</v>
      </c>
      <c r="B890" t="s">
        <v>1576</v>
      </c>
      <c r="C890" t="s">
        <v>263</v>
      </c>
      <c r="D890" t="s">
        <v>264</v>
      </c>
      <c r="E890" t="s">
        <v>30</v>
      </c>
      <c r="F890" t="s">
        <v>94</v>
      </c>
      <c r="G890" t="s">
        <v>32</v>
      </c>
      <c r="H890" t="s">
        <v>33</v>
      </c>
      <c r="I890" s="1" t="s">
        <v>1578</v>
      </c>
    </row>
    <row r="891" spans="1:9" ht="75" x14ac:dyDescent="0.25">
      <c r="A891" t="s">
        <v>26</v>
      </c>
      <c r="B891" t="s">
        <v>1576</v>
      </c>
      <c r="C891" t="s">
        <v>38</v>
      </c>
      <c r="D891" t="s">
        <v>718</v>
      </c>
      <c r="E891" t="s">
        <v>30</v>
      </c>
      <c r="F891" t="s">
        <v>119</v>
      </c>
      <c r="G891" t="s">
        <v>32</v>
      </c>
      <c r="H891" t="s">
        <v>173</v>
      </c>
      <c r="I891" s="1" t="s">
        <v>1579</v>
      </c>
    </row>
    <row r="892" spans="1:9" ht="105" x14ac:dyDescent="0.25">
      <c r="A892" t="s">
        <v>26</v>
      </c>
      <c r="B892" t="s">
        <v>1576</v>
      </c>
      <c r="C892" t="s">
        <v>249</v>
      </c>
      <c r="D892" t="s">
        <v>495</v>
      </c>
      <c r="E892" t="s">
        <v>30</v>
      </c>
      <c r="F892" t="s">
        <v>140</v>
      </c>
      <c r="G892" t="s">
        <v>32</v>
      </c>
      <c r="H892" t="s">
        <v>33</v>
      </c>
      <c r="I892" s="1" t="s">
        <v>1580</v>
      </c>
    </row>
    <row r="893" spans="1:9" ht="75" x14ac:dyDescent="0.25">
      <c r="A893" t="s">
        <v>37</v>
      </c>
      <c r="B893" t="s">
        <v>1576</v>
      </c>
      <c r="C893" t="s">
        <v>92</v>
      </c>
      <c r="D893" t="s">
        <v>629</v>
      </c>
      <c r="E893" t="s">
        <v>30</v>
      </c>
      <c r="F893" t="s">
        <v>205</v>
      </c>
      <c r="G893" t="s">
        <v>69</v>
      </c>
      <c r="H893" t="s">
        <v>33</v>
      </c>
      <c r="I893" s="1" t="s">
        <v>1581</v>
      </c>
    </row>
    <row r="894" spans="1:9" ht="75" x14ac:dyDescent="0.25">
      <c r="A894" t="s">
        <v>26</v>
      </c>
      <c r="B894" t="s">
        <v>1576</v>
      </c>
      <c r="C894" t="s">
        <v>96</v>
      </c>
      <c r="D894" t="s">
        <v>1064</v>
      </c>
      <c r="E894" t="s">
        <v>30</v>
      </c>
      <c r="F894" t="s">
        <v>786</v>
      </c>
      <c r="G894" t="s">
        <v>81</v>
      </c>
      <c r="H894" t="s">
        <v>33</v>
      </c>
      <c r="I894" s="1" t="s">
        <v>1582</v>
      </c>
    </row>
    <row r="895" spans="1:9" ht="75" x14ac:dyDescent="0.25">
      <c r="A895" t="s">
        <v>26</v>
      </c>
      <c r="B895" t="s">
        <v>1583</v>
      </c>
      <c r="C895" t="s">
        <v>106</v>
      </c>
      <c r="D895" t="s">
        <v>539</v>
      </c>
      <c r="E895" t="s">
        <v>30</v>
      </c>
      <c r="F895" t="s">
        <v>365</v>
      </c>
      <c r="G895" t="s">
        <v>32</v>
      </c>
      <c r="H895" t="s">
        <v>33</v>
      </c>
      <c r="I895" s="1" t="s">
        <v>1584</v>
      </c>
    </row>
    <row r="896" spans="1:9" ht="90" x14ac:dyDescent="0.25">
      <c r="A896" t="s">
        <v>26</v>
      </c>
      <c r="B896" t="s">
        <v>1583</v>
      </c>
      <c r="C896" t="s">
        <v>96</v>
      </c>
      <c r="D896" t="s">
        <v>176</v>
      </c>
      <c r="E896" t="s">
        <v>30</v>
      </c>
      <c r="F896" t="s">
        <v>40</v>
      </c>
      <c r="G896" t="s">
        <v>69</v>
      </c>
      <c r="H896" t="s">
        <v>87</v>
      </c>
      <c r="I896" s="1" t="s">
        <v>1585</v>
      </c>
    </row>
    <row r="897" spans="1:9" ht="60" x14ac:dyDescent="0.25">
      <c r="A897" t="s">
        <v>26</v>
      </c>
      <c r="B897" t="s">
        <v>1583</v>
      </c>
      <c r="C897" t="s">
        <v>263</v>
      </c>
      <c r="D897" t="s">
        <v>1253</v>
      </c>
      <c r="E897" t="s">
        <v>30</v>
      </c>
      <c r="F897" t="s">
        <v>492</v>
      </c>
      <c r="G897" t="s">
        <v>32</v>
      </c>
      <c r="H897" t="s">
        <v>87</v>
      </c>
      <c r="I897" s="1" t="s">
        <v>1586</v>
      </c>
    </row>
    <row r="898" spans="1:9" ht="75" x14ac:dyDescent="0.25">
      <c r="A898" t="s">
        <v>26</v>
      </c>
      <c r="B898" t="s">
        <v>1583</v>
      </c>
      <c r="C898" t="s">
        <v>249</v>
      </c>
      <c r="D898" t="s">
        <v>1587</v>
      </c>
      <c r="E898" t="s">
        <v>30</v>
      </c>
      <c r="F898" t="s">
        <v>189</v>
      </c>
      <c r="G898" t="s">
        <v>32</v>
      </c>
      <c r="H898" t="s">
        <v>87</v>
      </c>
      <c r="I898" s="1" t="s">
        <v>1588</v>
      </c>
    </row>
    <row r="899" spans="1:9" ht="90" x14ac:dyDescent="0.25">
      <c r="A899" t="s">
        <v>26</v>
      </c>
      <c r="B899" t="s">
        <v>1583</v>
      </c>
      <c r="C899" t="s">
        <v>240</v>
      </c>
      <c r="D899" t="s">
        <v>1417</v>
      </c>
      <c r="E899" t="s">
        <v>30</v>
      </c>
      <c r="F899" t="s">
        <v>186</v>
      </c>
      <c r="G899" t="s">
        <v>32</v>
      </c>
      <c r="H899" t="s">
        <v>173</v>
      </c>
      <c r="I899" s="1" t="s">
        <v>1589</v>
      </c>
    </row>
    <row r="900" spans="1:9" ht="30" x14ac:dyDescent="0.25">
      <c r="A900" t="s">
        <v>26</v>
      </c>
      <c r="B900" t="s">
        <v>1583</v>
      </c>
      <c r="C900" t="s">
        <v>50</v>
      </c>
      <c r="D900" t="s">
        <v>870</v>
      </c>
      <c r="E900" t="s">
        <v>30</v>
      </c>
      <c r="F900" t="s">
        <v>98</v>
      </c>
      <c r="G900" t="s">
        <v>32</v>
      </c>
      <c r="H900" t="s">
        <v>33</v>
      </c>
      <c r="I900" s="1" t="s">
        <v>1590</v>
      </c>
    </row>
    <row r="901" spans="1:9" ht="105" x14ac:dyDescent="0.25">
      <c r="A901" t="s">
        <v>49</v>
      </c>
      <c r="B901" t="s">
        <v>1583</v>
      </c>
      <c r="C901" t="s">
        <v>106</v>
      </c>
      <c r="D901" t="s">
        <v>807</v>
      </c>
      <c r="E901" t="s">
        <v>30</v>
      </c>
      <c r="F901" t="s">
        <v>189</v>
      </c>
      <c r="G901" t="s">
        <v>32</v>
      </c>
      <c r="H901" t="s">
        <v>87</v>
      </c>
      <c r="I901" s="1" t="s">
        <v>1591</v>
      </c>
    </row>
    <row r="902" spans="1:9" ht="105" x14ac:dyDescent="0.25">
      <c r="A902" t="s">
        <v>49</v>
      </c>
      <c r="B902" t="s">
        <v>1583</v>
      </c>
      <c r="C902" t="s">
        <v>28</v>
      </c>
      <c r="D902" t="s">
        <v>943</v>
      </c>
      <c r="E902" t="s">
        <v>79</v>
      </c>
      <c r="F902" t="s">
        <v>136</v>
      </c>
      <c r="G902" t="s">
        <v>32</v>
      </c>
      <c r="H902" t="s">
        <v>33</v>
      </c>
      <c r="I902" s="1" t="s">
        <v>1592</v>
      </c>
    </row>
    <row r="903" spans="1:9" ht="45" x14ac:dyDescent="0.25">
      <c r="A903" t="s">
        <v>26</v>
      </c>
      <c r="B903" t="s">
        <v>1593</v>
      </c>
      <c r="C903" t="s">
        <v>73</v>
      </c>
      <c r="D903" t="s">
        <v>455</v>
      </c>
      <c r="E903" t="s">
        <v>30</v>
      </c>
      <c r="F903" t="s">
        <v>61</v>
      </c>
      <c r="G903" t="s">
        <v>32</v>
      </c>
      <c r="H903" t="s">
        <v>173</v>
      </c>
      <c r="I903" s="1" t="s">
        <v>1594</v>
      </c>
    </row>
    <row r="904" spans="1:9" ht="105" x14ac:dyDescent="0.25">
      <c r="A904" t="s">
        <v>26</v>
      </c>
      <c r="B904" t="s">
        <v>1593</v>
      </c>
      <c r="C904" t="s">
        <v>240</v>
      </c>
      <c r="D904" t="s">
        <v>1595</v>
      </c>
      <c r="E904" t="s">
        <v>30</v>
      </c>
      <c r="F904" t="s">
        <v>61</v>
      </c>
      <c r="G904" t="s">
        <v>32</v>
      </c>
      <c r="H904" t="s">
        <v>173</v>
      </c>
      <c r="I904" s="1" t="s">
        <v>1596</v>
      </c>
    </row>
    <row r="905" spans="1:9" ht="30" x14ac:dyDescent="0.25">
      <c r="A905" t="s">
        <v>26</v>
      </c>
      <c r="B905" t="s">
        <v>1593</v>
      </c>
      <c r="C905" t="s">
        <v>249</v>
      </c>
      <c r="D905" t="s">
        <v>657</v>
      </c>
      <c r="E905" t="s">
        <v>30</v>
      </c>
      <c r="F905" t="s">
        <v>98</v>
      </c>
      <c r="G905" t="s">
        <v>32</v>
      </c>
      <c r="H905" t="s">
        <v>87</v>
      </c>
      <c r="I905" s="1" t="s">
        <v>1597</v>
      </c>
    </row>
    <row r="906" spans="1:9" ht="45" x14ac:dyDescent="0.25">
      <c r="A906" t="s">
        <v>26</v>
      </c>
      <c r="B906" t="s">
        <v>1593</v>
      </c>
      <c r="C906" t="s">
        <v>249</v>
      </c>
      <c r="D906" t="s">
        <v>420</v>
      </c>
      <c r="E906" t="s">
        <v>30</v>
      </c>
      <c r="F906" t="s">
        <v>94</v>
      </c>
      <c r="G906" t="s">
        <v>32</v>
      </c>
      <c r="H906" t="s">
        <v>33</v>
      </c>
      <c r="I906" s="1" t="s">
        <v>1598</v>
      </c>
    </row>
    <row r="907" spans="1:9" ht="45" x14ac:dyDescent="0.25">
      <c r="A907" t="s">
        <v>26</v>
      </c>
      <c r="B907" t="s">
        <v>1593</v>
      </c>
      <c r="C907" t="s">
        <v>73</v>
      </c>
      <c r="D907" t="s">
        <v>678</v>
      </c>
      <c r="E907" t="s">
        <v>30</v>
      </c>
      <c r="F907" t="s">
        <v>140</v>
      </c>
      <c r="G907" t="s">
        <v>32</v>
      </c>
      <c r="H907" t="s">
        <v>33</v>
      </c>
      <c r="I907" s="1" t="s">
        <v>1599</v>
      </c>
    </row>
    <row r="908" spans="1:9" ht="45" x14ac:dyDescent="0.25">
      <c r="A908" t="s">
        <v>26</v>
      </c>
      <c r="B908" t="s">
        <v>1593</v>
      </c>
      <c r="C908" t="s">
        <v>240</v>
      </c>
      <c r="D908" t="s">
        <v>703</v>
      </c>
      <c r="E908" t="s">
        <v>30</v>
      </c>
      <c r="F908" t="s">
        <v>130</v>
      </c>
      <c r="G908" t="s">
        <v>32</v>
      </c>
      <c r="H908" t="s">
        <v>87</v>
      </c>
      <c r="I908" s="1" t="s">
        <v>1600</v>
      </c>
    </row>
    <row r="909" spans="1:9" ht="45" x14ac:dyDescent="0.25">
      <c r="A909" t="s">
        <v>26</v>
      </c>
      <c r="B909" t="s">
        <v>1593</v>
      </c>
      <c r="C909" t="s">
        <v>96</v>
      </c>
      <c r="D909" t="s">
        <v>172</v>
      </c>
      <c r="E909" t="s">
        <v>30</v>
      </c>
      <c r="F909" t="s">
        <v>166</v>
      </c>
      <c r="G909" t="s">
        <v>32</v>
      </c>
      <c r="H909" t="s">
        <v>33</v>
      </c>
      <c r="I909" s="1" t="s">
        <v>1601</v>
      </c>
    </row>
    <row r="910" spans="1:9" ht="90" x14ac:dyDescent="0.25">
      <c r="A910" t="s">
        <v>26</v>
      </c>
      <c r="B910" t="s">
        <v>1593</v>
      </c>
      <c r="C910" t="s">
        <v>50</v>
      </c>
      <c r="D910" t="s">
        <v>362</v>
      </c>
      <c r="E910" t="s">
        <v>30</v>
      </c>
      <c r="F910" t="s">
        <v>166</v>
      </c>
      <c r="G910" t="s">
        <v>69</v>
      </c>
      <c r="H910" t="s">
        <v>173</v>
      </c>
      <c r="I910" s="1" t="s">
        <v>1602</v>
      </c>
    </row>
    <row r="911" spans="1:9" ht="75" x14ac:dyDescent="0.25">
      <c r="A911" t="s">
        <v>26</v>
      </c>
      <c r="B911" t="s">
        <v>1593</v>
      </c>
      <c r="C911" t="s">
        <v>240</v>
      </c>
      <c r="D911" t="s">
        <v>882</v>
      </c>
      <c r="E911" t="s">
        <v>30</v>
      </c>
      <c r="F911" t="s">
        <v>182</v>
      </c>
      <c r="G911" t="s">
        <v>32</v>
      </c>
      <c r="H911" t="s">
        <v>33</v>
      </c>
      <c r="I911" s="1" t="s">
        <v>1603</v>
      </c>
    </row>
    <row r="912" spans="1:9" ht="105" x14ac:dyDescent="0.25">
      <c r="A912" t="s">
        <v>26</v>
      </c>
      <c r="B912" t="s">
        <v>1593</v>
      </c>
      <c r="C912" t="s">
        <v>50</v>
      </c>
      <c r="D912" t="s">
        <v>1604</v>
      </c>
      <c r="E912" t="s">
        <v>30</v>
      </c>
      <c r="F912" t="s">
        <v>216</v>
      </c>
      <c r="G912" t="s">
        <v>69</v>
      </c>
      <c r="H912" t="s">
        <v>173</v>
      </c>
      <c r="I912" s="1" t="s">
        <v>1605</v>
      </c>
    </row>
    <row r="913" spans="1:9" ht="105" x14ac:dyDescent="0.25">
      <c r="A913" t="s">
        <v>26</v>
      </c>
      <c r="B913" t="s">
        <v>1593</v>
      </c>
      <c r="C913" t="s">
        <v>235</v>
      </c>
      <c r="D913" t="s">
        <v>427</v>
      </c>
      <c r="E913" t="s">
        <v>79</v>
      </c>
      <c r="F913" t="s">
        <v>161</v>
      </c>
      <c r="G913" t="s">
        <v>32</v>
      </c>
      <c r="H913" t="s">
        <v>87</v>
      </c>
      <c r="I913" s="1" t="s">
        <v>1606</v>
      </c>
    </row>
    <row r="914" spans="1:9" ht="75" x14ac:dyDescent="0.25">
      <c r="A914" t="s">
        <v>26</v>
      </c>
      <c r="B914" t="s">
        <v>1593</v>
      </c>
      <c r="C914" t="s">
        <v>32</v>
      </c>
      <c r="D914" t="s">
        <v>1607</v>
      </c>
      <c r="E914" t="s">
        <v>30</v>
      </c>
      <c r="F914" t="s">
        <v>602</v>
      </c>
      <c r="G914" t="s">
        <v>32</v>
      </c>
      <c r="H914" t="s">
        <v>33</v>
      </c>
      <c r="I914" s="1" t="s">
        <v>1608</v>
      </c>
    </row>
    <row r="915" spans="1:9" ht="105" x14ac:dyDescent="0.25">
      <c r="A915" t="s">
        <v>26</v>
      </c>
      <c r="B915" t="s">
        <v>1593</v>
      </c>
      <c r="C915" t="s">
        <v>240</v>
      </c>
      <c r="D915" t="s">
        <v>1008</v>
      </c>
      <c r="E915" t="s">
        <v>30</v>
      </c>
      <c r="F915" t="s">
        <v>290</v>
      </c>
      <c r="G915" t="s">
        <v>32</v>
      </c>
      <c r="H915" t="s">
        <v>173</v>
      </c>
      <c r="I915" s="1" t="s">
        <v>1609</v>
      </c>
    </row>
    <row r="916" spans="1:9" ht="30" x14ac:dyDescent="0.25">
      <c r="A916" t="s">
        <v>26</v>
      </c>
      <c r="B916" t="s">
        <v>1593</v>
      </c>
      <c r="C916" t="s">
        <v>180</v>
      </c>
      <c r="D916" t="s">
        <v>1610</v>
      </c>
      <c r="E916" t="s">
        <v>30</v>
      </c>
      <c r="F916" t="s">
        <v>196</v>
      </c>
      <c r="G916" t="s">
        <v>32</v>
      </c>
      <c r="H916" t="s">
        <v>173</v>
      </c>
      <c r="I916" s="1" t="s">
        <v>1611</v>
      </c>
    </row>
    <row r="917" spans="1:9" ht="75" x14ac:dyDescent="0.25">
      <c r="A917" t="s">
        <v>26</v>
      </c>
      <c r="B917" t="s">
        <v>1593</v>
      </c>
      <c r="C917" t="s">
        <v>50</v>
      </c>
      <c r="D917" t="s">
        <v>801</v>
      </c>
      <c r="E917" t="s">
        <v>30</v>
      </c>
      <c r="F917" t="s">
        <v>102</v>
      </c>
      <c r="G917" t="s">
        <v>32</v>
      </c>
      <c r="H917" t="s">
        <v>87</v>
      </c>
      <c r="I917" s="1" t="s">
        <v>1612</v>
      </c>
    </row>
    <row r="918" spans="1:9" ht="90" x14ac:dyDescent="0.25">
      <c r="A918" t="s">
        <v>59</v>
      </c>
      <c r="B918" t="s">
        <v>1593</v>
      </c>
      <c r="C918" t="s">
        <v>28</v>
      </c>
      <c r="D918" t="s">
        <v>526</v>
      </c>
      <c r="E918" t="s">
        <v>30</v>
      </c>
      <c r="F918" t="s">
        <v>196</v>
      </c>
      <c r="G918" t="s">
        <v>69</v>
      </c>
      <c r="H918" t="s">
        <v>173</v>
      </c>
      <c r="I918" s="1" t="s">
        <v>1613</v>
      </c>
    </row>
    <row r="919" spans="1:9" ht="30" x14ac:dyDescent="0.25">
      <c r="A919" t="s">
        <v>26</v>
      </c>
      <c r="B919" t="s">
        <v>1593</v>
      </c>
      <c r="C919" t="s">
        <v>96</v>
      </c>
      <c r="D919" t="s">
        <v>201</v>
      </c>
      <c r="E919" t="s">
        <v>30</v>
      </c>
      <c r="F919" t="s">
        <v>61</v>
      </c>
      <c r="G919" t="s">
        <v>69</v>
      </c>
      <c r="H919" t="s">
        <v>87</v>
      </c>
      <c r="I919" s="1" t="s">
        <v>1614</v>
      </c>
    </row>
    <row r="920" spans="1:9" ht="60" x14ac:dyDescent="0.25">
      <c r="A920" t="s">
        <v>26</v>
      </c>
      <c r="B920" t="s">
        <v>1593</v>
      </c>
      <c r="C920" t="s">
        <v>44</v>
      </c>
      <c r="D920" t="s">
        <v>616</v>
      </c>
      <c r="E920" t="s">
        <v>30</v>
      </c>
      <c r="F920" t="s">
        <v>98</v>
      </c>
      <c r="G920" t="s">
        <v>32</v>
      </c>
      <c r="H920" t="s">
        <v>173</v>
      </c>
      <c r="I920" s="1" t="s">
        <v>1615</v>
      </c>
    </row>
    <row r="921" spans="1:9" ht="60" x14ac:dyDescent="0.25">
      <c r="A921" t="s">
        <v>26</v>
      </c>
      <c r="B921" t="s">
        <v>1593</v>
      </c>
      <c r="C921" t="s">
        <v>69</v>
      </c>
      <c r="D921" t="s">
        <v>229</v>
      </c>
      <c r="E921" t="s">
        <v>30</v>
      </c>
      <c r="F921" t="s">
        <v>205</v>
      </c>
      <c r="G921" t="s">
        <v>32</v>
      </c>
      <c r="H921" t="s">
        <v>173</v>
      </c>
      <c r="I921" s="1" t="s">
        <v>1616</v>
      </c>
    </row>
    <row r="922" spans="1:9" ht="105" x14ac:dyDescent="0.25">
      <c r="A922" t="s">
        <v>26</v>
      </c>
      <c r="B922" t="s">
        <v>1593</v>
      </c>
      <c r="C922" t="s">
        <v>44</v>
      </c>
      <c r="D922" t="s">
        <v>45</v>
      </c>
      <c r="E922" t="s">
        <v>30</v>
      </c>
      <c r="F922" t="s">
        <v>112</v>
      </c>
      <c r="G922" t="s">
        <v>38</v>
      </c>
      <c r="H922" t="s">
        <v>87</v>
      </c>
      <c r="I922" s="1" t="s">
        <v>1617</v>
      </c>
    </row>
    <row r="923" spans="1:9" x14ac:dyDescent="0.25">
      <c r="A923" t="s">
        <v>26</v>
      </c>
      <c r="B923" t="s">
        <v>1593</v>
      </c>
      <c r="C923" t="s">
        <v>69</v>
      </c>
      <c r="D923" t="s">
        <v>160</v>
      </c>
      <c r="E923" t="s">
        <v>30</v>
      </c>
      <c r="F923" t="s">
        <v>561</v>
      </c>
      <c r="G923" t="s">
        <v>69</v>
      </c>
      <c r="H923" t="s">
        <v>87</v>
      </c>
      <c r="I923" s="1" t="s">
        <v>1618</v>
      </c>
    </row>
    <row r="924" spans="1:9" ht="30" x14ac:dyDescent="0.25">
      <c r="A924" t="s">
        <v>26</v>
      </c>
      <c r="B924" t="s">
        <v>1593</v>
      </c>
      <c r="C924" t="s">
        <v>28</v>
      </c>
      <c r="D924" t="s">
        <v>846</v>
      </c>
      <c r="E924" t="s">
        <v>30</v>
      </c>
      <c r="F924" t="s">
        <v>119</v>
      </c>
      <c r="G924" t="s">
        <v>32</v>
      </c>
      <c r="H924" t="s">
        <v>173</v>
      </c>
      <c r="I924" s="1" t="s">
        <v>1619</v>
      </c>
    </row>
    <row r="925" spans="1:9" ht="75" x14ac:dyDescent="0.25">
      <c r="A925" t="s">
        <v>26</v>
      </c>
      <c r="B925" t="s">
        <v>1593</v>
      </c>
      <c r="C925" t="s">
        <v>44</v>
      </c>
      <c r="D925" t="s">
        <v>45</v>
      </c>
      <c r="E925" t="s">
        <v>30</v>
      </c>
      <c r="F925" t="s">
        <v>196</v>
      </c>
      <c r="G925" t="s">
        <v>69</v>
      </c>
      <c r="H925" t="s">
        <v>87</v>
      </c>
      <c r="I925" s="1" t="s">
        <v>1620</v>
      </c>
    </row>
    <row r="926" spans="1:9" ht="135" x14ac:dyDescent="0.25">
      <c r="A926" t="s">
        <v>26</v>
      </c>
      <c r="B926" t="s">
        <v>1593</v>
      </c>
      <c r="C926" t="s">
        <v>28</v>
      </c>
      <c r="D926" t="s">
        <v>1621</v>
      </c>
      <c r="E926" t="s">
        <v>30</v>
      </c>
      <c r="F926" t="s">
        <v>154</v>
      </c>
      <c r="G926" t="s">
        <v>32</v>
      </c>
      <c r="H926" t="s">
        <v>87</v>
      </c>
      <c r="I926" s="1" t="s">
        <v>1622</v>
      </c>
    </row>
    <row r="927" spans="1:9" ht="45" x14ac:dyDescent="0.25">
      <c r="A927" t="s">
        <v>26</v>
      </c>
      <c r="B927" t="s">
        <v>1593</v>
      </c>
      <c r="C927" t="s">
        <v>69</v>
      </c>
      <c r="D927" t="s">
        <v>664</v>
      </c>
      <c r="E927" t="s">
        <v>30</v>
      </c>
      <c r="F927" t="s">
        <v>602</v>
      </c>
      <c r="G927" t="s">
        <v>32</v>
      </c>
      <c r="H927" t="s">
        <v>87</v>
      </c>
      <c r="I927" s="1" t="s">
        <v>1623</v>
      </c>
    </row>
    <row r="928" spans="1:9" ht="60" x14ac:dyDescent="0.25">
      <c r="A928" t="s">
        <v>49</v>
      </c>
      <c r="B928" t="s">
        <v>1593</v>
      </c>
      <c r="C928" t="s">
        <v>50</v>
      </c>
      <c r="D928" t="s">
        <v>1624</v>
      </c>
      <c r="E928" t="s">
        <v>30</v>
      </c>
      <c r="F928" t="s">
        <v>189</v>
      </c>
      <c r="G928" t="s">
        <v>263</v>
      </c>
      <c r="H928" t="s">
        <v>33</v>
      </c>
      <c r="I928" s="1" t="s">
        <v>1625</v>
      </c>
    </row>
    <row r="929" spans="1:9" ht="30" x14ac:dyDescent="0.25">
      <c r="A929" t="s">
        <v>26</v>
      </c>
      <c r="B929" t="s">
        <v>1593</v>
      </c>
      <c r="C929" t="s">
        <v>44</v>
      </c>
      <c r="D929" t="s">
        <v>622</v>
      </c>
      <c r="E929" t="s">
        <v>30</v>
      </c>
      <c r="F929" t="s">
        <v>417</v>
      </c>
      <c r="G929" t="s">
        <v>69</v>
      </c>
      <c r="H929" t="s">
        <v>173</v>
      </c>
      <c r="I929" s="1" t="s">
        <v>1626</v>
      </c>
    </row>
    <row r="930" spans="1:9" ht="45" x14ac:dyDescent="0.25">
      <c r="A930" t="s">
        <v>49</v>
      </c>
      <c r="B930" t="s">
        <v>1593</v>
      </c>
      <c r="C930" t="s">
        <v>69</v>
      </c>
      <c r="D930" t="s">
        <v>1627</v>
      </c>
      <c r="E930" t="s">
        <v>30</v>
      </c>
      <c r="F930" t="s">
        <v>112</v>
      </c>
      <c r="G930" t="s">
        <v>32</v>
      </c>
      <c r="H930" t="s">
        <v>87</v>
      </c>
      <c r="I930" s="1" t="s">
        <v>1628</v>
      </c>
    </row>
    <row r="931" spans="1:9" ht="45" x14ac:dyDescent="0.25">
      <c r="A931" t="s">
        <v>26</v>
      </c>
      <c r="B931" t="s">
        <v>1593</v>
      </c>
      <c r="C931" t="s">
        <v>28</v>
      </c>
      <c r="D931" t="s">
        <v>946</v>
      </c>
      <c r="E931" t="s">
        <v>30</v>
      </c>
      <c r="F931" t="s">
        <v>154</v>
      </c>
      <c r="G931" t="s">
        <v>32</v>
      </c>
      <c r="H931" t="s">
        <v>33</v>
      </c>
      <c r="I931" s="1" t="s">
        <v>1629</v>
      </c>
    </row>
    <row r="932" spans="1:9" ht="75" x14ac:dyDescent="0.25">
      <c r="A932" t="s">
        <v>49</v>
      </c>
      <c r="B932" t="s">
        <v>1593</v>
      </c>
      <c r="C932" t="s">
        <v>28</v>
      </c>
      <c r="D932" t="s">
        <v>1630</v>
      </c>
      <c r="E932" t="s">
        <v>30</v>
      </c>
      <c r="F932" t="s">
        <v>290</v>
      </c>
      <c r="G932" t="s">
        <v>81</v>
      </c>
      <c r="H932" t="s">
        <v>173</v>
      </c>
      <c r="I932" s="1" t="s">
        <v>1631</v>
      </c>
    </row>
    <row r="933" spans="1:9" ht="60" x14ac:dyDescent="0.25">
      <c r="A933" t="s">
        <v>26</v>
      </c>
      <c r="B933" t="s">
        <v>1593</v>
      </c>
      <c r="C933" t="s">
        <v>28</v>
      </c>
      <c r="D933" t="s">
        <v>751</v>
      </c>
      <c r="E933" t="s">
        <v>30</v>
      </c>
      <c r="F933" t="s">
        <v>417</v>
      </c>
      <c r="G933" t="s">
        <v>69</v>
      </c>
      <c r="H933" t="s">
        <v>87</v>
      </c>
      <c r="I933" s="1" t="s">
        <v>1632</v>
      </c>
    </row>
    <row r="934" spans="1:9" ht="60" x14ac:dyDescent="0.25">
      <c r="A934" t="s">
        <v>49</v>
      </c>
      <c r="B934" t="s">
        <v>1593</v>
      </c>
      <c r="C934" t="s">
        <v>28</v>
      </c>
      <c r="D934" t="s">
        <v>763</v>
      </c>
      <c r="E934" t="s">
        <v>30</v>
      </c>
      <c r="F934" t="s">
        <v>61</v>
      </c>
      <c r="G934" t="s">
        <v>69</v>
      </c>
      <c r="H934" t="s">
        <v>173</v>
      </c>
      <c r="I934" s="1" t="s">
        <v>1633</v>
      </c>
    </row>
    <row r="935" spans="1:9" ht="90" x14ac:dyDescent="0.25">
      <c r="A935" t="s">
        <v>49</v>
      </c>
      <c r="B935" t="s">
        <v>1593</v>
      </c>
      <c r="C935" t="s">
        <v>240</v>
      </c>
      <c r="D935" t="s">
        <v>1634</v>
      </c>
      <c r="E935" t="s">
        <v>30</v>
      </c>
      <c r="F935" t="s">
        <v>130</v>
      </c>
      <c r="G935" t="s">
        <v>32</v>
      </c>
      <c r="H935" t="s">
        <v>173</v>
      </c>
      <c r="I935" s="1" t="s">
        <v>1635</v>
      </c>
    </row>
    <row r="936" spans="1:9" ht="45" x14ac:dyDescent="0.25">
      <c r="A936" t="s">
        <v>26</v>
      </c>
      <c r="B936" t="s">
        <v>1593</v>
      </c>
      <c r="C936" t="s">
        <v>28</v>
      </c>
      <c r="D936" t="s">
        <v>129</v>
      </c>
      <c r="E936" t="s">
        <v>30</v>
      </c>
      <c r="F936" t="s">
        <v>196</v>
      </c>
      <c r="G936" t="s">
        <v>69</v>
      </c>
      <c r="H936" t="s">
        <v>173</v>
      </c>
      <c r="I936" s="1" t="s">
        <v>1636</v>
      </c>
    </row>
    <row r="937" spans="1:9" ht="105" x14ac:dyDescent="0.25">
      <c r="A937" t="s">
        <v>49</v>
      </c>
      <c r="B937" t="s">
        <v>1593</v>
      </c>
      <c r="C937" t="s">
        <v>28</v>
      </c>
      <c r="D937" t="s">
        <v>388</v>
      </c>
      <c r="E937" t="s">
        <v>30</v>
      </c>
      <c r="F937" t="s">
        <v>94</v>
      </c>
      <c r="G937" t="s">
        <v>69</v>
      </c>
      <c r="H937" t="s">
        <v>33</v>
      </c>
      <c r="I937" s="1" t="s">
        <v>1637</v>
      </c>
    </row>
    <row r="938" spans="1:9" ht="45" x14ac:dyDescent="0.25">
      <c r="A938" t="s">
        <v>49</v>
      </c>
      <c r="B938" t="s">
        <v>1593</v>
      </c>
      <c r="C938" t="s">
        <v>249</v>
      </c>
      <c r="D938" t="s">
        <v>306</v>
      </c>
      <c r="E938" t="s">
        <v>30</v>
      </c>
      <c r="F938" t="s">
        <v>61</v>
      </c>
      <c r="G938" t="s">
        <v>32</v>
      </c>
      <c r="H938" t="s">
        <v>87</v>
      </c>
      <c r="I938" s="1" t="s">
        <v>1638</v>
      </c>
    </row>
    <row r="939" spans="1:9" ht="30" x14ac:dyDescent="0.25">
      <c r="A939" t="s">
        <v>49</v>
      </c>
      <c r="B939" t="s">
        <v>1593</v>
      </c>
      <c r="C939" t="s">
        <v>28</v>
      </c>
      <c r="D939" t="s">
        <v>528</v>
      </c>
      <c r="E939" t="s">
        <v>30</v>
      </c>
      <c r="F939" t="s">
        <v>140</v>
      </c>
      <c r="G939" t="s">
        <v>32</v>
      </c>
      <c r="H939" t="s">
        <v>33</v>
      </c>
      <c r="I939" s="1" t="s">
        <v>1639</v>
      </c>
    </row>
    <row r="940" spans="1:9" ht="120" x14ac:dyDescent="0.25">
      <c r="A940" t="s">
        <v>37</v>
      </c>
      <c r="B940" t="s">
        <v>1593</v>
      </c>
      <c r="C940" t="s">
        <v>44</v>
      </c>
      <c r="D940" t="s">
        <v>655</v>
      </c>
      <c r="E940" t="s">
        <v>79</v>
      </c>
      <c r="F940" t="s">
        <v>182</v>
      </c>
      <c r="G940" t="s">
        <v>32</v>
      </c>
      <c r="H940" t="s">
        <v>87</v>
      </c>
      <c r="I940" s="1" t="s">
        <v>1640</v>
      </c>
    </row>
    <row r="941" spans="1:9" ht="30" x14ac:dyDescent="0.25">
      <c r="A941" t="s">
        <v>49</v>
      </c>
      <c r="B941" t="s">
        <v>1593</v>
      </c>
      <c r="C941" t="s">
        <v>55</v>
      </c>
      <c r="D941" t="s">
        <v>382</v>
      </c>
      <c r="E941" t="s">
        <v>30</v>
      </c>
      <c r="F941" t="s">
        <v>290</v>
      </c>
      <c r="G941" t="s">
        <v>32</v>
      </c>
      <c r="H941" t="s">
        <v>173</v>
      </c>
      <c r="I941" s="1" t="s">
        <v>1641</v>
      </c>
    </row>
    <row r="942" spans="1:9" ht="60" x14ac:dyDescent="0.25">
      <c r="A942" t="s">
        <v>37</v>
      </c>
      <c r="B942" t="s">
        <v>1593</v>
      </c>
      <c r="C942" t="s">
        <v>85</v>
      </c>
      <c r="D942" t="s">
        <v>616</v>
      </c>
      <c r="E942" t="s">
        <v>30</v>
      </c>
      <c r="F942" t="s">
        <v>287</v>
      </c>
      <c r="G942" t="s">
        <v>32</v>
      </c>
      <c r="H942" t="s">
        <v>33</v>
      </c>
      <c r="I942" s="1" t="s">
        <v>1642</v>
      </c>
    </row>
    <row r="943" spans="1:9" ht="90" x14ac:dyDescent="0.25">
      <c r="A943" t="s">
        <v>91</v>
      </c>
      <c r="B943" t="s">
        <v>1593</v>
      </c>
      <c r="C943" t="s">
        <v>44</v>
      </c>
      <c r="D943" t="s">
        <v>68</v>
      </c>
      <c r="E943" t="s">
        <v>30</v>
      </c>
      <c r="F943" t="s">
        <v>202</v>
      </c>
      <c r="G943" t="s">
        <v>81</v>
      </c>
      <c r="H943" t="s">
        <v>87</v>
      </c>
      <c r="I943" s="1" t="s">
        <v>1643</v>
      </c>
    </row>
    <row r="944" spans="1:9" ht="60" x14ac:dyDescent="0.25">
      <c r="A944" t="s">
        <v>64</v>
      </c>
      <c r="B944" t="s">
        <v>1593</v>
      </c>
      <c r="C944" t="s">
        <v>263</v>
      </c>
      <c r="D944" t="s">
        <v>1644</v>
      </c>
      <c r="E944" t="s">
        <v>30</v>
      </c>
      <c r="F944" t="s">
        <v>61</v>
      </c>
      <c r="G944" t="s">
        <v>32</v>
      </c>
      <c r="H944" t="s">
        <v>33</v>
      </c>
      <c r="I944" s="1" t="s">
        <v>1645</v>
      </c>
    </row>
    <row r="945" spans="1:9" ht="75" x14ac:dyDescent="0.25">
      <c r="A945" t="s">
        <v>59</v>
      </c>
      <c r="B945" t="s">
        <v>1593</v>
      </c>
      <c r="C945" t="s">
        <v>92</v>
      </c>
      <c r="D945" t="s">
        <v>692</v>
      </c>
      <c r="E945" t="s">
        <v>30</v>
      </c>
      <c r="F945" t="s">
        <v>189</v>
      </c>
      <c r="G945" t="s">
        <v>69</v>
      </c>
      <c r="H945" t="s">
        <v>87</v>
      </c>
      <c r="I945" s="1" t="s">
        <v>1646</v>
      </c>
    </row>
    <row r="946" spans="1:9" ht="75" x14ac:dyDescent="0.25">
      <c r="A946" t="s">
        <v>37</v>
      </c>
      <c r="B946" t="s">
        <v>1593</v>
      </c>
      <c r="C946" t="s">
        <v>50</v>
      </c>
      <c r="D946" t="s">
        <v>563</v>
      </c>
      <c r="E946" t="s">
        <v>30</v>
      </c>
      <c r="F946" t="s">
        <v>94</v>
      </c>
      <c r="G946" t="s">
        <v>32</v>
      </c>
      <c r="H946" t="s">
        <v>173</v>
      </c>
      <c r="I946" s="1" t="s">
        <v>1647</v>
      </c>
    </row>
    <row r="947" spans="1:9" ht="75" x14ac:dyDescent="0.25">
      <c r="A947" t="s">
        <v>37</v>
      </c>
      <c r="B947" t="s">
        <v>1593</v>
      </c>
      <c r="C947" t="s">
        <v>85</v>
      </c>
      <c r="D947" t="s">
        <v>1648</v>
      </c>
      <c r="E947" t="s">
        <v>79</v>
      </c>
      <c r="F947" t="s">
        <v>294</v>
      </c>
      <c r="G947" t="s">
        <v>38</v>
      </c>
      <c r="H947" t="s">
        <v>87</v>
      </c>
      <c r="I947" s="1" t="s">
        <v>1649</v>
      </c>
    </row>
    <row r="948" spans="1:9" x14ac:dyDescent="0.25">
      <c r="A948" t="s">
        <v>64</v>
      </c>
      <c r="B948" t="s">
        <v>1593</v>
      </c>
      <c r="C948" t="s">
        <v>32</v>
      </c>
      <c r="D948" t="s">
        <v>101</v>
      </c>
      <c r="E948" t="s">
        <v>30</v>
      </c>
      <c r="F948" t="s">
        <v>627</v>
      </c>
      <c r="G948" t="s">
        <v>81</v>
      </c>
      <c r="H948" t="s">
        <v>33</v>
      </c>
      <c r="I948" s="1" t="s">
        <v>1650</v>
      </c>
    </row>
    <row r="949" spans="1:9" ht="60" x14ac:dyDescent="0.25">
      <c r="A949" t="s">
        <v>26</v>
      </c>
      <c r="B949" t="s">
        <v>1651</v>
      </c>
      <c r="C949" t="s">
        <v>249</v>
      </c>
      <c r="D949" t="s">
        <v>1454</v>
      </c>
      <c r="E949" t="s">
        <v>30</v>
      </c>
      <c r="F949" t="s">
        <v>154</v>
      </c>
      <c r="G949" t="s">
        <v>32</v>
      </c>
      <c r="H949" t="s">
        <v>33</v>
      </c>
      <c r="I949" s="1" t="s">
        <v>1652</v>
      </c>
    </row>
    <row r="950" spans="1:9" ht="30" x14ac:dyDescent="0.25">
      <c r="A950" t="s">
        <v>26</v>
      </c>
      <c r="B950" t="s">
        <v>1651</v>
      </c>
      <c r="C950" t="s">
        <v>73</v>
      </c>
      <c r="D950" t="s">
        <v>157</v>
      </c>
      <c r="E950" t="s">
        <v>30</v>
      </c>
      <c r="F950" t="s">
        <v>61</v>
      </c>
      <c r="G950" t="s">
        <v>32</v>
      </c>
      <c r="H950" t="s">
        <v>33</v>
      </c>
      <c r="I950" s="1" t="s">
        <v>1653</v>
      </c>
    </row>
    <row r="951" spans="1:9" ht="75" x14ac:dyDescent="0.25">
      <c r="A951" t="s">
        <v>26</v>
      </c>
      <c r="B951" t="s">
        <v>1651</v>
      </c>
      <c r="C951" t="s">
        <v>92</v>
      </c>
      <c r="D951" t="s">
        <v>1654</v>
      </c>
      <c r="E951" t="s">
        <v>30</v>
      </c>
      <c r="F951" t="s">
        <v>154</v>
      </c>
      <c r="G951" t="s">
        <v>32</v>
      </c>
      <c r="H951" t="s">
        <v>33</v>
      </c>
      <c r="I951" s="1" t="s">
        <v>1655</v>
      </c>
    </row>
    <row r="952" spans="1:9" ht="105" x14ac:dyDescent="0.25">
      <c r="A952" t="s">
        <v>26</v>
      </c>
      <c r="B952" t="s">
        <v>1651</v>
      </c>
      <c r="C952" t="s">
        <v>249</v>
      </c>
      <c r="D952" t="s">
        <v>862</v>
      </c>
      <c r="E952" t="s">
        <v>30</v>
      </c>
      <c r="F952" t="s">
        <v>112</v>
      </c>
      <c r="G952" t="s">
        <v>32</v>
      </c>
      <c r="H952" t="s">
        <v>87</v>
      </c>
      <c r="I952" s="1" t="s">
        <v>1656</v>
      </c>
    </row>
    <row r="953" spans="1:9" ht="30" x14ac:dyDescent="0.25">
      <c r="A953" t="s">
        <v>26</v>
      </c>
      <c r="B953" t="s">
        <v>1651</v>
      </c>
      <c r="C953" t="s">
        <v>96</v>
      </c>
      <c r="D953" t="s">
        <v>195</v>
      </c>
      <c r="E953" t="s">
        <v>30</v>
      </c>
      <c r="F953" t="s">
        <v>140</v>
      </c>
      <c r="G953" t="s">
        <v>32</v>
      </c>
      <c r="H953" t="s">
        <v>87</v>
      </c>
      <c r="I953" s="1" t="s">
        <v>1657</v>
      </c>
    </row>
    <row r="954" spans="1:9" ht="105" x14ac:dyDescent="0.25">
      <c r="A954" t="s">
        <v>26</v>
      </c>
      <c r="B954" t="s">
        <v>1651</v>
      </c>
      <c r="C954" t="s">
        <v>240</v>
      </c>
      <c r="D954" t="s">
        <v>597</v>
      </c>
      <c r="E954" t="s">
        <v>30</v>
      </c>
      <c r="F954" t="s">
        <v>246</v>
      </c>
      <c r="G954" t="s">
        <v>81</v>
      </c>
      <c r="H954" t="s">
        <v>87</v>
      </c>
      <c r="I954" s="1" t="s">
        <v>1658</v>
      </c>
    </row>
    <row r="955" spans="1:9" ht="60" x14ac:dyDescent="0.25">
      <c r="A955" t="s">
        <v>26</v>
      </c>
      <c r="B955" t="s">
        <v>1651</v>
      </c>
      <c r="C955" t="s">
        <v>96</v>
      </c>
      <c r="D955" t="s">
        <v>1659</v>
      </c>
      <c r="E955" t="s">
        <v>30</v>
      </c>
      <c r="F955" t="s">
        <v>112</v>
      </c>
      <c r="G955" t="s">
        <v>69</v>
      </c>
      <c r="H955" t="s">
        <v>87</v>
      </c>
      <c r="I955" s="1" t="s">
        <v>1660</v>
      </c>
    </row>
    <row r="956" spans="1:9" ht="120" x14ac:dyDescent="0.25">
      <c r="A956" t="s">
        <v>26</v>
      </c>
      <c r="B956" t="s">
        <v>1651</v>
      </c>
      <c r="C956" t="s">
        <v>73</v>
      </c>
      <c r="D956" t="s">
        <v>293</v>
      </c>
      <c r="E956" t="s">
        <v>30</v>
      </c>
      <c r="F956" t="s">
        <v>94</v>
      </c>
      <c r="G956" t="s">
        <v>32</v>
      </c>
      <c r="H956" t="s">
        <v>33</v>
      </c>
      <c r="I956" s="1" t="s">
        <v>1661</v>
      </c>
    </row>
    <row r="957" spans="1:9" ht="90" x14ac:dyDescent="0.25">
      <c r="A957" t="s">
        <v>26</v>
      </c>
      <c r="B957" t="s">
        <v>1651</v>
      </c>
      <c r="C957" t="s">
        <v>28</v>
      </c>
      <c r="D957" t="s">
        <v>388</v>
      </c>
      <c r="E957" t="s">
        <v>79</v>
      </c>
      <c r="F957" t="s">
        <v>166</v>
      </c>
      <c r="G957" t="s">
        <v>32</v>
      </c>
      <c r="H957" t="s">
        <v>87</v>
      </c>
      <c r="I957" s="1" t="s">
        <v>1662</v>
      </c>
    </row>
    <row r="958" spans="1:9" ht="105" x14ac:dyDescent="0.25">
      <c r="A958" t="s">
        <v>26</v>
      </c>
      <c r="B958" t="s">
        <v>1651</v>
      </c>
      <c r="C958" t="s">
        <v>106</v>
      </c>
      <c r="D958" t="s">
        <v>219</v>
      </c>
      <c r="E958" t="s">
        <v>79</v>
      </c>
      <c r="F958" t="s">
        <v>587</v>
      </c>
      <c r="G958" t="s">
        <v>32</v>
      </c>
      <c r="H958" t="s">
        <v>87</v>
      </c>
      <c r="I958" s="1" t="s">
        <v>1663</v>
      </c>
    </row>
    <row r="959" spans="1:9" ht="45" x14ac:dyDescent="0.25">
      <c r="A959" t="s">
        <v>26</v>
      </c>
      <c r="B959" t="s">
        <v>1651</v>
      </c>
      <c r="C959" t="s">
        <v>96</v>
      </c>
      <c r="D959" t="s">
        <v>201</v>
      </c>
      <c r="E959" t="s">
        <v>79</v>
      </c>
      <c r="F959" t="s">
        <v>119</v>
      </c>
      <c r="G959" t="s">
        <v>69</v>
      </c>
      <c r="H959" t="s">
        <v>87</v>
      </c>
      <c r="I959" s="1" t="s">
        <v>1664</v>
      </c>
    </row>
    <row r="960" spans="1:9" ht="75" x14ac:dyDescent="0.25">
      <c r="A960" t="s">
        <v>26</v>
      </c>
      <c r="B960" t="s">
        <v>1651</v>
      </c>
      <c r="C960" t="s">
        <v>92</v>
      </c>
      <c r="D960" t="s">
        <v>111</v>
      </c>
      <c r="E960" t="s">
        <v>79</v>
      </c>
      <c r="F960" t="s">
        <v>543</v>
      </c>
      <c r="G960" t="s">
        <v>81</v>
      </c>
      <c r="H960" t="s">
        <v>87</v>
      </c>
      <c r="I960" s="1" t="s">
        <v>1665</v>
      </c>
    </row>
    <row r="961" spans="1:9" ht="30" x14ac:dyDescent="0.25">
      <c r="A961" t="s">
        <v>49</v>
      </c>
      <c r="B961" t="s">
        <v>1651</v>
      </c>
      <c r="C961" t="s">
        <v>249</v>
      </c>
      <c r="D961" t="s">
        <v>880</v>
      </c>
      <c r="E961" t="s">
        <v>30</v>
      </c>
      <c r="F961" t="s">
        <v>94</v>
      </c>
      <c r="G961" t="s">
        <v>32</v>
      </c>
      <c r="H961" t="s">
        <v>87</v>
      </c>
      <c r="I961" s="1" t="s">
        <v>1666</v>
      </c>
    </row>
    <row r="962" spans="1:9" ht="105" x14ac:dyDescent="0.25">
      <c r="A962" t="s">
        <v>26</v>
      </c>
      <c r="B962" t="s">
        <v>1651</v>
      </c>
      <c r="C962" t="s">
        <v>106</v>
      </c>
      <c r="D962" t="s">
        <v>150</v>
      </c>
      <c r="E962" t="s">
        <v>79</v>
      </c>
      <c r="F962" t="s">
        <v>119</v>
      </c>
      <c r="G962" t="s">
        <v>32</v>
      </c>
      <c r="H962" t="s">
        <v>87</v>
      </c>
      <c r="I962" s="1" t="s">
        <v>1667</v>
      </c>
    </row>
    <row r="963" spans="1:9" ht="120" x14ac:dyDescent="0.25">
      <c r="A963" t="s">
        <v>26</v>
      </c>
      <c r="B963" t="s">
        <v>1651</v>
      </c>
      <c r="C963" t="s">
        <v>472</v>
      </c>
      <c r="D963" t="s">
        <v>1668</v>
      </c>
      <c r="E963" t="s">
        <v>79</v>
      </c>
      <c r="F963" t="s">
        <v>561</v>
      </c>
      <c r="G963" t="s">
        <v>32</v>
      </c>
      <c r="H963" t="s">
        <v>33</v>
      </c>
      <c r="I963" s="1" t="s">
        <v>1669</v>
      </c>
    </row>
    <row r="964" spans="1:9" ht="45" x14ac:dyDescent="0.25">
      <c r="A964" t="s">
        <v>26</v>
      </c>
      <c r="B964" t="s">
        <v>1651</v>
      </c>
      <c r="C964" t="s">
        <v>240</v>
      </c>
      <c r="D964" t="s">
        <v>597</v>
      </c>
      <c r="E964" t="s">
        <v>30</v>
      </c>
      <c r="F964" t="s">
        <v>94</v>
      </c>
      <c r="G964" t="s">
        <v>32</v>
      </c>
      <c r="H964" t="s">
        <v>33</v>
      </c>
      <c r="I964" s="1" t="s">
        <v>1670</v>
      </c>
    </row>
    <row r="965" spans="1:9" ht="60" x14ac:dyDescent="0.25">
      <c r="A965" t="s">
        <v>49</v>
      </c>
      <c r="B965" t="s">
        <v>1651</v>
      </c>
      <c r="C965" t="s">
        <v>240</v>
      </c>
      <c r="D965" t="s">
        <v>504</v>
      </c>
      <c r="E965" t="s">
        <v>30</v>
      </c>
      <c r="F965" t="s">
        <v>61</v>
      </c>
      <c r="G965" t="s">
        <v>69</v>
      </c>
      <c r="H965" t="s">
        <v>33</v>
      </c>
      <c r="I965" s="1" t="s">
        <v>1671</v>
      </c>
    </row>
    <row r="966" spans="1:9" ht="30" x14ac:dyDescent="0.25">
      <c r="A966" t="s">
        <v>26</v>
      </c>
      <c r="B966" t="s">
        <v>1651</v>
      </c>
      <c r="C966" t="s">
        <v>96</v>
      </c>
      <c r="D966" t="s">
        <v>1672</v>
      </c>
      <c r="E966" t="s">
        <v>30</v>
      </c>
      <c r="F966" t="s">
        <v>40</v>
      </c>
      <c r="G966" t="s">
        <v>69</v>
      </c>
      <c r="H966" t="s">
        <v>33</v>
      </c>
      <c r="I966" s="1" t="s">
        <v>1673</v>
      </c>
    </row>
    <row r="967" spans="1:9" ht="45" x14ac:dyDescent="0.25">
      <c r="A967" t="s">
        <v>26</v>
      </c>
      <c r="B967" t="s">
        <v>1651</v>
      </c>
      <c r="C967" t="s">
        <v>44</v>
      </c>
      <c r="D967" t="s">
        <v>45</v>
      </c>
      <c r="E967" t="s">
        <v>30</v>
      </c>
      <c r="F967" t="s">
        <v>52</v>
      </c>
      <c r="G967" t="s">
        <v>32</v>
      </c>
      <c r="H967" t="s">
        <v>87</v>
      </c>
      <c r="I967" s="1" t="s">
        <v>1674</v>
      </c>
    </row>
    <row r="968" spans="1:9" ht="105" x14ac:dyDescent="0.25">
      <c r="A968" t="s">
        <v>26</v>
      </c>
      <c r="B968" t="s">
        <v>1651</v>
      </c>
      <c r="C968" t="s">
        <v>106</v>
      </c>
      <c r="D968" t="s">
        <v>1675</v>
      </c>
      <c r="E968" t="s">
        <v>30</v>
      </c>
      <c r="F968" t="s">
        <v>161</v>
      </c>
      <c r="G968" t="s">
        <v>32</v>
      </c>
      <c r="H968" t="s">
        <v>33</v>
      </c>
      <c r="I968" s="1" t="s">
        <v>1676</v>
      </c>
    </row>
    <row r="969" spans="1:9" ht="135" x14ac:dyDescent="0.25">
      <c r="A969" t="s">
        <v>49</v>
      </c>
      <c r="B969" t="s">
        <v>1651</v>
      </c>
      <c r="C969" t="s">
        <v>240</v>
      </c>
      <c r="D969" t="s">
        <v>597</v>
      </c>
      <c r="E969" t="s">
        <v>30</v>
      </c>
      <c r="F969" t="s">
        <v>182</v>
      </c>
      <c r="G969" t="s">
        <v>81</v>
      </c>
      <c r="H969" t="s">
        <v>87</v>
      </c>
      <c r="I969" s="1" t="s">
        <v>1677</v>
      </c>
    </row>
    <row r="970" spans="1:9" ht="60" x14ac:dyDescent="0.25">
      <c r="A970" t="s">
        <v>26</v>
      </c>
      <c r="B970" t="s">
        <v>1651</v>
      </c>
      <c r="C970" t="s">
        <v>44</v>
      </c>
      <c r="D970" t="s">
        <v>165</v>
      </c>
      <c r="E970" t="s">
        <v>79</v>
      </c>
      <c r="F970" t="s">
        <v>492</v>
      </c>
      <c r="G970" t="s">
        <v>32</v>
      </c>
      <c r="H970" t="s">
        <v>33</v>
      </c>
      <c r="I970" s="1" t="s">
        <v>1678</v>
      </c>
    </row>
    <row r="971" spans="1:9" ht="90" x14ac:dyDescent="0.25">
      <c r="A971" t="s">
        <v>26</v>
      </c>
      <c r="B971" t="s">
        <v>1651</v>
      </c>
      <c r="C971" t="s">
        <v>28</v>
      </c>
      <c r="D971" t="s">
        <v>613</v>
      </c>
      <c r="E971" t="s">
        <v>79</v>
      </c>
      <c r="F971" t="s">
        <v>119</v>
      </c>
      <c r="G971" t="s">
        <v>32</v>
      </c>
      <c r="H971" t="s">
        <v>173</v>
      </c>
      <c r="I971" s="1" t="s">
        <v>1679</v>
      </c>
    </row>
    <row r="972" spans="1:9" x14ac:dyDescent="0.25">
      <c r="A972" t="s">
        <v>26</v>
      </c>
      <c r="B972" t="s">
        <v>1651</v>
      </c>
      <c r="C972" t="s">
        <v>96</v>
      </c>
      <c r="D972" t="s">
        <v>195</v>
      </c>
      <c r="E972" t="s">
        <v>30</v>
      </c>
      <c r="F972" t="s">
        <v>98</v>
      </c>
      <c r="G972" t="s">
        <v>32</v>
      </c>
      <c r="H972" t="s">
        <v>173</v>
      </c>
      <c r="I972" s="1" t="s">
        <v>1680</v>
      </c>
    </row>
    <row r="973" spans="1:9" ht="90" x14ac:dyDescent="0.25">
      <c r="A973" t="s">
        <v>49</v>
      </c>
      <c r="B973" t="s">
        <v>1651</v>
      </c>
      <c r="C973" t="s">
        <v>106</v>
      </c>
      <c r="D973" t="s">
        <v>807</v>
      </c>
      <c r="E973" t="s">
        <v>30</v>
      </c>
      <c r="F973" t="s">
        <v>543</v>
      </c>
      <c r="G973" t="s">
        <v>69</v>
      </c>
      <c r="H973" t="s">
        <v>173</v>
      </c>
      <c r="I973" s="1" t="s">
        <v>1681</v>
      </c>
    </row>
    <row r="974" spans="1:9" ht="90" x14ac:dyDescent="0.25">
      <c r="A974" t="s">
        <v>26</v>
      </c>
      <c r="B974" t="s">
        <v>1651</v>
      </c>
      <c r="C974" t="s">
        <v>44</v>
      </c>
      <c r="D974" t="s">
        <v>68</v>
      </c>
      <c r="E974" t="s">
        <v>79</v>
      </c>
      <c r="F974" t="s">
        <v>223</v>
      </c>
      <c r="G974" t="s">
        <v>81</v>
      </c>
      <c r="H974" t="s">
        <v>87</v>
      </c>
      <c r="I974" s="1" t="s">
        <v>1682</v>
      </c>
    </row>
    <row r="975" spans="1:9" ht="60" x14ac:dyDescent="0.25">
      <c r="A975" t="s">
        <v>49</v>
      </c>
      <c r="B975" t="s">
        <v>1651</v>
      </c>
      <c r="C975" t="s">
        <v>73</v>
      </c>
      <c r="D975" t="s">
        <v>678</v>
      </c>
      <c r="E975" t="s">
        <v>30</v>
      </c>
      <c r="F975" t="s">
        <v>543</v>
      </c>
      <c r="G975" t="s">
        <v>32</v>
      </c>
      <c r="H975" t="s">
        <v>87</v>
      </c>
      <c r="I975" s="1" t="s">
        <v>1683</v>
      </c>
    </row>
    <row r="976" spans="1:9" ht="60" x14ac:dyDescent="0.25">
      <c r="A976" t="s">
        <v>26</v>
      </c>
      <c r="B976" t="s">
        <v>1651</v>
      </c>
      <c r="C976" t="s">
        <v>472</v>
      </c>
      <c r="D976" t="s">
        <v>1684</v>
      </c>
      <c r="E976" t="s">
        <v>30</v>
      </c>
      <c r="F976" t="s">
        <v>446</v>
      </c>
      <c r="G976" t="s">
        <v>81</v>
      </c>
      <c r="H976" t="s">
        <v>87</v>
      </c>
      <c r="I976" s="1" t="s">
        <v>1685</v>
      </c>
    </row>
    <row r="977" spans="1:9" ht="90" x14ac:dyDescent="0.25">
      <c r="A977" t="s">
        <v>49</v>
      </c>
      <c r="B977" t="s">
        <v>1651</v>
      </c>
      <c r="C977" t="s">
        <v>50</v>
      </c>
      <c r="D977" t="s">
        <v>226</v>
      </c>
      <c r="E977" t="s">
        <v>79</v>
      </c>
      <c r="F977" t="s">
        <v>223</v>
      </c>
      <c r="G977" t="s">
        <v>32</v>
      </c>
      <c r="H977" t="s">
        <v>33</v>
      </c>
      <c r="I977" s="1" t="s">
        <v>1686</v>
      </c>
    </row>
    <row r="978" spans="1:9" x14ac:dyDescent="0.25">
      <c r="A978" t="s">
        <v>26</v>
      </c>
      <c r="B978" t="s">
        <v>1651</v>
      </c>
      <c r="C978" t="s">
        <v>85</v>
      </c>
      <c r="D978" t="s">
        <v>1230</v>
      </c>
      <c r="E978" t="s">
        <v>30</v>
      </c>
      <c r="F978" t="s">
        <v>202</v>
      </c>
      <c r="G978" t="s">
        <v>32</v>
      </c>
      <c r="H978" t="s">
        <v>87</v>
      </c>
      <c r="I978" s="1" t="s">
        <v>1687</v>
      </c>
    </row>
    <row r="979" spans="1:9" ht="105" x14ac:dyDescent="0.25">
      <c r="A979" t="s">
        <v>49</v>
      </c>
      <c r="B979" t="s">
        <v>1651</v>
      </c>
      <c r="C979" t="s">
        <v>106</v>
      </c>
      <c r="D979" t="s">
        <v>539</v>
      </c>
      <c r="E979" t="s">
        <v>30</v>
      </c>
      <c r="F979" t="s">
        <v>166</v>
      </c>
      <c r="G979" t="s">
        <v>32</v>
      </c>
      <c r="H979" t="s">
        <v>33</v>
      </c>
      <c r="I979" s="1" t="s">
        <v>1688</v>
      </c>
    </row>
    <row r="980" spans="1:9" ht="45" x14ac:dyDescent="0.25">
      <c r="A980" t="s">
        <v>26</v>
      </c>
      <c r="B980" t="s">
        <v>1651</v>
      </c>
      <c r="C980" t="s">
        <v>235</v>
      </c>
      <c r="D980" t="s">
        <v>236</v>
      </c>
      <c r="E980" t="s">
        <v>30</v>
      </c>
      <c r="F980" t="s">
        <v>61</v>
      </c>
      <c r="G980" t="s">
        <v>32</v>
      </c>
      <c r="H980" t="s">
        <v>33</v>
      </c>
      <c r="I980" s="1" t="s">
        <v>1689</v>
      </c>
    </row>
    <row r="981" spans="1:9" ht="30" x14ac:dyDescent="0.25">
      <c r="A981" t="s">
        <v>49</v>
      </c>
      <c r="B981" t="s">
        <v>1651</v>
      </c>
      <c r="C981" t="s">
        <v>180</v>
      </c>
      <c r="D981" t="s">
        <v>1331</v>
      </c>
      <c r="E981" t="s">
        <v>30</v>
      </c>
      <c r="F981" t="s">
        <v>294</v>
      </c>
      <c r="G981" t="s">
        <v>69</v>
      </c>
      <c r="H981" t="s">
        <v>173</v>
      </c>
      <c r="I981" s="1" t="s">
        <v>1690</v>
      </c>
    </row>
    <row r="982" spans="1:9" ht="90" x14ac:dyDescent="0.25">
      <c r="A982" t="s">
        <v>26</v>
      </c>
      <c r="B982" t="s">
        <v>1651</v>
      </c>
      <c r="C982" t="s">
        <v>55</v>
      </c>
      <c r="D982" t="s">
        <v>392</v>
      </c>
      <c r="E982" t="s">
        <v>30</v>
      </c>
      <c r="F982" t="s">
        <v>136</v>
      </c>
      <c r="G982" t="s">
        <v>81</v>
      </c>
      <c r="H982" t="s">
        <v>87</v>
      </c>
      <c r="I982" s="1" t="s">
        <v>1691</v>
      </c>
    </row>
    <row r="983" spans="1:9" ht="45" x14ac:dyDescent="0.25">
      <c r="A983" t="s">
        <v>49</v>
      </c>
      <c r="B983" t="s">
        <v>1651</v>
      </c>
      <c r="C983" t="s">
        <v>69</v>
      </c>
      <c r="D983" t="s">
        <v>500</v>
      </c>
      <c r="E983" t="s">
        <v>30</v>
      </c>
      <c r="F983" t="s">
        <v>417</v>
      </c>
      <c r="G983" t="s">
        <v>32</v>
      </c>
      <c r="H983" t="s">
        <v>87</v>
      </c>
      <c r="I983" s="1" t="s">
        <v>1692</v>
      </c>
    </row>
    <row r="984" spans="1:9" ht="30" x14ac:dyDescent="0.25">
      <c r="A984" t="s">
        <v>26</v>
      </c>
      <c r="B984" t="s">
        <v>1651</v>
      </c>
      <c r="C984" t="s">
        <v>50</v>
      </c>
      <c r="D984" t="s">
        <v>836</v>
      </c>
      <c r="E984" t="s">
        <v>30</v>
      </c>
      <c r="F984" t="s">
        <v>136</v>
      </c>
      <c r="G984" t="s">
        <v>69</v>
      </c>
      <c r="H984" t="s">
        <v>33</v>
      </c>
      <c r="I984" s="1" t="s">
        <v>1693</v>
      </c>
    </row>
    <row r="985" spans="1:9" ht="75" x14ac:dyDescent="0.25">
      <c r="A985" t="s">
        <v>49</v>
      </c>
      <c r="B985" t="s">
        <v>1651</v>
      </c>
      <c r="C985" t="s">
        <v>28</v>
      </c>
      <c r="D985" t="s">
        <v>613</v>
      </c>
      <c r="E985" t="s">
        <v>79</v>
      </c>
      <c r="F985" t="s">
        <v>216</v>
      </c>
      <c r="G985" t="s">
        <v>81</v>
      </c>
      <c r="H985" t="s">
        <v>173</v>
      </c>
      <c r="I985" s="1" t="s">
        <v>1694</v>
      </c>
    </row>
    <row r="986" spans="1:9" ht="90" x14ac:dyDescent="0.25">
      <c r="A986" t="s">
        <v>49</v>
      </c>
      <c r="B986" t="s">
        <v>1651</v>
      </c>
      <c r="C986" t="s">
        <v>249</v>
      </c>
      <c r="D986" t="s">
        <v>1695</v>
      </c>
      <c r="E986" t="s">
        <v>30</v>
      </c>
      <c r="F986" t="s">
        <v>94</v>
      </c>
      <c r="G986" t="s">
        <v>32</v>
      </c>
      <c r="H986" t="s">
        <v>33</v>
      </c>
      <c r="I986" s="1" t="s">
        <v>1696</v>
      </c>
    </row>
    <row r="987" spans="1:9" ht="45" x14ac:dyDescent="0.25">
      <c r="A987" t="s">
        <v>49</v>
      </c>
      <c r="B987" t="s">
        <v>1651</v>
      </c>
      <c r="C987" t="s">
        <v>55</v>
      </c>
      <c r="D987" t="s">
        <v>382</v>
      </c>
      <c r="E987" t="s">
        <v>79</v>
      </c>
      <c r="F987" t="s">
        <v>389</v>
      </c>
      <c r="G987" t="s">
        <v>81</v>
      </c>
      <c r="H987" t="s">
        <v>87</v>
      </c>
      <c r="I987" s="1" t="s">
        <v>1697</v>
      </c>
    </row>
    <row r="988" spans="1:9" ht="165" x14ac:dyDescent="0.25">
      <c r="A988" t="s">
        <v>26</v>
      </c>
      <c r="B988" t="s">
        <v>1651</v>
      </c>
      <c r="C988" t="s">
        <v>180</v>
      </c>
      <c r="D988" t="s">
        <v>1105</v>
      </c>
      <c r="E988" t="s">
        <v>30</v>
      </c>
      <c r="F988" t="s">
        <v>61</v>
      </c>
      <c r="G988" t="s">
        <v>32</v>
      </c>
      <c r="H988" t="s">
        <v>33</v>
      </c>
      <c r="I988" s="1" t="s">
        <v>1698</v>
      </c>
    </row>
    <row r="989" spans="1:9" ht="30" x14ac:dyDescent="0.25">
      <c r="A989" t="s">
        <v>37</v>
      </c>
      <c r="B989" t="s">
        <v>1651</v>
      </c>
      <c r="C989" t="s">
        <v>92</v>
      </c>
      <c r="D989" t="s">
        <v>111</v>
      </c>
      <c r="E989" t="s">
        <v>30</v>
      </c>
      <c r="F989" t="s">
        <v>130</v>
      </c>
      <c r="G989" t="s">
        <v>32</v>
      </c>
      <c r="H989" t="s">
        <v>33</v>
      </c>
      <c r="I989" s="1" t="s">
        <v>1699</v>
      </c>
    </row>
    <row r="990" spans="1:9" ht="105" x14ac:dyDescent="0.25">
      <c r="A990" t="s">
        <v>49</v>
      </c>
      <c r="B990" t="s">
        <v>1651</v>
      </c>
      <c r="C990" t="s">
        <v>249</v>
      </c>
      <c r="D990" t="s">
        <v>1700</v>
      </c>
      <c r="E990" t="s">
        <v>30</v>
      </c>
      <c r="F990" t="s">
        <v>166</v>
      </c>
      <c r="G990" t="s">
        <v>32</v>
      </c>
      <c r="H990" t="s">
        <v>87</v>
      </c>
      <c r="I990" s="1" t="s">
        <v>1701</v>
      </c>
    </row>
    <row r="991" spans="1:9" ht="60" x14ac:dyDescent="0.25">
      <c r="A991" t="s">
        <v>37</v>
      </c>
      <c r="B991" t="s">
        <v>1651</v>
      </c>
      <c r="C991" t="s">
        <v>28</v>
      </c>
      <c r="D991" t="s">
        <v>946</v>
      </c>
      <c r="E991" t="s">
        <v>30</v>
      </c>
      <c r="F991" t="s">
        <v>543</v>
      </c>
      <c r="G991" t="s">
        <v>69</v>
      </c>
      <c r="H991" t="s">
        <v>87</v>
      </c>
      <c r="I991" s="1" t="s">
        <v>1702</v>
      </c>
    </row>
    <row r="992" spans="1:9" ht="45" x14ac:dyDescent="0.25">
      <c r="A992" t="s">
        <v>26</v>
      </c>
      <c r="B992" t="s">
        <v>1651</v>
      </c>
      <c r="C992" t="s">
        <v>44</v>
      </c>
      <c r="D992" t="s">
        <v>616</v>
      </c>
      <c r="E992" t="s">
        <v>30</v>
      </c>
      <c r="F992" t="s">
        <v>205</v>
      </c>
      <c r="G992" t="s">
        <v>69</v>
      </c>
      <c r="H992" t="s">
        <v>173</v>
      </c>
      <c r="I992" s="1" t="s">
        <v>1703</v>
      </c>
    </row>
    <row r="993" spans="1:9" ht="90" x14ac:dyDescent="0.25">
      <c r="A993" t="s">
        <v>37</v>
      </c>
      <c r="B993" t="s">
        <v>1651</v>
      </c>
      <c r="C993" t="s">
        <v>240</v>
      </c>
      <c r="D993" t="s">
        <v>597</v>
      </c>
      <c r="E993" t="s">
        <v>30</v>
      </c>
      <c r="F993" t="s">
        <v>61</v>
      </c>
      <c r="G993" t="s">
        <v>69</v>
      </c>
      <c r="H993" t="s">
        <v>173</v>
      </c>
      <c r="I993" s="1" t="s">
        <v>1704</v>
      </c>
    </row>
    <row r="994" spans="1:9" x14ac:dyDescent="0.25">
      <c r="A994" t="s">
        <v>49</v>
      </c>
      <c r="B994" t="s">
        <v>1651</v>
      </c>
      <c r="C994" t="s">
        <v>240</v>
      </c>
      <c r="D994" t="s">
        <v>597</v>
      </c>
      <c r="E994" t="s">
        <v>30</v>
      </c>
      <c r="F994" t="s">
        <v>633</v>
      </c>
      <c r="G994" t="s">
        <v>32</v>
      </c>
      <c r="H994" t="s">
        <v>33</v>
      </c>
      <c r="I994" s="1" t="s">
        <v>1705</v>
      </c>
    </row>
    <row r="995" spans="1:9" ht="60" x14ac:dyDescent="0.25">
      <c r="A995" t="s">
        <v>64</v>
      </c>
      <c r="B995" t="s">
        <v>1651</v>
      </c>
      <c r="C995" t="s">
        <v>249</v>
      </c>
      <c r="D995" t="s">
        <v>905</v>
      </c>
      <c r="E995" t="s">
        <v>30</v>
      </c>
      <c r="F995" t="s">
        <v>140</v>
      </c>
      <c r="G995" t="s">
        <v>32</v>
      </c>
      <c r="H995" t="s">
        <v>33</v>
      </c>
      <c r="I995" s="1" t="s">
        <v>1706</v>
      </c>
    </row>
    <row r="996" spans="1:9" ht="45" x14ac:dyDescent="0.25">
      <c r="A996" t="s">
        <v>26</v>
      </c>
      <c r="B996" t="s">
        <v>1651</v>
      </c>
      <c r="C996" t="s">
        <v>44</v>
      </c>
      <c r="D996" t="s">
        <v>655</v>
      </c>
      <c r="E996" t="s">
        <v>30</v>
      </c>
      <c r="F996" t="s">
        <v>166</v>
      </c>
      <c r="G996" t="s">
        <v>32</v>
      </c>
      <c r="H996" t="s">
        <v>33</v>
      </c>
      <c r="I996" s="1" t="s">
        <v>1707</v>
      </c>
    </row>
    <row r="997" spans="1:9" ht="30" x14ac:dyDescent="0.25">
      <c r="A997" t="s">
        <v>64</v>
      </c>
      <c r="B997" t="s">
        <v>1651</v>
      </c>
      <c r="C997" t="s">
        <v>249</v>
      </c>
      <c r="D997" t="s">
        <v>306</v>
      </c>
      <c r="E997" t="s">
        <v>30</v>
      </c>
      <c r="F997" t="s">
        <v>186</v>
      </c>
      <c r="G997" t="s">
        <v>69</v>
      </c>
      <c r="H997" t="s">
        <v>33</v>
      </c>
      <c r="I997" s="1" t="s">
        <v>1708</v>
      </c>
    </row>
    <row r="998" spans="1:9" ht="30" x14ac:dyDescent="0.25">
      <c r="A998" t="s">
        <v>49</v>
      </c>
      <c r="B998" t="s">
        <v>1651</v>
      </c>
      <c r="C998" t="s">
        <v>472</v>
      </c>
      <c r="D998" t="s">
        <v>839</v>
      </c>
      <c r="E998" t="s">
        <v>79</v>
      </c>
      <c r="F998" t="s">
        <v>186</v>
      </c>
      <c r="G998" t="s">
        <v>32</v>
      </c>
      <c r="H998" t="s">
        <v>173</v>
      </c>
      <c r="I998" s="1" t="s">
        <v>1709</v>
      </c>
    </row>
    <row r="999" spans="1:9" ht="30" x14ac:dyDescent="0.25">
      <c r="A999" t="s">
        <v>64</v>
      </c>
      <c r="B999" t="s">
        <v>1651</v>
      </c>
      <c r="C999" t="s">
        <v>50</v>
      </c>
      <c r="D999" t="s">
        <v>817</v>
      </c>
      <c r="E999" t="s">
        <v>30</v>
      </c>
      <c r="F999" t="s">
        <v>154</v>
      </c>
      <c r="G999" t="s">
        <v>32</v>
      </c>
      <c r="H999" t="s">
        <v>87</v>
      </c>
      <c r="I999" s="1" t="s">
        <v>1710</v>
      </c>
    </row>
    <row r="1000" spans="1:9" ht="60" x14ac:dyDescent="0.25">
      <c r="A1000" t="s">
        <v>26</v>
      </c>
      <c r="B1000" t="s">
        <v>1651</v>
      </c>
      <c r="C1000" t="s">
        <v>44</v>
      </c>
      <c r="D1000" t="s">
        <v>1711</v>
      </c>
      <c r="E1000" t="s">
        <v>30</v>
      </c>
      <c r="F1000" t="s">
        <v>98</v>
      </c>
      <c r="G1000" t="s">
        <v>32</v>
      </c>
      <c r="H1000" t="s">
        <v>87</v>
      </c>
      <c r="I1000" s="1" t="s">
        <v>1712</v>
      </c>
    </row>
    <row r="1001" spans="1:9" ht="105" x14ac:dyDescent="0.25">
      <c r="A1001" t="s">
        <v>64</v>
      </c>
      <c r="B1001" t="s">
        <v>1651</v>
      </c>
      <c r="C1001" t="s">
        <v>96</v>
      </c>
      <c r="D1001" t="s">
        <v>546</v>
      </c>
      <c r="E1001" t="s">
        <v>79</v>
      </c>
      <c r="F1001" t="s">
        <v>98</v>
      </c>
      <c r="G1001" t="s">
        <v>32</v>
      </c>
      <c r="H1001" t="s">
        <v>33</v>
      </c>
      <c r="I1001" s="1" t="s">
        <v>1713</v>
      </c>
    </row>
    <row r="1002" spans="1:9" ht="105" x14ac:dyDescent="0.25">
      <c r="A1002" t="s">
        <v>49</v>
      </c>
      <c r="B1002" t="s">
        <v>1651</v>
      </c>
      <c r="C1002" t="s">
        <v>50</v>
      </c>
      <c r="D1002" t="s">
        <v>1013</v>
      </c>
      <c r="E1002" t="s">
        <v>30</v>
      </c>
      <c r="F1002" t="s">
        <v>147</v>
      </c>
      <c r="G1002" t="s">
        <v>69</v>
      </c>
      <c r="H1002" t="s">
        <v>173</v>
      </c>
      <c r="I1002" s="1" t="s">
        <v>1714</v>
      </c>
    </row>
    <row r="1003" spans="1:9" ht="45" x14ac:dyDescent="0.25">
      <c r="A1003" t="s">
        <v>26</v>
      </c>
      <c r="B1003" t="s">
        <v>1651</v>
      </c>
      <c r="C1003" t="s">
        <v>85</v>
      </c>
      <c r="D1003" t="s">
        <v>338</v>
      </c>
      <c r="E1003" t="s">
        <v>79</v>
      </c>
      <c r="F1003" t="s">
        <v>216</v>
      </c>
      <c r="G1003" t="s">
        <v>32</v>
      </c>
      <c r="H1003" t="s">
        <v>173</v>
      </c>
      <c r="I1003" s="1" t="s">
        <v>1715</v>
      </c>
    </row>
    <row r="1004" spans="1:9" ht="105" x14ac:dyDescent="0.25">
      <c r="A1004" t="s">
        <v>49</v>
      </c>
      <c r="B1004" t="s">
        <v>1651</v>
      </c>
      <c r="C1004" t="s">
        <v>28</v>
      </c>
      <c r="D1004" t="s">
        <v>470</v>
      </c>
      <c r="E1004" t="s">
        <v>30</v>
      </c>
      <c r="F1004" t="s">
        <v>119</v>
      </c>
      <c r="G1004" t="s">
        <v>38</v>
      </c>
      <c r="H1004" t="s">
        <v>87</v>
      </c>
      <c r="I1004" s="1" t="s">
        <v>1716</v>
      </c>
    </row>
    <row r="1005" spans="1:9" ht="30" x14ac:dyDescent="0.25">
      <c r="A1005" t="s">
        <v>26</v>
      </c>
      <c r="B1005" t="s">
        <v>1651</v>
      </c>
      <c r="C1005" t="s">
        <v>28</v>
      </c>
      <c r="D1005" t="s">
        <v>522</v>
      </c>
      <c r="E1005" t="s">
        <v>30</v>
      </c>
      <c r="F1005" t="s">
        <v>40</v>
      </c>
      <c r="G1005" t="s">
        <v>32</v>
      </c>
      <c r="H1005" t="s">
        <v>33</v>
      </c>
      <c r="I1005" s="1" t="s">
        <v>1717</v>
      </c>
    </row>
    <row r="1006" spans="1:9" ht="30" x14ac:dyDescent="0.25">
      <c r="A1006" t="s">
        <v>49</v>
      </c>
      <c r="B1006" t="s">
        <v>1651</v>
      </c>
      <c r="C1006" t="s">
        <v>28</v>
      </c>
      <c r="D1006" t="s">
        <v>486</v>
      </c>
      <c r="E1006" t="s">
        <v>30</v>
      </c>
      <c r="F1006" t="s">
        <v>46</v>
      </c>
      <c r="G1006" t="s">
        <v>32</v>
      </c>
      <c r="H1006" t="s">
        <v>87</v>
      </c>
      <c r="I1006" s="1" t="s">
        <v>1718</v>
      </c>
    </row>
    <row r="1007" spans="1:9" ht="75" x14ac:dyDescent="0.25">
      <c r="A1007" t="s">
        <v>49</v>
      </c>
      <c r="B1007" t="s">
        <v>1651</v>
      </c>
      <c r="C1007" t="s">
        <v>240</v>
      </c>
      <c r="D1007" t="s">
        <v>597</v>
      </c>
      <c r="E1007" t="s">
        <v>30</v>
      </c>
      <c r="F1007" t="s">
        <v>561</v>
      </c>
      <c r="G1007" t="s">
        <v>69</v>
      </c>
      <c r="H1007" t="s">
        <v>87</v>
      </c>
      <c r="I1007" s="1" t="s">
        <v>1719</v>
      </c>
    </row>
    <row r="1008" spans="1:9" ht="60" x14ac:dyDescent="0.25">
      <c r="A1008" t="s">
        <v>91</v>
      </c>
      <c r="B1008" t="s">
        <v>1651</v>
      </c>
      <c r="C1008" t="s">
        <v>73</v>
      </c>
      <c r="D1008" t="s">
        <v>455</v>
      </c>
      <c r="E1008" t="s">
        <v>79</v>
      </c>
      <c r="F1008" t="s">
        <v>161</v>
      </c>
      <c r="G1008" t="s">
        <v>32</v>
      </c>
      <c r="H1008" t="s">
        <v>87</v>
      </c>
      <c r="I1008" s="1" t="s">
        <v>1720</v>
      </c>
    </row>
    <row r="1009" spans="1:9" ht="45" x14ac:dyDescent="0.25">
      <c r="A1009" t="s">
        <v>49</v>
      </c>
      <c r="B1009" t="s">
        <v>1651</v>
      </c>
      <c r="C1009" t="s">
        <v>28</v>
      </c>
      <c r="D1009" t="s">
        <v>388</v>
      </c>
      <c r="E1009" t="s">
        <v>30</v>
      </c>
      <c r="F1009" t="s">
        <v>389</v>
      </c>
      <c r="G1009" t="s">
        <v>32</v>
      </c>
      <c r="H1009" t="s">
        <v>33</v>
      </c>
      <c r="I1009" s="1" t="s">
        <v>1721</v>
      </c>
    </row>
    <row r="1010" spans="1:9" ht="75" x14ac:dyDescent="0.25">
      <c r="A1010" t="s">
        <v>91</v>
      </c>
      <c r="B1010" t="s">
        <v>1651</v>
      </c>
      <c r="C1010" t="s">
        <v>180</v>
      </c>
      <c r="D1010" t="s">
        <v>1722</v>
      </c>
      <c r="E1010" t="s">
        <v>30</v>
      </c>
      <c r="F1010" t="s">
        <v>119</v>
      </c>
      <c r="G1010" t="s">
        <v>32</v>
      </c>
      <c r="H1010" t="s">
        <v>33</v>
      </c>
      <c r="I1010" s="1" t="s">
        <v>1723</v>
      </c>
    </row>
    <row r="1011" spans="1:9" ht="60" x14ac:dyDescent="0.25">
      <c r="A1011" t="s">
        <v>49</v>
      </c>
      <c r="B1011" t="s">
        <v>1651</v>
      </c>
      <c r="C1011" t="s">
        <v>28</v>
      </c>
      <c r="D1011" t="s">
        <v>715</v>
      </c>
      <c r="E1011" t="s">
        <v>30</v>
      </c>
      <c r="F1011" t="s">
        <v>130</v>
      </c>
      <c r="G1011" t="s">
        <v>32</v>
      </c>
      <c r="H1011" t="s">
        <v>33</v>
      </c>
      <c r="I1011" s="1" t="s">
        <v>1724</v>
      </c>
    </row>
    <row r="1012" spans="1:9" ht="105" x14ac:dyDescent="0.25">
      <c r="A1012" t="s">
        <v>64</v>
      </c>
      <c r="B1012" t="s">
        <v>1651</v>
      </c>
      <c r="C1012" t="s">
        <v>85</v>
      </c>
      <c r="D1012" t="s">
        <v>1529</v>
      </c>
      <c r="E1012" t="s">
        <v>30</v>
      </c>
      <c r="F1012" t="s">
        <v>587</v>
      </c>
      <c r="G1012" t="s">
        <v>81</v>
      </c>
      <c r="H1012" t="s">
        <v>87</v>
      </c>
      <c r="I1012" s="1" t="s">
        <v>1725</v>
      </c>
    </row>
    <row r="1013" spans="1:9" x14ac:dyDescent="0.25">
      <c r="A1013" t="s">
        <v>59</v>
      </c>
      <c r="B1013" t="s">
        <v>1651</v>
      </c>
      <c r="C1013" t="s">
        <v>472</v>
      </c>
      <c r="D1013" t="s">
        <v>1301</v>
      </c>
      <c r="E1013" t="s">
        <v>30</v>
      </c>
      <c r="F1013" t="s">
        <v>94</v>
      </c>
      <c r="G1013" t="s">
        <v>32</v>
      </c>
      <c r="H1013" t="s">
        <v>33</v>
      </c>
      <c r="I1013" s="1" t="s">
        <v>1726</v>
      </c>
    </row>
    <row r="1014" spans="1:9" ht="45" x14ac:dyDescent="0.25">
      <c r="A1014" t="s">
        <v>37</v>
      </c>
      <c r="B1014" t="s">
        <v>1651</v>
      </c>
      <c r="C1014" t="s">
        <v>249</v>
      </c>
      <c r="D1014" t="s">
        <v>495</v>
      </c>
      <c r="E1014" t="s">
        <v>30</v>
      </c>
      <c r="F1014" t="s">
        <v>189</v>
      </c>
      <c r="G1014" t="s">
        <v>69</v>
      </c>
      <c r="H1014" t="s">
        <v>87</v>
      </c>
      <c r="I1014" s="1" t="s">
        <v>1727</v>
      </c>
    </row>
    <row r="1015" spans="1:9" ht="45" x14ac:dyDescent="0.25">
      <c r="A1015" t="s">
        <v>37</v>
      </c>
      <c r="B1015" t="s">
        <v>1651</v>
      </c>
      <c r="C1015" t="s">
        <v>96</v>
      </c>
      <c r="D1015" t="s">
        <v>1363</v>
      </c>
      <c r="E1015" t="s">
        <v>30</v>
      </c>
      <c r="F1015" t="s">
        <v>108</v>
      </c>
      <c r="G1015" t="s">
        <v>32</v>
      </c>
      <c r="H1015" t="s">
        <v>33</v>
      </c>
      <c r="I1015" s="1" t="s">
        <v>1728</v>
      </c>
    </row>
    <row r="1016" spans="1:9" ht="105" x14ac:dyDescent="0.25">
      <c r="A1016" t="s">
        <v>26</v>
      </c>
      <c r="B1016" t="s">
        <v>1729</v>
      </c>
      <c r="C1016" t="s">
        <v>73</v>
      </c>
      <c r="D1016" t="s">
        <v>157</v>
      </c>
      <c r="E1016" t="s">
        <v>30</v>
      </c>
      <c r="F1016" t="s">
        <v>216</v>
      </c>
      <c r="G1016" t="s">
        <v>81</v>
      </c>
      <c r="H1016" t="s">
        <v>87</v>
      </c>
      <c r="I1016" s="1" t="s">
        <v>1730</v>
      </c>
    </row>
    <row r="1017" spans="1:9" ht="75" x14ac:dyDescent="0.25">
      <c r="A1017" t="s">
        <v>26</v>
      </c>
      <c r="B1017" t="s">
        <v>1729</v>
      </c>
      <c r="C1017" t="s">
        <v>106</v>
      </c>
      <c r="D1017" t="s">
        <v>370</v>
      </c>
      <c r="E1017" t="s">
        <v>30</v>
      </c>
      <c r="F1017" t="s">
        <v>166</v>
      </c>
      <c r="G1017" t="s">
        <v>32</v>
      </c>
      <c r="H1017" t="s">
        <v>173</v>
      </c>
      <c r="I1017" s="1" t="s">
        <v>1731</v>
      </c>
    </row>
    <row r="1018" spans="1:9" ht="105" x14ac:dyDescent="0.25">
      <c r="A1018" t="s">
        <v>26</v>
      </c>
      <c r="B1018" t="s">
        <v>1729</v>
      </c>
      <c r="C1018" t="s">
        <v>96</v>
      </c>
      <c r="D1018" t="s">
        <v>139</v>
      </c>
      <c r="E1018" t="s">
        <v>30</v>
      </c>
      <c r="F1018" t="s">
        <v>140</v>
      </c>
      <c r="G1018" t="s">
        <v>69</v>
      </c>
      <c r="H1018" t="s">
        <v>173</v>
      </c>
      <c r="I1018" s="1" t="s">
        <v>1732</v>
      </c>
    </row>
    <row r="1019" spans="1:9" ht="60" x14ac:dyDescent="0.25">
      <c r="A1019" t="s">
        <v>49</v>
      </c>
      <c r="B1019" t="s">
        <v>1729</v>
      </c>
      <c r="C1019" t="s">
        <v>44</v>
      </c>
      <c r="D1019" t="s">
        <v>655</v>
      </c>
      <c r="E1019" t="s">
        <v>79</v>
      </c>
      <c r="F1019" t="s">
        <v>161</v>
      </c>
      <c r="G1019" t="s">
        <v>69</v>
      </c>
      <c r="H1019" t="s">
        <v>33</v>
      </c>
      <c r="I1019" s="1" t="s">
        <v>1733</v>
      </c>
    </row>
    <row r="1020" spans="1:9" ht="60" x14ac:dyDescent="0.25">
      <c r="A1020" t="s">
        <v>37</v>
      </c>
      <c r="B1020" t="s">
        <v>1729</v>
      </c>
      <c r="C1020" t="s">
        <v>92</v>
      </c>
      <c r="D1020" t="s">
        <v>111</v>
      </c>
      <c r="E1020" t="s">
        <v>30</v>
      </c>
      <c r="F1020" t="s">
        <v>154</v>
      </c>
      <c r="G1020" t="s">
        <v>81</v>
      </c>
      <c r="H1020" t="s">
        <v>87</v>
      </c>
      <c r="I1020" s="1" t="s">
        <v>1734</v>
      </c>
    </row>
    <row r="1021" spans="1:9" ht="45" x14ac:dyDescent="0.25">
      <c r="A1021" t="s">
        <v>37</v>
      </c>
      <c r="B1021" t="s">
        <v>1729</v>
      </c>
      <c r="C1021" t="s">
        <v>32</v>
      </c>
      <c r="D1021" t="s">
        <v>1116</v>
      </c>
      <c r="E1021" t="s">
        <v>30</v>
      </c>
      <c r="F1021" t="s">
        <v>61</v>
      </c>
      <c r="G1021" t="s">
        <v>69</v>
      </c>
      <c r="H1021" t="s">
        <v>87</v>
      </c>
      <c r="I1021" s="1" t="s">
        <v>1735</v>
      </c>
    </row>
    <row r="1022" spans="1:9" ht="90" x14ac:dyDescent="0.25">
      <c r="A1022" t="s">
        <v>37</v>
      </c>
      <c r="B1022" t="s">
        <v>1729</v>
      </c>
      <c r="C1022" t="s">
        <v>85</v>
      </c>
      <c r="D1022" t="s">
        <v>1736</v>
      </c>
      <c r="E1022" t="s">
        <v>30</v>
      </c>
      <c r="F1022" t="s">
        <v>112</v>
      </c>
      <c r="G1022" t="s">
        <v>69</v>
      </c>
      <c r="H1022" t="s">
        <v>33</v>
      </c>
      <c r="I1022" s="1" t="s">
        <v>1737</v>
      </c>
    </row>
    <row r="1023" spans="1:9" ht="75" x14ac:dyDescent="0.25">
      <c r="A1023" t="s">
        <v>26</v>
      </c>
      <c r="B1023" t="s">
        <v>1738</v>
      </c>
      <c r="C1023" t="s">
        <v>263</v>
      </c>
      <c r="D1023" t="s">
        <v>1739</v>
      </c>
      <c r="E1023" t="s">
        <v>30</v>
      </c>
      <c r="F1023" t="s">
        <v>94</v>
      </c>
      <c r="G1023" t="s">
        <v>32</v>
      </c>
      <c r="H1023" t="s">
        <v>33</v>
      </c>
      <c r="I1023" s="1" t="s">
        <v>1740</v>
      </c>
    </row>
    <row r="1024" spans="1:9" ht="105" x14ac:dyDescent="0.25">
      <c r="A1024" t="s">
        <v>26</v>
      </c>
      <c r="B1024" t="s">
        <v>1738</v>
      </c>
      <c r="C1024" t="s">
        <v>263</v>
      </c>
      <c r="D1024" t="s">
        <v>1128</v>
      </c>
      <c r="E1024" t="s">
        <v>30</v>
      </c>
      <c r="F1024" t="s">
        <v>40</v>
      </c>
      <c r="G1024" t="s">
        <v>69</v>
      </c>
      <c r="H1024" t="s">
        <v>87</v>
      </c>
      <c r="I1024" s="1" t="s">
        <v>1741</v>
      </c>
    </row>
    <row r="1025" spans="1:9" ht="75" x14ac:dyDescent="0.25">
      <c r="A1025" t="s">
        <v>26</v>
      </c>
      <c r="B1025" t="s">
        <v>1738</v>
      </c>
      <c r="C1025" t="s">
        <v>263</v>
      </c>
      <c r="D1025" t="s">
        <v>1135</v>
      </c>
      <c r="E1025" t="s">
        <v>30</v>
      </c>
      <c r="F1025" t="s">
        <v>202</v>
      </c>
      <c r="G1025" t="s">
        <v>69</v>
      </c>
      <c r="H1025" t="s">
        <v>173</v>
      </c>
      <c r="I1025" s="1" t="s">
        <v>1742</v>
      </c>
    </row>
    <row r="1026" spans="1:9" ht="105" x14ac:dyDescent="0.25">
      <c r="A1026" t="s">
        <v>26</v>
      </c>
      <c r="B1026" t="s">
        <v>1738</v>
      </c>
      <c r="C1026" t="s">
        <v>235</v>
      </c>
      <c r="D1026" t="s">
        <v>270</v>
      </c>
      <c r="E1026" t="s">
        <v>30</v>
      </c>
      <c r="F1026" t="s">
        <v>52</v>
      </c>
      <c r="G1026" t="s">
        <v>69</v>
      </c>
      <c r="H1026" t="s">
        <v>87</v>
      </c>
      <c r="I1026" s="1" t="s">
        <v>1743</v>
      </c>
    </row>
    <row r="1027" spans="1:9" ht="30" x14ac:dyDescent="0.25">
      <c r="A1027" t="s">
        <v>26</v>
      </c>
      <c r="B1027" t="s">
        <v>1738</v>
      </c>
      <c r="C1027" t="s">
        <v>235</v>
      </c>
      <c r="D1027" t="s">
        <v>1002</v>
      </c>
      <c r="E1027" t="s">
        <v>30</v>
      </c>
      <c r="F1027" t="s">
        <v>602</v>
      </c>
      <c r="G1027" t="s">
        <v>69</v>
      </c>
      <c r="H1027" t="s">
        <v>33</v>
      </c>
      <c r="I1027" s="1" t="s">
        <v>1744</v>
      </c>
    </row>
    <row r="1028" spans="1:9" ht="105" x14ac:dyDescent="0.25">
      <c r="A1028" t="s">
        <v>26</v>
      </c>
      <c r="B1028" t="s">
        <v>1738</v>
      </c>
      <c r="C1028" t="s">
        <v>263</v>
      </c>
      <c r="D1028" t="s">
        <v>650</v>
      </c>
      <c r="E1028" t="s">
        <v>30</v>
      </c>
      <c r="F1028" t="s">
        <v>98</v>
      </c>
      <c r="G1028" t="s">
        <v>69</v>
      </c>
      <c r="H1028" t="s">
        <v>87</v>
      </c>
      <c r="I1028" s="1" t="s">
        <v>1745</v>
      </c>
    </row>
    <row r="1029" spans="1:9" x14ac:dyDescent="0.25">
      <c r="A1029" t="s">
        <v>26</v>
      </c>
      <c r="B1029" t="s">
        <v>1738</v>
      </c>
      <c r="C1029" t="s">
        <v>249</v>
      </c>
      <c r="D1029" t="s">
        <v>657</v>
      </c>
      <c r="E1029" t="s">
        <v>30</v>
      </c>
      <c r="F1029" t="s">
        <v>112</v>
      </c>
      <c r="G1029" t="s">
        <v>69</v>
      </c>
      <c r="H1029" t="s">
        <v>173</v>
      </c>
      <c r="I1029" s="1" t="s">
        <v>1746</v>
      </c>
    </row>
    <row r="1030" spans="1:9" ht="75" x14ac:dyDescent="0.25">
      <c r="A1030" t="s">
        <v>49</v>
      </c>
      <c r="B1030" t="s">
        <v>1738</v>
      </c>
      <c r="C1030" t="s">
        <v>263</v>
      </c>
      <c r="D1030" t="s">
        <v>841</v>
      </c>
      <c r="E1030" t="s">
        <v>79</v>
      </c>
      <c r="F1030" t="s">
        <v>40</v>
      </c>
      <c r="G1030" t="s">
        <v>32</v>
      </c>
      <c r="H1030" t="s">
        <v>173</v>
      </c>
      <c r="I1030" s="1" t="s">
        <v>1747</v>
      </c>
    </row>
    <row r="1031" spans="1:9" ht="105" x14ac:dyDescent="0.25">
      <c r="A1031" t="s">
        <v>26</v>
      </c>
      <c r="B1031" t="s">
        <v>1738</v>
      </c>
      <c r="C1031" t="s">
        <v>69</v>
      </c>
      <c r="D1031" t="s">
        <v>500</v>
      </c>
      <c r="E1031" t="s">
        <v>30</v>
      </c>
      <c r="F1031" t="s">
        <v>161</v>
      </c>
      <c r="G1031" t="s">
        <v>32</v>
      </c>
      <c r="H1031" t="s">
        <v>33</v>
      </c>
      <c r="I1031" s="1" t="s">
        <v>1748</v>
      </c>
    </row>
    <row r="1032" spans="1:9" ht="45" x14ac:dyDescent="0.25">
      <c r="A1032" t="s">
        <v>26</v>
      </c>
      <c r="B1032" t="s">
        <v>1738</v>
      </c>
      <c r="C1032" t="s">
        <v>92</v>
      </c>
      <c r="D1032" t="s">
        <v>93</v>
      </c>
      <c r="E1032" t="s">
        <v>30</v>
      </c>
      <c r="F1032" t="s">
        <v>98</v>
      </c>
      <c r="G1032" t="s">
        <v>69</v>
      </c>
      <c r="H1032" t="s">
        <v>87</v>
      </c>
      <c r="I1032" s="1" t="s">
        <v>1749</v>
      </c>
    </row>
    <row r="1033" spans="1:9" ht="45" x14ac:dyDescent="0.25">
      <c r="A1033" t="s">
        <v>26</v>
      </c>
      <c r="B1033" t="s">
        <v>1738</v>
      </c>
      <c r="C1033" t="s">
        <v>50</v>
      </c>
      <c r="D1033" t="s">
        <v>1750</v>
      </c>
      <c r="E1033" t="s">
        <v>30</v>
      </c>
      <c r="F1033" t="s">
        <v>543</v>
      </c>
      <c r="G1033" t="s">
        <v>32</v>
      </c>
      <c r="H1033" t="s">
        <v>173</v>
      </c>
      <c r="I1033" s="1" t="s">
        <v>1751</v>
      </c>
    </row>
    <row r="1034" spans="1:9" ht="105" x14ac:dyDescent="0.25">
      <c r="A1034" t="s">
        <v>37</v>
      </c>
      <c r="B1034" t="s">
        <v>1738</v>
      </c>
      <c r="C1034" t="s">
        <v>106</v>
      </c>
      <c r="D1034" t="s">
        <v>832</v>
      </c>
      <c r="E1034" t="s">
        <v>79</v>
      </c>
      <c r="F1034" t="s">
        <v>635</v>
      </c>
      <c r="G1034" t="s">
        <v>263</v>
      </c>
      <c r="H1034" t="s">
        <v>87</v>
      </c>
      <c r="I1034" s="1" t="s">
        <v>1752</v>
      </c>
    </row>
    <row r="1035" spans="1:9" ht="60" x14ac:dyDescent="0.25">
      <c r="A1035" t="s">
        <v>26</v>
      </c>
      <c r="B1035" t="s">
        <v>1738</v>
      </c>
      <c r="C1035" t="s">
        <v>28</v>
      </c>
      <c r="D1035" t="s">
        <v>613</v>
      </c>
      <c r="E1035" t="s">
        <v>30</v>
      </c>
      <c r="F1035" t="s">
        <v>112</v>
      </c>
      <c r="G1035" t="s">
        <v>32</v>
      </c>
      <c r="H1035" t="s">
        <v>33</v>
      </c>
      <c r="I1035" s="1" t="s">
        <v>1753</v>
      </c>
    </row>
    <row r="1036" spans="1:9" ht="105" x14ac:dyDescent="0.25">
      <c r="A1036" t="s">
        <v>26</v>
      </c>
      <c r="B1036" t="s">
        <v>1738</v>
      </c>
      <c r="C1036" t="s">
        <v>96</v>
      </c>
      <c r="D1036" t="s">
        <v>176</v>
      </c>
      <c r="E1036" t="s">
        <v>30</v>
      </c>
      <c r="F1036" t="s">
        <v>446</v>
      </c>
      <c r="G1036" t="s">
        <v>69</v>
      </c>
      <c r="H1036" t="s">
        <v>33</v>
      </c>
      <c r="I1036" s="1" t="s">
        <v>1754</v>
      </c>
    </row>
    <row r="1037" spans="1:9" ht="105" x14ac:dyDescent="0.25">
      <c r="A1037" t="s">
        <v>26</v>
      </c>
      <c r="B1037" t="s">
        <v>1738</v>
      </c>
      <c r="C1037" t="s">
        <v>50</v>
      </c>
      <c r="D1037" t="s">
        <v>1226</v>
      </c>
      <c r="E1037" t="s">
        <v>30</v>
      </c>
      <c r="F1037" t="s">
        <v>161</v>
      </c>
      <c r="G1037" t="s">
        <v>69</v>
      </c>
      <c r="H1037" t="s">
        <v>87</v>
      </c>
      <c r="I1037" s="1" t="s">
        <v>1755</v>
      </c>
    </row>
    <row r="1038" spans="1:9" ht="75" x14ac:dyDescent="0.25">
      <c r="A1038" t="s">
        <v>37</v>
      </c>
      <c r="B1038" t="s">
        <v>1738</v>
      </c>
      <c r="C1038" t="s">
        <v>96</v>
      </c>
      <c r="D1038" t="s">
        <v>176</v>
      </c>
      <c r="E1038" t="s">
        <v>30</v>
      </c>
      <c r="F1038" t="s">
        <v>186</v>
      </c>
      <c r="G1038" t="s">
        <v>32</v>
      </c>
      <c r="H1038" t="s">
        <v>33</v>
      </c>
      <c r="I1038" s="1" t="s">
        <v>1756</v>
      </c>
    </row>
    <row r="1039" spans="1:9" ht="60" x14ac:dyDescent="0.25">
      <c r="A1039" t="s">
        <v>49</v>
      </c>
      <c r="B1039" t="s">
        <v>1738</v>
      </c>
      <c r="C1039" t="s">
        <v>249</v>
      </c>
      <c r="D1039" t="s">
        <v>1559</v>
      </c>
      <c r="E1039" t="s">
        <v>30</v>
      </c>
      <c r="F1039" t="s">
        <v>161</v>
      </c>
      <c r="G1039" t="s">
        <v>32</v>
      </c>
      <c r="H1039" t="s">
        <v>33</v>
      </c>
      <c r="I1039" s="1" t="s">
        <v>1757</v>
      </c>
    </row>
    <row r="1040" spans="1:9" ht="75" x14ac:dyDescent="0.25">
      <c r="A1040" t="s">
        <v>26</v>
      </c>
      <c r="B1040" t="s">
        <v>1738</v>
      </c>
      <c r="C1040" t="s">
        <v>50</v>
      </c>
      <c r="D1040" t="s">
        <v>843</v>
      </c>
      <c r="E1040" t="s">
        <v>79</v>
      </c>
      <c r="F1040" t="s">
        <v>290</v>
      </c>
      <c r="G1040" t="s">
        <v>81</v>
      </c>
      <c r="H1040" t="s">
        <v>173</v>
      </c>
      <c r="I1040" s="1" t="s">
        <v>1758</v>
      </c>
    </row>
    <row r="1041" spans="1:9" ht="90" x14ac:dyDescent="0.25">
      <c r="A1041" t="s">
        <v>26</v>
      </c>
      <c r="B1041" t="s">
        <v>1738</v>
      </c>
      <c r="C1041" t="s">
        <v>44</v>
      </c>
      <c r="D1041" t="s">
        <v>45</v>
      </c>
      <c r="E1041" t="s">
        <v>30</v>
      </c>
      <c r="F1041" t="s">
        <v>126</v>
      </c>
      <c r="G1041" t="s">
        <v>69</v>
      </c>
      <c r="H1041" t="s">
        <v>173</v>
      </c>
      <c r="I1041" s="1" t="s">
        <v>1759</v>
      </c>
    </row>
    <row r="1042" spans="1:9" ht="30" x14ac:dyDescent="0.25">
      <c r="A1042" t="s">
        <v>49</v>
      </c>
      <c r="B1042" t="s">
        <v>1738</v>
      </c>
      <c r="C1042" t="s">
        <v>28</v>
      </c>
      <c r="D1042" t="s">
        <v>1340</v>
      </c>
      <c r="E1042" t="s">
        <v>30</v>
      </c>
      <c r="F1042" t="s">
        <v>136</v>
      </c>
      <c r="G1042" t="s">
        <v>32</v>
      </c>
      <c r="H1042" t="s">
        <v>173</v>
      </c>
      <c r="I1042" s="1" t="s">
        <v>1760</v>
      </c>
    </row>
    <row r="1043" spans="1:9" ht="90" x14ac:dyDescent="0.25">
      <c r="A1043" t="s">
        <v>49</v>
      </c>
      <c r="B1043" t="s">
        <v>1738</v>
      </c>
      <c r="C1043" t="s">
        <v>28</v>
      </c>
      <c r="D1043" t="s">
        <v>1761</v>
      </c>
      <c r="E1043" t="s">
        <v>30</v>
      </c>
      <c r="F1043" t="s">
        <v>246</v>
      </c>
      <c r="G1043" t="s">
        <v>69</v>
      </c>
      <c r="H1043" t="s">
        <v>173</v>
      </c>
      <c r="I1043" s="1" t="s">
        <v>1762</v>
      </c>
    </row>
    <row r="1044" spans="1:9" ht="105" x14ac:dyDescent="0.25">
      <c r="A1044" t="s">
        <v>91</v>
      </c>
      <c r="B1044" t="s">
        <v>1738</v>
      </c>
      <c r="C1044" t="s">
        <v>240</v>
      </c>
      <c r="D1044" t="s">
        <v>882</v>
      </c>
      <c r="E1044" t="s">
        <v>30</v>
      </c>
      <c r="F1044" t="s">
        <v>290</v>
      </c>
      <c r="G1044" t="s">
        <v>32</v>
      </c>
      <c r="H1044" t="s">
        <v>173</v>
      </c>
      <c r="I1044" s="1" t="s">
        <v>1763</v>
      </c>
    </row>
    <row r="1045" spans="1:9" ht="60" x14ac:dyDescent="0.25">
      <c r="A1045" t="s">
        <v>49</v>
      </c>
      <c r="B1045" t="s">
        <v>1738</v>
      </c>
      <c r="C1045" t="s">
        <v>28</v>
      </c>
      <c r="D1045" t="s">
        <v>715</v>
      </c>
      <c r="E1045" t="s">
        <v>79</v>
      </c>
      <c r="F1045" t="s">
        <v>290</v>
      </c>
      <c r="G1045" t="s">
        <v>69</v>
      </c>
      <c r="H1045" t="s">
        <v>87</v>
      </c>
      <c r="I1045" s="1" t="s">
        <v>1764</v>
      </c>
    </row>
    <row r="1046" spans="1:9" ht="90" x14ac:dyDescent="0.25">
      <c r="A1046" t="s">
        <v>37</v>
      </c>
      <c r="B1046" t="s">
        <v>1738</v>
      </c>
      <c r="C1046" t="s">
        <v>263</v>
      </c>
      <c r="D1046" t="s">
        <v>1765</v>
      </c>
      <c r="E1046" t="s">
        <v>30</v>
      </c>
      <c r="F1046" t="s">
        <v>492</v>
      </c>
      <c r="G1046" t="s">
        <v>32</v>
      </c>
      <c r="H1046" t="s">
        <v>33</v>
      </c>
      <c r="I1046" s="1" t="s">
        <v>1766</v>
      </c>
    </row>
    <row r="1047" spans="1:9" ht="90" x14ac:dyDescent="0.25">
      <c r="A1047" t="s">
        <v>49</v>
      </c>
      <c r="B1047" t="s">
        <v>1738</v>
      </c>
      <c r="C1047" t="s">
        <v>28</v>
      </c>
      <c r="D1047" t="s">
        <v>571</v>
      </c>
      <c r="E1047" t="s">
        <v>30</v>
      </c>
      <c r="F1047" t="s">
        <v>52</v>
      </c>
      <c r="G1047" t="s">
        <v>38</v>
      </c>
      <c r="H1047" t="s">
        <v>87</v>
      </c>
      <c r="I1047" s="1" t="s">
        <v>1767</v>
      </c>
    </row>
    <row r="1048" spans="1:9" ht="105" x14ac:dyDescent="0.25">
      <c r="A1048" t="s">
        <v>37</v>
      </c>
      <c r="B1048" t="s">
        <v>1738</v>
      </c>
      <c r="C1048" t="s">
        <v>249</v>
      </c>
      <c r="D1048" t="s">
        <v>250</v>
      </c>
      <c r="E1048" t="s">
        <v>30</v>
      </c>
      <c r="F1048" t="s">
        <v>186</v>
      </c>
      <c r="G1048" t="s">
        <v>32</v>
      </c>
      <c r="H1048" t="s">
        <v>87</v>
      </c>
      <c r="I1048" s="1" t="s">
        <v>1768</v>
      </c>
    </row>
    <row r="1049" spans="1:9" ht="105" x14ac:dyDescent="0.25">
      <c r="A1049" t="s">
        <v>37</v>
      </c>
      <c r="B1049" t="s">
        <v>1738</v>
      </c>
      <c r="C1049" t="s">
        <v>249</v>
      </c>
      <c r="D1049" t="s">
        <v>657</v>
      </c>
      <c r="E1049" t="s">
        <v>30</v>
      </c>
      <c r="F1049" t="s">
        <v>154</v>
      </c>
      <c r="G1049" t="s">
        <v>32</v>
      </c>
      <c r="H1049" t="s">
        <v>87</v>
      </c>
      <c r="I1049" s="1" t="s">
        <v>1769</v>
      </c>
    </row>
    <row r="1050" spans="1:9" ht="30" x14ac:dyDescent="0.25">
      <c r="A1050" t="s">
        <v>37</v>
      </c>
      <c r="B1050" t="s">
        <v>1738</v>
      </c>
      <c r="C1050" t="s">
        <v>69</v>
      </c>
      <c r="D1050" t="s">
        <v>664</v>
      </c>
      <c r="E1050" t="s">
        <v>30</v>
      </c>
      <c r="F1050" t="s">
        <v>130</v>
      </c>
      <c r="G1050" t="s">
        <v>32</v>
      </c>
      <c r="H1050" t="s">
        <v>173</v>
      </c>
      <c r="I1050" s="1" t="s">
        <v>1770</v>
      </c>
    </row>
    <row r="1051" spans="1:9" ht="30" x14ac:dyDescent="0.25">
      <c r="A1051" t="s">
        <v>91</v>
      </c>
      <c r="B1051" t="s">
        <v>1738</v>
      </c>
      <c r="C1051" t="s">
        <v>44</v>
      </c>
      <c r="D1051" t="s">
        <v>68</v>
      </c>
      <c r="E1051" t="s">
        <v>79</v>
      </c>
      <c r="F1051" t="s">
        <v>633</v>
      </c>
      <c r="G1051" t="s">
        <v>81</v>
      </c>
      <c r="H1051" t="s">
        <v>173</v>
      </c>
      <c r="I1051" s="1" t="s">
        <v>1771</v>
      </c>
    </row>
    <row r="1052" spans="1:9" ht="45" x14ac:dyDescent="0.25">
      <c r="A1052" t="s">
        <v>37</v>
      </c>
      <c r="B1052" t="s">
        <v>1738</v>
      </c>
      <c r="C1052" t="s">
        <v>44</v>
      </c>
      <c r="D1052" t="s">
        <v>655</v>
      </c>
      <c r="E1052" t="s">
        <v>30</v>
      </c>
      <c r="F1052" t="s">
        <v>177</v>
      </c>
      <c r="G1052" t="s">
        <v>69</v>
      </c>
      <c r="H1052" t="s">
        <v>173</v>
      </c>
      <c r="I1052" s="1" t="s">
        <v>1772</v>
      </c>
    </row>
    <row r="1053" spans="1:9" ht="60" x14ac:dyDescent="0.25">
      <c r="A1053" t="s">
        <v>37</v>
      </c>
      <c r="B1053" t="s">
        <v>1738</v>
      </c>
      <c r="C1053" t="s">
        <v>96</v>
      </c>
      <c r="D1053" t="s">
        <v>97</v>
      </c>
      <c r="E1053" t="s">
        <v>30</v>
      </c>
      <c r="F1053" t="s">
        <v>205</v>
      </c>
      <c r="G1053" t="s">
        <v>32</v>
      </c>
      <c r="H1053" t="s">
        <v>33</v>
      </c>
      <c r="I1053" s="1" t="s">
        <v>1773</v>
      </c>
    </row>
    <row r="1054" spans="1:9" ht="30" x14ac:dyDescent="0.25">
      <c r="A1054" t="s">
        <v>37</v>
      </c>
      <c r="B1054" t="s">
        <v>1738</v>
      </c>
      <c r="C1054" t="s">
        <v>73</v>
      </c>
      <c r="D1054" t="s">
        <v>1774</v>
      </c>
      <c r="E1054" t="s">
        <v>30</v>
      </c>
      <c r="F1054" t="s">
        <v>126</v>
      </c>
      <c r="G1054" t="s">
        <v>69</v>
      </c>
      <c r="H1054" t="s">
        <v>173</v>
      </c>
      <c r="I1054" s="1" t="s">
        <v>1775</v>
      </c>
    </row>
    <row r="1055" spans="1:9" x14ac:dyDescent="0.25">
      <c r="A1055" t="s">
        <v>37</v>
      </c>
      <c r="B1055" t="s">
        <v>1738</v>
      </c>
      <c r="C1055" t="s">
        <v>50</v>
      </c>
      <c r="D1055" t="s">
        <v>1380</v>
      </c>
      <c r="E1055" t="s">
        <v>30</v>
      </c>
      <c r="F1055" t="s">
        <v>161</v>
      </c>
      <c r="G1055" t="s">
        <v>32</v>
      </c>
      <c r="H1055" t="s">
        <v>173</v>
      </c>
      <c r="I1055" s="1" t="s">
        <v>1776</v>
      </c>
    </row>
    <row r="1056" spans="1:9" ht="45" x14ac:dyDescent="0.25">
      <c r="A1056" t="s">
        <v>26</v>
      </c>
      <c r="B1056" t="s">
        <v>1777</v>
      </c>
      <c r="C1056" t="s">
        <v>249</v>
      </c>
      <c r="D1056" t="s">
        <v>424</v>
      </c>
      <c r="E1056" t="s">
        <v>30</v>
      </c>
      <c r="F1056" t="s">
        <v>119</v>
      </c>
      <c r="G1056" t="s">
        <v>32</v>
      </c>
      <c r="H1056" t="s">
        <v>33</v>
      </c>
      <c r="I1056" s="1" t="s">
        <v>1778</v>
      </c>
    </row>
    <row r="1057" spans="1:9" ht="60" x14ac:dyDescent="0.25">
      <c r="A1057" t="s">
        <v>26</v>
      </c>
      <c r="B1057" t="s">
        <v>1777</v>
      </c>
      <c r="C1057" t="s">
        <v>249</v>
      </c>
      <c r="D1057" t="s">
        <v>1779</v>
      </c>
      <c r="E1057" t="s">
        <v>30</v>
      </c>
      <c r="F1057" t="s">
        <v>154</v>
      </c>
      <c r="G1057" t="s">
        <v>32</v>
      </c>
      <c r="H1057" t="s">
        <v>33</v>
      </c>
      <c r="I1057" s="1" t="s">
        <v>1780</v>
      </c>
    </row>
    <row r="1058" spans="1:9" ht="30" x14ac:dyDescent="0.25">
      <c r="A1058" t="s">
        <v>26</v>
      </c>
      <c r="B1058" t="s">
        <v>1777</v>
      </c>
      <c r="C1058" t="s">
        <v>73</v>
      </c>
      <c r="D1058" t="s">
        <v>1781</v>
      </c>
      <c r="E1058" t="s">
        <v>79</v>
      </c>
      <c r="F1058" t="s">
        <v>140</v>
      </c>
      <c r="G1058" t="s">
        <v>32</v>
      </c>
      <c r="H1058" t="s">
        <v>33</v>
      </c>
      <c r="I1058" s="1" t="s">
        <v>1782</v>
      </c>
    </row>
    <row r="1059" spans="1:9" ht="105" x14ac:dyDescent="0.25">
      <c r="A1059" t="s">
        <v>26</v>
      </c>
      <c r="B1059" t="s">
        <v>1777</v>
      </c>
      <c r="C1059" t="s">
        <v>92</v>
      </c>
      <c r="D1059" t="s">
        <v>111</v>
      </c>
      <c r="E1059" t="s">
        <v>79</v>
      </c>
      <c r="F1059" t="s">
        <v>202</v>
      </c>
      <c r="G1059" t="s">
        <v>69</v>
      </c>
      <c r="H1059" t="s">
        <v>87</v>
      </c>
      <c r="I1059" s="1" t="s">
        <v>1783</v>
      </c>
    </row>
    <row r="1060" spans="1:9" ht="60" x14ac:dyDescent="0.25">
      <c r="A1060" t="s">
        <v>26</v>
      </c>
      <c r="B1060" t="s">
        <v>1777</v>
      </c>
      <c r="C1060" t="s">
        <v>106</v>
      </c>
      <c r="D1060" t="s">
        <v>922</v>
      </c>
      <c r="E1060" t="s">
        <v>30</v>
      </c>
      <c r="F1060" t="s">
        <v>246</v>
      </c>
      <c r="G1060" t="s">
        <v>32</v>
      </c>
      <c r="H1060" t="s">
        <v>173</v>
      </c>
      <c r="I1060" s="1" t="s">
        <v>1784</v>
      </c>
    </row>
    <row r="1061" spans="1:9" x14ac:dyDescent="0.25">
      <c r="A1061" t="s">
        <v>26</v>
      </c>
      <c r="B1061" t="s">
        <v>1777</v>
      </c>
      <c r="C1061" t="s">
        <v>249</v>
      </c>
      <c r="D1061" t="s">
        <v>657</v>
      </c>
      <c r="E1061" t="s">
        <v>30</v>
      </c>
      <c r="F1061" t="s">
        <v>246</v>
      </c>
      <c r="G1061" t="s">
        <v>32</v>
      </c>
      <c r="H1061" t="s">
        <v>33</v>
      </c>
      <c r="I1061" s="1" t="s">
        <v>1785</v>
      </c>
    </row>
    <row r="1062" spans="1:9" ht="105" x14ac:dyDescent="0.25">
      <c r="A1062" t="s">
        <v>26</v>
      </c>
      <c r="B1062" t="s">
        <v>1777</v>
      </c>
      <c r="C1062" t="s">
        <v>85</v>
      </c>
      <c r="D1062" t="s">
        <v>899</v>
      </c>
      <c r="E1062" t="s">
        <v>30</v>
      </c>
      <c r="F1062" t="s">
        <v>294</v>
      </c>
      <c r="G1062" t="s">
        <v>32</v>
      </c>
      <c r="H1062" t="s">
        <v>87</v>
      </c>
      <c r="I1062" s="1" t="s">
        <v>1786</v>
      </c>
    </row>
    <row r="1063" spans="1:9" ht="105" x14ac:dyDescent="0.25">
      <c r="A1063" t="s">
        <v>26</v>
      </c>
      <c r="B1063" t="s">
        <v>1777</v>
      </c>
      <c r="C1063" t="s">
        <v>240</v>
      </c>
      <c r="D1063" t="s">
        <v>1787</v>
      </c>
      <c r="E1063" t="s">
        <v>79</v>
      </c>
      <c r="F1063" t="s">
        <v>492</v>
      </c>
      <c r="G1063" t="s">
        <v>81</v>
      </c>
      <c r="H1063" t="s">
        <v>87</v>
      </c>
      <c r="I1063" s="1" t="s">
        <v>1788</v>
      </c>
    </row>
    <row r="1064" spans="1:9" ht="30" x14ac:dyDescent="0.25">
      <c r="A1064" t="s">
        <v>26</v>
      </c>
      <c r="B1064" t="s">
        <v>1777</v>
      </c>
      <c r="C1064" t="s">
        <v>50</v>
      </c>
      <c r="D1064" t="s">
        <v>1374</v>
      </c>
      <c r="E1064" t="s">
        <v>30</v>
      </c>
      <c r="F1064" t="s">
        <v>287</v>
      </c>
      <c r="G1064" t="s">
        <v>32</v>
      </c>
      <c r="H1064" t="s">
        <v>173</v>
      </c>
      <c r="I1064" s="1" t="s">
        <v>1789</v>
      </c>
    </row>
    <row r="1065" spans="1:9" ht="105" x14ac:dyDescent="0.25">
      <c r="A1065" t="s">
        <v>26</v>
      </c>
      <c r="B1065" t="s">
        <v>1777</v>
      </c>
      <c r="C1065" t="s">
        <v>249</v>
      </c>
      <c r="D1065" t="s">
        <v>776</v>
      </c>
      <c r="E1065" t="s">
        <v>30</v>
      </c>
      <c r="F1065" t="s">
        <v>46</v>
      </c>
      <c r="G1065" t="s">
        <v>81</v>
      </c>
      <c r="H1065" t="s">
        <v>33</v>
      </c>
      <c r="I1065" s="1" t="s">
        <v>1790</v>
      </c>
    </row>
    <row r="1066" spans="1:9" ht="105" x14ac:dyDescent="0.25">
      <c r="A1066" t="s">
        <v>26</v>
      </c>
      <c r="B1066" t="s">
        <v>1777</v>
      </c>
      <c r="C1066" t="s">
        <v>28</v>
      </c>
      <c r="D1066" t="s">
        <v>517</v>
      </c>
      <c r="E1066" t="s">
        <v>30</v>
      </c>
      <c r="F1066" t="s">
        <v>389</v>
      </c>
      <c r="G1066" t="s">
        <v>69</v>
      </c>
      <c r="H1066" t="s">
        <v>173</v>
      </c>
      <c r="I1066" s="1" t="s">
        <v>1791</v>
      </c>
    </row>
    <row r="1067" spans="1:9" ht="60" x14ac:dyDescent="0.25">
      <c r="A1067" t="s">
        <v>26</v>
      </c>
      <c r="B1067" t="s">
        <v>1777</v>
      </c>
      <c r="C1067" t="s">
        <v>96</v>
      </c>
      <c r="D1067" t="s">
        <v>1216</v>
      </c>
      <c r="E1067" t="s">
        <v>30</v>
      </c>
      <c r="F1067" t="s">
        <v>561</v>
      </c>
      <c r="G1067" t="s">
        <v>32</v>
      </c>
      <c r="H1067" t="s">
        <v>87</v>
      </c>
      <c r="I1067" s="1" t="s">
        <v>1792</v>
      </c>
    </row>
    <row r="1068" spans="1:9" ht="60" x14ac:dyDescent="0.25">
      <c r="A1068" t="s">
        <v>49</v>
      </c>
      <c r="B1068" t="s">
        <v>1777</v>
      </c>
      <c r="C1068" t="s">
        <v>28</v>
      </c>
      <c r="D1068" t="s">
        <v>29</v>
      </c>
      <c r="E1068" t="s">
        <v>30</v>
      </c>
      <c r="F1068" t="s">
        <v>94</v>
      </c>
      <c r="G1068" t="s">
        <v>32</v>
      </c>
      <c r="H1068" t="s">
        <v>33</v>
      </c>
      <c r="I1068" s="1" t="s">
        <v>1793</v>
      </c>
    </row>
    <row r="1069" spans="1:9" ht="150" x14ac:dyDescent="0.25">
      <c r="A1069" t="s">
        <v>26</v>
      </c>
      <c r="B1069" t="s">
        <v>1777</v>
      </c>
      <c r="C1069" t="s">
        <v>249</v>
      </c>
      <c r="D1069" t="s">
        <v>420</v>
      </c>
      <c r="E1069" t="s">
        <v>30</v>
      </c>
      <c r="F1069" t="s">
        <v>205</v>
      </c>
      <c r="G1069" t="s">
        <v>32</v>
      </c>
      <c r="H1069" t="s">
        <v>33</v>
      </c>
      <c r="I1069" s="1" t="s">
        <v>1794</v>
      </c>
    </row>
    <row r="1070" spans="1:9" ht="60" x14ac:dyDescent="0.25">
      <c r="A1070" t="s">
        <v>91</v>
      </c>
      <c r="B1070" t="s">
        <v>1777</v>
      </c>
      <c r="C1070" t="s">
        <v>85</v>
      </c>
      <c r="D1070" t="s">
        <v>378</v>
      </c>
      <c r="E1070" t="s">
        <v>30</v>
      </c>
      <c r="F1070" t="s">
        <v>290</v>
      </c>
      <c r="G1070" t="s">
        <v>32</v>
      </c>
      <c r="H1070" t="s">
        <v>33</v>
      </c>
      <c r="I1070" s="1" t="s">
        <v>1795</v>
      </c>
    </row>
    <row r="1071" spans="1:9" ht="120" x14ac:dyDescent="0.25">
      <c r="A1071" t="s">
        <v>26</v>
      </c>
      <c r="B1071" t="s">
        <v>1777</v>
      </c>
      <c r="C1071" t="s">
        <v>235</v>
      </c>
      <c r="D1071" t="s">
        <v>1796</v>
      </c>
      <c r="E1071" t="s">
        <v>79</v>
      </c>
      <c r="F1071" t="s">
        <v>119</v>
      </c>
      <c r="G1071" t="s">
        <v>32</v>
      </c>
      <c r="H1071" t="s">
        <v>33</v>
      </c>
      <c r="I1071" s="1" t="s">
        <v>1797</v>
      </c>
    </row>
    <row r="1072" spans="1:9" ht="105" x14ac:dyDescent="0.25">
      <c r="A1072" t="s">
        <v>49</v>
      </c>
      <c r="B1072" t="s">
        <v>1777</v>
      </c>
      <c r="C1072" t="s">
        <v>28</v>
      </c>
      <c r="D1072" t="s">
        <v>571</v>
      </c>
      <c r="E1072" t="s">
        <v>30</v>
      </c>
      <c r="F1072" t="s">
        <v>126</v>
      </c>
      <c r="G1072" t="s">
        <v>32</v>
      </c>
      <c r="H1072" t="s">
        <v>33</v>
      </c>
      <c r="I1072" s="1" t="s">
        <v>1798</v>
      </c>
    </row>
    <row r="1073" spans="1:9" ht="105" x14ac:dyDescent="0.25">
      <c r="A1073" t="s">
        <v>26</v>
      </c>
      <c r="B1073" t="s">
        <v>1777</v>
      </c>
      <c r="C1073" t="s">
        <v>240</v>
      </c>
      <c r="D1073" t="s">
        <v>267</v>
      </c>
      <c r="E1073" t="s">
        <v>79</v>
      </c>
      <c r="F1073" t="s">
        <v>202</v>
      </c>
      <c r="G1073" t="s">
        <v>32</v>
      </c>
      <c r="H1073" t="s">
        <v>33</v>
      </c>
      <c r="I1073" s="1" t="s">
        <v>1799</v>
      </c>
    </row>
    <row r="1074" spans="1:9" ht="105" x14ac:dyDescent="0.25">
      <c r="A1074" t="s">
        <v>37</v>
      </c>
      <c r="B1074" t="s">
        <v>1777</v>
      </c>
      <c r="C1074" t="s">
        <v>240</v>
      </c>
      <c r="D1074" t="s">
        <v>882</v>
      </c>
      <c r="E1074" t="s">
        <v>79</v>
      </c>
      <c r="F1074" t="s">
        <v>161</v>
      </c>
      <c r="G1074" t="s">
        <v>69</v>
      </c>
      <c r="H1074" t="s">
        <v>33</v>
      </c>
      <c r="I1074" s="1" t="s">
        <v>1800</v>
      </c>
    </row>
    <row r="1075" spans="1:9" ht="45" x14ac:dyDescent="0.25">
      <c r="A1075" t="s">
        <v>26</v>
      </c>
      <c r="B1075" t="s">
        <v>1777</v>
      </c>
      <c r="C1075" t="s">
        <v>50</v>
      </c>
      <c r="D1075" t="s">
        <v>1442</v>
      </c>
      <c r="E1075" t="s">
        <v>30</v>
      </c>
      <c r="F1075" t="s">
        <v>216</v>
      </c>
      <c r="G1075" t="s">
        <v>32</v>
      </c>
      <c r="H1075" t="s">
        <v>33</v>
      </c>
      <c r="I1075" s="1" t="s">
        <v>1801</v>
      </c>
    </row>
    <row r="1076" spans="1:9" ht="105" x14ac:dyDescent="0.25">
      <c r="A1076" t="s">
        <v>59</v>
      </c>
      <c r="B1076" t="s">
        <v>1777</v>
      </c>
      <c r="C1076" t="s">
        <v>235</v>
      </c>
      <c r="D1076" t="s">
        <v>236</v>
      </c>
      <c r="E1076" t="s">
        <v>30</v>
      </c>
      <c r="F1076" t="s">
        <v>166</v>
      </c>
      <c r="G1076" t="s">
        <v>69</v>
      </c>
      <c r="H1076" t="s">
        <v>87</v>
      </c>
      <c r="I1076" s="1" t="s">
        <v>1802</v>
      </c>
    </row>
    <row r="1077" spans="1:9" ht="105" x14ac:dyDescent="0.25">
      <c r="A1077" t="s">
        <v>26</v>
      </c>
      <c r="B1077" t="s">
        <v>1777</v>
      </c>
      <c r="C1077" t="s">
        <v>96</v>
      </c>
      <c r="D1077" t="s">
        <v>195</v>
      </c>
      <c r="E1077" t="s">
        <v>30</v>
      </c>
      <c r="F1077" t="s">
        <v>61</v>
      </c>
      <c r="G1077" t="s">
        <v>32</v>
      </c>
      <c r="H1077" t="s">
        <v>173</v>
      </c>
      <c r="I1077" s="1" t="s">
        <v>1803</v>
      </c>
    </row>
    <row r="1078" spans="1:9" ht="120" x14ac:dyDescent="0.25">
      <c r="A1078" t="s">
        <v>37</v>
      </c>
      <c r="B1078" t="s">
        <v>1777</v>
      </c>
      <c r="C1078" t="s">
        <v>106</v>
      </c>
      <c r="D1078" t="s">
        <v>779</v>
      </c>
      <c r="E1078" t="s">
        <v>30</v>
      </c>
      <c r="F1078" t="s">
        <v>808</v>
      </c>
      <c r="G1078" t="s">
        <v>263</v>
      </c>
      <c r="H1078" t="s">
        <v>87</v>
      </c>
      <c r="I1078" s="1" t="s">
        <v>1804</v>
      </c>
    </row>
    <row r="1079" spans="1:9" ht="120" x14ac:dyDescent="0.25">
      <c r="A1079" t="s">
        <v>26</v>
      </c>
      <c r="B1079" t="s">
        <v>1777</v>
      </c>
      <c r="C1079" t="s">
        <v>50</v>
      </c>
      <c r="D1079" t="s">
        <v>801</v>
      </c>
      <c r="E1079" t="s">
        <v>30</v>
      </c>
      <c r="F1079" t="s">
        <v>61</v>
      </c>
      <c r="G1079" t="s">
        <v>69</v>
      </c>
      <c r="H1079" t="s">
        <v>173</v>
      </c>
      <c r="I1079" s="1" t="s">
        <v>1805</v>
      </c>
    </row>
    <row r="1080" spans="1:9" ht="105" x14ac:dyDescent="0.25">
      <c r="A1080" t="s">
        <v>37</v>
      </c>
      <c r="B1080" t="s">
        <v>1777</v>
      </c>
      <c r="C1080" t="s">
        <v>263</v>
      </c>
      <c r="D1080" t="s">
        <v>1806</v>
      </c>
      <c r="E1080" t="s">
        <v>30</v>
      </c>
      <c r="F1080" t="s">
        <v>1807</v>
      </c>
      <c r="G1080" t="s">
        <v>32</v>
      </c>
      <c r="H1080" t="s">
        <v>33</v>
      </c>
      <c r="I1080" s="1" t="s">
        <v>1808</v>
      </c>
    </row>
    <row r="1081" spans="1:9" ht="105" x14ac:dyDescent="0.25">
      <c r="A1081" t="s">
        <v>26</v>
      </c>
      <c r="B1081" t="s">
        <v>1777</v>
      </c>
      <c r="C1081" t="s">
        <v>96</v>
      </c>
      <c r="D1081" t="s">
        <v>97</v>
      </c>
      <c r="E1081" t="s">
        <v>30</v>
      </c>
      <c r="F1081" t="s">
        <v>189</v>
      </c>
      <c r="G1081" t="s">
        <v>32</v>
      </c>
      <c r="H1081" t="s">
        <v>33</v>
      </c>
      <c r="I1081" s="1" t="s">
        <v>1809</v>
      </c>
    </row>
    <row r="1082" spans="1:9" ht="75" x14ac:dyDescent="0.25">
      <c r="A1082" t="s">
        <v>37</v>
      </c>
      <c r="B1082" t="s">
        <v>1777</v>
      </c>
      <c r="C1082" t="s">
        <v>106</v>
      </c>
      <c r="D1082" t="s">
        <v>605</v>
      </c>
      <c r="E1082" t="s">
        <v>30</v>
      </c>
      <c r="F1082" t="s">
        <v>177</v>
      </c>
      <c r="G1082" t="s">
        <v>32</v>
      </c>
      <c r="H1082" t="s">
        <v>33</v>
      </c>
      <c r="I1082" s="1" t="s">
        <v>1810</v>
      </c>
    </row>
    <row r="1083" spans="1:9" ht="60" x14ac:dyDescent="0.25">
      <c r="A1083" t="s">
        <v>26</v>
      </c>
      <c r="B1083" t="s">
        <v>1777</v>
      </c>
      <c r="C1083" t="s">
        <v>50</v>
      </c>
      <c r="D1083" t="s">
        <v>817</v>
      </c>
      <c r="E1083" t="s">
        <v>30</v>
      </c>
      <c r="F1083" t="s">
        <v>130</v>
      </c>
      <c r="G1083" t="s">
        <v>32</v>
      </c>
      <c r="H1083" t="s">
        <v>87</v>
      </c>
      <c r="I1083" s="1" t="s">
        <v>1811</v>
      </c>
    </row>
    <row r="1084" spans="1:9" x14ac:dyDescent="0.25">
      <c r="A1084" t="s">
        <v>37</v>
      </c>
      <c r="B1084" t="s">
        <v>1777</v>
      </c>
      <c r="C1084" t="s">
        <v>96</v>
      </c>
      <c r="D1084" t="s">
        <v>1812</v>
      </c>
      <c r="E1084" t="s">
        <v>30</v>
      </c>
      <c r="F1084" t="s">
        <v>182</v>
      </c>
      <c r="G1084" t="s">
        <v>69</v>
      </c>
      <c r="H1084" t="s">
        <v>33</v>
      </c>
      <c r="I1084" s="1" t="s">
        <v>1813</v>
      </c>
    </row>
    <row r="1085" spans="1:9" ht="30" x14ac:dyDescent="0.25">
      <c r="A1085" t="s">
        <v>26</v>
      </c>
      <c r="B1085" t="s">
        <v>1777</v>
      </c>
      <c r="C1085" t="s">
        <v>235</v>
      </c>
      <c r="D1085" t="s">
        <v>537</v>
      </c>
      <c r="E1085" t="s">
        <v>30</v>
      </c>
      <c r="F1085" t="s">
        <v>154</v>
      </c>
      <c r="G1085" t="s">
        <v>32</v>
      </c>
      <c r="H1085" t="s">
        <v>33</v>
      </c>
      <c r="I1085" s="1" t="s">
        <v>1814</v>
      </c>
    </row>
    <row r="1086" spans="1:9" ht="30" x14ac:dyDescent="0.25">
      <c r="A1086" t="s">
        <v>37</v>
      </c>
      <c r="B1086" t="s">
        <v>1777</v>
      </c>
      <c r="C1086" t="s">
        <v>472</v>
      </c>
      <c r="D1086" t="s">
        <v>839</v>
      </c>
      <c r="E1086" t="s">
        <v>30</v>
      </c>
      <c r="F1086" t="s">
        <v>166</v>
      </c>
      <c r="G1086" t="s">
        <v>32</v>
      </c>
      <c r="H1086" t="s">
        <v>87</v>
      </c>
      <c r="I1086" s="1" t="s">
        <v>1815</v>
      </c>
    </row>
    <row r="1087" spans="1:9" ht="75" x14ac:dyDescent="0.25">
      <c r="A1087" t="s">
        <v>26</v>
      </c>
      <c r="B1087" t="s">
        <v>1777</v>
      </c>
      <c r="C1087" t="s">
        <v>44</v>
      </c>
      <c r="D1087" t="s">
        <v>146</v>
      </c>
      <c r="E1087" t="s">
        <v>30</v>
      </c>
      <c r="F1087" t="s">
        <v>202</v>
      </c>
      <c r="G1087" t="s">
        <v>69</v>
      </c>
      <c r="H1087" t="s">
        <v>173</v>
      </c>
      <c r="I1087" s="1" t="s">
        <v>1816</v>
      </c>
    </row>
    <row r="1088" spans="1:9" x14ac:dyDescent="0.25">
      <c r="A1088" t="s">
        <v>64</v>
      </c>
      <c r="B1088" t="s">
        <v>1777</v>
      </c>
      <c r="C1088" t="s">
        <v>85</v>
      </c>
      <c r="D1088" t="s">
        <v>1817</v>
      </c>
      <c r="E1088" t="s">
        <v>79</v>
      </c>
      <c r="F1088" t="s">
        <v>389</v>
      </c>
      <c r="G1088" t="s">
        <v>263</v>
      </c>
      <c r="H1088" t="s">
        <v>33</v>
      </c>
      <c r="I1088" s="1" t="s">
        <v>1818</v>
      </c>
    </row>
    <row r="1089" spans="1:9" ht="90" x14ac:dyDescent="0.25">
      <c r="A1089" t="s">
        <v>26</v>
      </c>
      <c r="B1089" t="s">
        <v>1777</v>
      </c>
      <c r="C1089" t="s">
        <v>50</v>
      </c>
      <c r="D1089" t="s">
        <v>870</v>
      </c>
      <c r="E1089" t="s">
        <v>79</v>
      </c>
      <c r="F1089" t="s">
        <v>46</v>
      </c>
      <c r="G1089" t="s">
        <v>69</v>
      </c>
      <c r="H1089" t="s">
        <v>173</v>
      </c>
      <c r="I1089" s="1" t="s">
        <v>1819</v>
      </c>
    </row>
    <row r="1090" spans="1:9" ht="60" x14ac:dyDescent="0.25">
      <c r="A1090" t="s">
        <v>37</v>
      </c>
      <c r="B1090" t="s">
        <v>1777</v>
      </c>
      <c r="C1090" t="s">
        <v>69</v>
      </c>
      <c r="D1090" t="s">
        <v>1820</v>
      </c>
      <c r="E1090" t="s">
        <v>30</v>
      </c>
      <c r="F1090" t="s">
        <v>246</v>
      </c>
      <c r="G1090" t="s">
        <v>32</v>
      </c>
      <c r="H1090" t="s">
        <v>87</v>
      </c>
      <c r="I1090" s="1" t="s">
        <v>1821</v>
      </c>
    </row>
    <row r="1091" spans="1:9" ht="75" x14ac:dyDescent="0.25">
      <c r="A1091" t="s">
        <v>26</v>
      </c>
      <c r="B1091" t="s">
        <v>1777</v>
      </c>
      <c r="C1091" t="s">
        <v>44</v>
      </c>
      <c r="D1091" t="s">
        <v>514</v>
      </c>
      <c r="E1091" t="s">
        <v>30</v>
      </c>
      <c r="F1091" t="s">
        <v>46</v>
      </c>
      <c r="G1091" t="s">
        <v>32</v>
      </c>
      <c r="H1091" t="s">
        <v>87</v>
      </c>
      <c r="I1091" s="1" t="s">
        <v>1822</v>
      </c>
    </row>
    <row r="1092" spans="1:9" x14ac:dyDescent="0.25">
      <c r="A1092" t="s">
        <v>26</v>
      </c>
      <c r="B1092" t="s">
        <v>1777</v>
      </c>
      <c r="C1092" t="s">
        <v>44</v>
      </c>
      <c r="D1092" t="s">
        <v>616</v>
      </c>
      <c r="E1092" t="s">
        <v>30</v>
      </c>
      <c r="F1092" t="s">
        <v>40</v>
      </c>
      <c r="G1092" t="s">
        <v>32</v>
      </c>
      <c r="H1092" t="s">
        <v>87</v>
      </c>
      <c r="I1092" s="1" t="s">
        <v>1823</v>
      </c>
    </row>
    <row r="1093" spans="1:9" ht="105" x14ac:dyDescent="0.25">
      <c r="A1093" t="s">
        <v>26</v>
      </c>
      <c r="B1093" t="s">
        <v>1777</v>
      </c>
      <c r="C1093" t="s">
        <v>85</v>
      </c>
      <c r="D1093" t="s">
        <v>1824</v>
      </c>
      <c r="E1093" t="s">
        <v>30</v>
      </c>
      <c r="F1093" t="s">
        <v>98</v>
      </c>
      <c r="G1093" t="s">
        <v>69</v>
      </c>
      <c r="H1093" t="s">
        <v>87</v>
      </c>
      <c r="I1093" s="1" t="s">
        <v>1825</v>
      </c>
    </row>
    <row r="1094" spans="1:9" ht="75" x14ac:dyDescent="0.25">
      <c r="A1094" t="s">
        <v>26</v>
      </c>
      <c r="B1094" t="s">
        <v>1777</v>
      </c>
      <c r="C1094" t="s">
        <v>44</v>
      </c>
      <c r="D1094" t="s">
        <v>655</v>
      </c>
      <c r="E1094" t="s">
        <v>30</v>
      </c>
      <c r="F1094" t="s">
        <v>130</v>
      </c>
      <c r="G1094" t="s">
        <v>32</v>
      </c>
      <c r="H1094" t="s">
        <v>173</v>
      </c>
      <c r="I1094" s="1" t="s">
        <v>1826</v>
      </c>
    </row>
    <row r="1095" spans="1:9" ht="30" x14ac:dyDescent="0.25">
      <c r="A1095" t="s">
        <v>49</v>
      </c>
      <c r="B1095" t="s">
        <v>1777</v>
      </c>
      <c r="C1095" t="s">
        <v>106</v>
      </c>
      <c r="D1095" t="s">
        <v>922</v>
      </c>
      <c r="E1095" t="s">
        <v>79</v>
      </c>
      <c r="F1095" t="s">
        <v>40</v>
      </c>
      <c r="G1095" t="s">
        <v>69</v>
      </c>
      <c r="H1095" t="s">
        <v>87</v>
      </c>
      <c r="I1095" s="1" t="s">
        <v>1827</v>
      </c>
    </row>
    <row r="1096" spans="1:9" ht="75" x14ac:dyDescent="0.25">
      <c r="A1096" t="s">
        <v>26</v>
      </c>
      <c r="B1096" t="s">
        <v>1777</v>
      </c>
      <c r="C1096" t="s">
        <v>85</v>
      </c>
      <c r="D1096" t="s">
        <v>1828</v>
      </c>
      <c r="E1096" t="s">
        <v>79</v>
      </c>
      <c r="F1096" t="s">
        <v>280</v>
      </c>
      <c r="G1096" t="s">
        <v>32</v>
      </c>
      <c r="H1096" t="s">
        <v>33</v>
      </c>
      <c r="I1096" s="1" t="s">
        <v>1829</v>
      </c>
    </row>
    <row r="1097" spans="1:9" ht="45" x14ac:dyDescent="0.25">
      <c r="A1097" t="s">
        <v>59</v>
      </c>
      <c r="B1097" t="s">
        <v>1777</v>
      </c>
      <c r="C1097" t="s">
        <v>69</v>
      </c>
      <c r="D1097" t="s">
        <v>1452</v>
      </c>
      <c r="E1097" t="s">
        <v>30</v>
      </c>
      <c r="F1097" t="s">
        <v>119</v>
      </c>
      <c r="G1097" t="s">
        <v>32</v>
      </c>
      <c r="H1097" t="s">
        <v>173</v>
      </c>
      <c r="I1097" s="1" t="s">
        <v>1830</v>
      </c>
    </row>
    <row r="1098" spans="1:9" ht="75" x14ac:dyDescent="0.25">
      <c r="A1098" t="s">
        <v>49</v>
      </c>
      <c r="B1098" t="s">
        <v>1777</v>
      </c>
      <c r="C1098" t="s">
        <v>249</v>
      </c>
      <c r="D1098" t="s">
        <v>306</v>
      </c>
      <c r="E1098" t="s">
        <v>30</v>
      </c>
      <c r="F1098" t="s">
        <v>161</v>
      </c>
      <c r="G1098" t="s">
        <v>32</v>
      </c>
      <c r="H1098" t="s">
        <v>173</v>
      </c>
      <c r="I1098" s="1" t="s">
        <v>1831</v>
      </c>
    </row>
    <row r="1099" spans="1:9" x14ac:dyDescent="0.25">
      <c r="A1099" t="s">
        <v>37</v>
      </c>
      <c r="B1099" t="s">
        <v>1777</v>
      </c>
      <c r="C1099" t="s">
        <v>472</v>
      </c>
      <c r="D1099" t="s">
        <v>1000</v>
      </c>
      <c r="E1099" t="s">
        <v>30</v>
      </c>
      <c r="F1099" t="s">
        <v>520</v>
      </c>
      <c r="G1099" t="s">
        <v>32</v>
      </c>
      <c r="H1099" t="s">
        <v>33</v>
      </c>
      <c r="I1099" s="1" t="s">
        <v>1832</v>
      </c>
    </row>
    <row r="1100" spans="1:9" ht="90" x14ac:dyDescent="0.25">
      <c r="A1100" t="s">
        <v>49</v>
      </c>
      <c r="B1100" t="s">
        <v>1777</v>
      </c>
      <c r="C1100" t="s">
        <v>96</v>
      </c>
      <c r="D1100" t="s">
        <v>201</v>
      </c>
      <c r="E1100" t="s">
        <v>30</v>
      </c>
      <c r="F1100" t="s">
        <v>1103</v>
      </c>
      <c r="G1100" t="s">
        <v>69</v>
      </c>
      <c r="H1100" t="s">
        <v>173</v>
      </c>
      <c r="I1100" s="1" t="s">
        <v>1833</v>
      </c>
    </row>
    <row r="1101" spans="1:9" ht="75" x14ac:dyDescent="0.25">
      <c r="A1101" t="s">
        <v>37</v>
      </c>
      <c r="B1101" t="s">
        <v>1777</v>
      </c>
      <c r="C1101" t="s">
        <v>44</v>
      </c>
      <c r="D1101" t="s">
        <v>643</v>
      </c>
      <c r="E1101" t="s">
        <v>30</v>
      </c>
      <c r="F1101" t="s">
        <v>94</v>
      </c>
      <c r="G1101" t="s">
        <v>32</v>
      </c>
      <c r="H1101" t="s">
        <v>87</v>
      </c>
      <c r="I1101" s="1" t="s">
        <v>1834</v>
      </c>
    </row>
    <row r="1102" spans="1:9" ht="45" x14ac:dyDescent="0.25">
      <c r="A1102" t="s">
        <v>49</v>
      </c>
      <c r="B1102" t="s">
        <v>1777</v>
      </c>
      <c r="C1102" t="s">
        <v>180</v>
      </c>
      <c r="D1102" t="s">
        <v>1835</v>
      </c>
      <c r="E1102" t="s">
        <v>30</v>
      </c>
      <c r="F1102" t="s">
        <v>52</v>
      </c>
      <c r="G1102" t="s">
        <v>32</v>
      </c>
      <c r="H1102" t="s">
        <v>173</v>
      </c>
      <c r="I1102" s="1" t="s">
        <v>1836</v>
      </c>
    </row>
    <row r="1103" spans="1:9" ht="90" x14ac:dyDescent="0.25">
      <c r="A1103" t="s">
        <v>64</v>
      </c>
      <c r="B1103" t="s">
        <v>1777</v>
      </c>
      <c r="C1103" t="s">
        <v>106</v>
      </c>
      <c r="D1103" t="s">
        <v>1675</v>
      </c>
      <c r="E1103" t="s">
        <v>30</v>
      </c>
      <c r="F1103" t="s">
        <v>290</v>
      </c>
      <c r="G1103" t="s">
        <v>69</v>
      </c>
      <c r="H1103" t="s">
        <v>87</v>
      </c>
      <c r="I1103" s="1" t="s">
        <v>1837</v>
      </c>
    </row>
    <row r="1104" spans="1:9" ht="60" x14ac:dyDescent="0.25">
      <c r="A1104" t="s">
        <v>37</v>
      </c>
      <c r="B1104" t="s">
        <v>1777</v>
      </c>
      <c r="C1104" t="s">
        <v>92</v>
      </c>
      <c r="D1104" t="s">
        <v>477</v>
      </c>
      <c r="E1104" t="s">
        <v>30</v>
      </c>
      <c r="F1104" t="s">
        <v>154</v>
      </c>
      <c r="G1104" t="s">
        <v>81</v>
      </c>
      <c r="H1104" t="s">
        <v>87</v>
      </c>
      <c r="I1104" s="1" t="s">
        <v>1838</v>
      </c>
    </row>
    <row r="1105" spans="1:11" ht="75" x14ac:dyDescent="0.25">
      <c r="A1105" t="s">
        <v>37</v>
      </c>
      <c r="B1105" t="s">
        <v>1777</v>
      </c>
      <c r="C1105" t="s">
        <v>38</v>
      </c>
      <c r="D1105" t="s">
        <v>1839</v>
      </c>
      <c r="E1105" t="s">
        <v>30</v>
      </c>
      <c r="F1105" t="s">
        <v>182</v>
      </c>
      <c r="G1105" t="s">
        <v>38</v>
      </c>
      <c r="H1105" t="s">
        <v>87</v>
      </c>
      <c r="I1105" s="1" t="s">
        <v>1840</v>
      </c>
    </row>
    <row r="1106" spans="1:11" ht="45" x14ac:dyDescent="0.25">
      <c r="A1106" t="s">
        <v>1841</v>
      </c>
      <c r="B1106" t="s">
        <v>1651</v>
      </c>
      <c r="C1106" t="s">
        <v>30</v>
      </c>
      <c r="D1106" t="s">
        <v>94</v>
      </c>
      <c r="E1106" t="s">
        <v>1842</v>
      </c>
      <c r="F1106">
        <v>21</v>
      </c>
      <c r="G1106" t="s">
        <v>32</v>
      </c>
      <c r="H1106" t="s">
        <v>33</v>
      </c>
      <c r="I1106" s="1" t="s">
        <v>1843</v>
      </c>
    </row>
    <row r="1107" spans="1:11" ht="45" x14ac:dyDescent="0.25">
      <c r="A1107" t="s">
        <v>26</v>
      </c>
      <c r="B1107" t="s">
        <v>1844</v>
      </c>
      <c r="C1107" t="s">
        <v>28</v>
      </c>
      <c r="D1107" t="s">
        <v>1761</v>
      </c>
      <c r="E1107" t="s">
        <v>30</v>
      </c>
      <c r="F1107" t="s">
        <v>602</v>
      </c>
      <c r="G1107" t="s">
        <v>69</v>
      </c>
      <c r="H1107" t="s">
        <v>33</v>
      </c>
      <c r="I1107" s="1" t="s">
        <v>1845</v>
      </c>
      <c r="J1107" s="1" t="s">
        <v>1846</v>
      </c>
      <c r="K1107" s="1" t="s">
        <v>1847</v>
      </c>
    </row>
    <row r="1108" spans="1:11" ht="90" x14ac:dyDescent="0.25">
      <c r="A1108" t="s">
        <v>26</v>
      </c>
      <c r="B1108" t="s">
        <v>1844</v>
      </c>
      <c r="C1108" t="s">
        <v>32</v>
      </c>
      <c r="D1108" t="s">
        <v>208</v>
      </c>
      <c r="E1108" t="s">
        <v>30</v>
      </c>
      <c r="F1108" t="s">
        <v>108</v>
      </c>
      <c r="G1108" t="s">
        <v>69</v>
      </c>
      <c r="H1108" t="s">
        <v>173</v>
      </c>
      <c r="I1108" s="1" t="s">
        <v>1848</v>
      </c>
      <c r="J1108" s="1" t="s">
        <v>1849</v>
      </c>
      <c r="K1108" s="1" t="s">
        <v>1850</v>
      </c>
    </row>
    <row r="1109" spans="1:11" ht="105" x14ac:dyDescent="0.25">
      <c r="A1109" t="s">
        <v>26</v>
      </c>
      <c r="B1109" t="s">
        <v>1844</v>
      </c>
      <c r="C1109" t="s">
        <v>44</v>
      </c>
      <c r="D1109" t="s">
        <v>146</v>
      </c>
      <c r="E1109" t="s">
        <v>30</v>
      </c>
      <c r="F1109" t="s">
        <v>94</v>
      </c>
      <c r="G1109" t="s">
        <v>32</v>
      </c>
      <c r="H1109" t="s">
        <v>87</v>
      </c>
      <c r="I1109" s="1" t="s">
        <v>1851</v>
      </c>
      <c r="J1109" s="1" t="s">
        <v>1852</v>
      </c>
      <c r="K1109" s="1" t="s">
        <v>1853</v>
      </c>
    </row>
    <row r="1110" spans="1:11" ht="90" x14ac:dyDescent="0.25">
      <c r="A1110" t="s">
        <v>26</v>
      </c>
      <c r="B1110" t="s">
        <v>1844</v>
      </c>
      <c r="C1110" t="s">
        <v>44</v>
      </c>
      <c r="D1110" t="s">
        <v>616</v>
      </c>
      <c r="E1110" t="s">
        <v>30</v>
      </c>
      <c r="F1110" t="s">
        <v>140</v>
      </c>
      <c r="G1110" t="s">
        <v>69</v>
      </c>
      <c r="H1110" t="s">
        <v>87</v>
      </c>
      <c r="I1110" s="1" t="s">
        <v>1854</v>
      </c>
      <c r="J1110" s="1" t="s">
        <v>1855</v>
      </c>
      <c r="K1110" s="1" t="s">
        <v>1856</v>
      </c>
    </row>
    <row r="1111" spans="1:11" ht="105" x14ac:dyDescent="0.25">
      <c r="A1111" t="s">
        <v>26</v>
      </c>
      <c r="B1111" t="s">
        <v>1844</v>
      </c>
      <c r="C1111" t="s">
        <v>85</v>
      </c>
      <c r="D1111" t="s">
        <v>616</v>
      </c>
      <c r="E1111" t="s">
        <v>30</v>
      </c>
      <c r="F1111" t="s">
        <v>389</v>
      </c>
      <c r="G1111" t="s">
        <v>81</v>
      </c>
      <c r="H1111" t="s">
        <v>173</v>
      </c>
      <c r="I1111" s="1" t="s">
        <v>1857</v>
      </c>
      <c r="J1111" s="1" t="s">
        <v>1858</v>
      </c>
      <c r="K1111" s="1" t="s">
        <v>1859</v>
      </c>
    </row>
    <row r="1112" spans="1:11" ht="60" x14ac:dyDescent="0.25">
      <c r="A1112" t="s">
        <v>49</v>
      </c>
      <c r="B1112" t="s">
        <v>1844</v>
      </c>
      <c r="C1112" t="s">
        <v>249</v>
      </c>
      <c r="D1112" t="s">
        <v>827</v>
      </c>
      <c r="E1112" t="s">
        <v>30</v>
      </c>
      <c r="F1112" t="s">
        <v>182</v>
      </c>
      <c r="G1112" t="s">
        <v>32</v>
      </c>
      <c r="H1112" t="s">
        <v>87</v>
      </c>
      <c r="I1112" s="1" t="s">
        <v>1860</v>
      </c>
      <c r="J1112" s="1" t="s">
        <v>16</v>
      </c>
      <c r="K1112" s="1" t="s">
        <v>1861</v>
      </c>
    </row>
    <row r="1113" spans="1:11" ht="409.5" x14ac:dyDescent="0.25">
      <c r="A1113" t="s">
        <v>64</v>
      </c>
      <c r="B1113" t="s">
        <v>1844</v>
      </c>
      <c r="C1113" t="s">
        <v>180</v>
      </c>
      <c r="D1113" t="s">
        <v>181</v>
      </c>
      <c r="E1113" t="s">
        <v>30</v>
      </c>
      <c r="F1113" t="s">
        <v>189</v>
      </c>
      <c r="G1113" t="s">
        <v>32</v>
      </c>
      <c r="H1113" t="s">
        <v>173</v>
      </c>
      <c r="I1113" s="1" t="s">
        <v>1862</v>
      </c>
      <c r="J1113" s="1" t="s">
        <v>1863</v>
      </c>
      <c r="K1113" s="1" t="s">
        <v>1864</v>
      </c>
    </row>
    <row r="1114" spans="1:11" ht="75" x14ac:dyDescent="0.25">
      <c r="A1114" t="s">
        <v>26</v>
      </c>
      <c r="B1114" t="s">
        <v>1865</v>
      </c>
      <c r="C1114" t="s">
        <v>106</v>
      </c>
      <c r="D1114" t="s">
        <v>431</v>
      </c>
      <c r="E1114" t="s">
        <v>30</v>
      </c>
      <c r="F1114" t="s">
        <v>154</v>
      </c>
      <c r="G1114" t="s">
        <v>263</v>
      </c>
      <c r="H1114" t="s">
        <v>33</v>
      </c>
      <c r="I1114" s="1" t="s">
        <v>1866</v>
      </c>
      <c r="J1114" s="1" t="s">
        <v>1867</v>
      </c>
      <c r="K1114" s="1" t="s">
        <v>1847</v>
      </c>
    </row>
    <row r="1115" spans="1:11" ht="150" x14ac:dyDescent="0.25">
      <c r="A1115" t="s">
        <v>26</v>
      </c>
      <c r="B1115" t="s">
        <v>1865</v>
      </c>
      <c r="C1115" t="s">
        <v>263</v>
      </c>
      <c r="D1115" t="s">
        <v>1739</v>
      </c>
      <c r="E1115" t="s">
        <v>30</v>
      </c>
      <c r="F1115" t="s">
        <v>196</v>
      </c>
      <c r="G1115" t="s">
        <v>32</v>
      </c>
      <c r="H1115" t="s">
        <v>87</v>
      </c>
      <c r="I1115" s="1" t="s">
        <v>1868</v>
      </c>
      <c r="J1115" s="1" t="s">
        <v>15</v>
      </c>
      <c r="K1115" s="1" t="s">
        <v>1869</v>
      </c>
    </row>
    <row r="1116" spans="1:11" ht="45" x14ac:dyDescent="0.25">
      <c r="A1116" t="s">
        <v>26</v>
      </c>
      <c r="B1116" t="s">
        <v>1865</v>
      </c>
      <c r="C1116" t="s">
        <v>263</v>
      </c>
      <c r="D1116" t="s">
        <v>1557</v>
      </c>
      <c r="E1116" t="s">
        <v>30</v>
      </c>
      <c r="F1116" t="s">
        <v>1181</v>
      </c>
      <c r="G1116" t="s">
        <v>32</v>
      </c>
      <c r="H1116" t="s">
        <v>33</v>
      </c>
      <c r="I1116" s="1" t="s">
        <v>1870</v>
      </c>
      <c r="J1116" s="1" t="s">
        <v>796</v>
      </c>
      <c r="K1116" s="1" t="s">
        <v>1847</v>
      </c>
    </row>
    <row r="1117" spans="1:11" ht="45" x14ac:dyDescent="0.25">
      <c r="A1117" t="s">
        <v>26</v>
      </c>
      <c r="B1117" t="s">
        <v>1865</v>
      </c>
      <c r="C1117" t="s">
        <v>263</v>
      </c>
      <c r="D1117" t="s">
        <v>1128</v>
      </c>
      <c r="E1117" t="s">
        <v>30</v>
      </c>
      <c r="F1117" t="s">
        <v>112</v>
      </c>
      <c r="G1117" t="s">
        <v>69</v>
      </c>
      <c r="H1117" t="s">
        <v>173</v>
      </c>
      <c r="I1117" s="1" t="s">
        <v>1871</v>
      </c>
      <c r="J1117" s="1" t="s">
        <v>481</v>
      </c>
      <c r="K1117" s="1" t="s">
        <v>1872</v>
      </c>
    </row>
    <row r="1118" spans="1:11" ht="45" x14ac:dyDescent="0.25">
      <c r="A1118" t="s">
        <v>26</v>
      </c>
      <c r="B1118" t="s">
        <v>1865</v>
      </c>
      <c r="C1118" t="s">
        <v>235</v>
      </c>
      <c r="D1118" t="s">
        <v>403</v>
      </c>
      <c r="E1118" t="s">
        <v>30</v>
      </c>
      <c r="F1118" t="s">
        <v>94</v>
      </c>
      <c r="G1118" t="s">
        <v>32</v>
      </c>
      <c r="H1118" t="s">
        <v>33</v>
      </c>
      <c r="I1118" s="1" t="s">
        <v>1873</v>
      </c>
      <c r="J1118" s="1" t="s">
        <v>1874</v>
      </c>
      <c r="K1118" s="1" t="s">
        <v>1847</v>
      </c>
    </row>
    <row r="1119" spans="1:11" ht="75" x14ac:dyDescent="0.25">
      <c r="A1119" t="s">
        <v>26</v>
      </c>
      <c r="B1119" t="s">
        <v>1865</v>
      </c>
      <c r="C1119" t="s">
        <v>73</v>
      </c>
      <c r="D1119" t="s">
        <v>1123</v>
      </c>
      <c r="E1119" t="s">
        <v>30</v>
      </c>
      <c r="F1119" t="s">
        <v>112</v>
      </c>
      <c r="G1119" t="s">
        <v>32</v>
      </c>
      <c r="H1119" t="s">
        <v>33</v>
      </c>
      <c r="I1119" s="1" t="s">
        <v>1875</v>
      </c>
      <c r="J1119" s="1" t="s">
        <v>1876</v>
      </c>
      <c r="K1119" s="1" t="s">
        <v>1847</v>
      </c>
    </row>
    <row r="1120" spans="1:11" ht="75" x14ac:dyDescent="0.25">
      <c r="A1120" t="s">
        <v>26</v>
      </c>
      <c r="B1120" t="s">
        <v>1865</v>
      </c>
      <c r="C1120" t="s">
        <v>73</v>
      </c>
      <c r="D1120" t="s">
        <v>862</v>
      </c>
      <c r="E1120" t="s">
        <v>30</v>
      </c>
      <c r="F1120" t="s">
        <v>94</v>
      </c>
      <c r="G1120" t="s">
        <v>32</v>
      </c>
      <c r="H1120" t="s">
        <v>33</v>
      </c>
      <c r="I1120" s="1" t="s">
        <v>1877</v>
      </c>
      <c r="J1120" s="1" t="s">
        <v>1878</v>
      </c>
      <c r="K1120" s="1" t="s">
        <v>1847</v>
      </c>
    </row>
    <row r="1121" spans="1:11" ht="30" x14ac:dyDescent="0.25">
      <c r="A1121" t="s">
        <v>26</v>
      </c>
      <c r="B1121" t="s">
        <v>1865</v>
      </c>
      <c r="C1121" t="s">
        <v>73</v>
      </c>
      <c r="D1121" t="s">
        <v>1337</v>
      </c>
      <c r="E1121" t="s">
        <v>30</v>
      </c>
      <c r="F1121" t="s">
        <v>606</v>
      </c>
      <c r="G1121" t="s">
        <v>32</v>
      </c>
      <c r="H1121" t="s">
        <v>173</v>
      </c>
      <c r="I1121" s="1" t="s">
        <v>1879</v>
      </c>
      <c r="J1121" s="1" t="s">
        <v>1880</v>
      </c>
      <c r="K1121" s="1" t="s">
        <v>1881</v>
      </c>
    </row>
    <row r="1122" spans="1:11" ht="60" x14ac:dyDescent="0.25">
      <c r="A1122" t="s">
        <v>26</v>
      </c>
      <c r="B1122" t="s">
        <v>1865</v>
      </c>
      <c r="C1122" t="s">
        <v>50</v>
      </c>
      <c r="D1122" t="s">
        <v>122</v>
      </c>
      <c r="E1122" t="s">
        <v>30</v>
      </c>
      <c r="F1122" t="s">
        <v>154</v>
      </c>
      <c r="G1122" t="s">
        <v>32</v>
      </c>
      <c r="H1122" t="s">
        <v>87</v>
      </c>
      <c r="I1122" s="1" t="s">
        <v>1882</v>
      </c>
      <c r="J1122" s="1" t="s">
        <v>697</v>
      </c>
      <c r="K1122" s="1" t="s">
        <v>1853</v>
      </c>
    </row>
    <row r="1123" spans="1:11" ht="105" x14ac:dyDescent="0.25">
      <c r="A1123" t="s">
        <v>26</v>
      </c>
      <c r="B1123" t="s">
        <v>1865</v>
      </c>
      <c r="C1123" t="s">
        <v>38</v>
      </c>
      <c r="D1123" t="s">
        <v>489</v>
      </c>
      <c r="E1123" t="s">
        <v>30</v>
      </c>
      <c r="F1123" t="s">
        <v>196</v>
      </c>
      <c r="G1123" t="s">
        <v>69</v>
      </c>
      <c r="H1123" t="s">
        <v>33</v>
      </c>
      <c r="I1123" s="1" t="s">
        <v>1883</v>
      </c>
      <c r="J1123" s="1" t="s">
        <v>1876</v>
      </c>
      <c r="K1123" s="1" t="s">
        <v>1847</v>
      </c>
    </row>
    <row r="1124" spans="1:11" ht="90" x14ac:dyDescent="0.25">
      <c r="A1124" t="s">
        <v>26</v>
      </c>
      <c r="B1124" t="s">
        <v>1865</v>
      </c>
      <c r="C1124" t="s">
        <v>92</v>
      </c>
      <c r="D1124" t="s">
        <v>695</v>
      </c>
      <c r="E1124" t="s">
        <v>79</v>
      </c>
      <c r="F1124" t="s">
        <v>136</v>
      </c>
      <c r="G1124" t="s">
        <v>263</v>
      </c>
      <c r="H1124" t="s">
        <v>87</v>
      </c>
      <c r="I1124" s="1" t="s">
        <v>1884</v>
      </c>
      <c r="J1124" s="1" t="s">
        <v>1885</v>
      </c>
      <c r="K1124" s="1" t="s">
        <v>1886</v>
      </c>
    </row>
    <row r="1125" spans="1:11" ht="60" x14ac:dyDescent="0.25">
      <c r="A1125" t="s">
        <v>26</v>
      </c>
      <c r="B1125" t="s">
        <v>1865</v>
      </c>
      <c r="C1125" t="s">
        <v>73</v>
      </c>
      <c r="D1125" t="s">
        <v>857</v>
      </c>
      <c r="E1125" t="s">
        <v>30</v>
      </c>
      <c r="F1125" t="s">
        <v>112</v>
      </c>
      <c r="G1125" t="s">
        <v>32</v>
      </c>
      <c r="H1125" t="s">
        <v>33</v>
      </c>
      <c r="I1125" s="1" t="s">
        <v>1887</v>
      </c>
      <c r="J1125" s="1" t="s">
        <v>877</v>
      </c>
      <c r="K1125" s="1" t="s">
        <v>1856</v>
      </c>
    </row>
    <row r="1126" spans="1:11" ht="90" x14ac:dyDescent="0.25">
      <c r="A1126" t="s">
        <v>26</v>
      </c>
      <c r="B1126" t="s">
        <v>1865</v>
      </c>
      <c r="C1126" t="s">
        <v>28</v>
      </c>
      <c r="D1126" t="s">
        <v>1888</v>
      </c>
      <c r="E1126" t="s">
        <v>30</v>
      </c>
      <c r="F1126" t="s">
        <v>154</v>
      </c>
      <c r="G1126" t="s">
        <v>69</v>
      </c>
      <c r="H1126" t="s">
        <v>87</v>
      </c>
      <c r="I1126" s="1" t="s">
        <v>1889</v>
      </c>
      <c r="J1126" s="1" t="s">
        <v>481</v>
      </c>
      <c r="K1126" s="1" t="s">
        <v>1872</v>
      </c>
    </row>
    <row r="1127" spans="1:11" ht="135" x14ac:dyDescent="0.25">
      <c r="A1127" t="s">
        <v>26</v>
      </c>
      <c r="B1127" t="s">
        <v>1865</v>
      </c>
      <c r="C1127" t="s">
        <v>180</v>
      </c>
      <c r="D1127" t="s">
        <v>181</v>
      </c>
      <c r="E1127" t="s">
        <v>30</v>
      </c>
      <c r="F1127" t="s">
        <v>365</v>
      </c>
      <c r="G1127" t="s">
        <v>81</v>
      </c>
      <c r="H1127" t="s">
        <v>87</v>
      </c>
      <c r="I1127" s="1" t="s">
        <v>1890</v>
      </c>
      <c r="J1127" s="1" t="s">
        <v>481</v>
      </c>
      <c r="K1127" s="1" t="s">
        <v>1891</v>
      </c>
    </row>
    <row r="1128" spans="1:11" ht="105" x14ac:dyDescent="0.25">
      <c r="A1128" t="s">
        <v>26</v>
      </c>
      <c r="B1128" t="s">
        <v>1865</v>
      </c>
      <c r="C1128" t="s">
        <v>92</v>
      </c>
      <c r="D1128" t="s">
        <v>1892</v>
      </c>
      <c r="E1128" t="s">
        <v>30</v>
      </c>
      <c r="F1128" t="s">
        <v>94</v>
      </c>
      <c r="G1128" t="s">
        <v>38</v>
      </c>
      <c r="H1128" t="s">
        <v>87</v>
      </c>
      <c r="I1128" s="1" t="s">
        <v>1893</v>
      </c>
      <c r="J1128" s="1" t="s">
        <v>481</v>
      </c>
      <c r="K1128" s="1" t="s">
        <v>1872</v>
      </c>
    </row>
    <row r="1129" spans="1:11" ht="60" x14ac:dyDescent="0.25">
      <c r="A1129" t="s">
        <v>26</v>
      </c>
      <c r="B1129" t="s">
        <v>1865</v>
      </c>
      <c r="C1129" t="s">
        <v>472</v>
      </c>
      <c r="D1129" t="s">
        <v>690</v>
      </c>
      <c r="E1129" t="s">
        <v>30</v>
      </c>
      <c r="F1129" t="s">
        <v>154</v>
      </c>
      <c r="G1129" t="s">
        <v>81</v>
      </c>
      <c r="H1129" t="s">
        <v>173</v>
      </c>
      <c r="I1129" s="1" t="s">
        <v>1894</v>
      </c>
      <c r="J1129" s="1" t="s">
        <v>877</v>
      </c>
      <c r="K1129" s="1" t="s">
        <v>1856</v>
      </c>
    </row>
    <row r="1130" spans="1:11" ht="60" x14ac:dyDescent="0.25">
      <c r="A1130" t="s">
        <v>26</v>
      </c>
      <c r="B1130" t="s">
        <v>1865</v>
      </c>
      <c r="C1130" t="s">
        <v>28</v>
      </c>
      <c r="D1130" t="s">
        <v>571</v>
      </c>
      <c r="E1130" t="s">
        <v>30</v>
      </c>
      <c r="F1130" t="s">
        <v>1807</v>
      </c>
      <c r="G1130" t="s">
        <v>32</v>
      </c>
      <c r="H1130" t="s">
        <v>33</v>
      </c>
      <c r="I1130" s="1" t="s">
        <v>1895</v>
      </c>
      <c r="J1130" s="1" t="s">
        <v>1878</v>
      </c>
      <c r="K1130" s="1" t="s">
        <v>1847</v>
      </c>
    </row>
    <row r="1131" spans="1:11" ht="105" x14ac:dyDescent="0.25">
      <c r="A1131" t="s">
        <v>26</v>
      </c>
      <c r="B1131" t="s">
        <v>1865</v>
      </c>
      <c r="C1131" t="s">
        <v>69</v>
      </c>
      <c r="D1131" t="s">
        <v>819</v>
      </c>
      <c r="E1131" t="s">
        <v>79</v>
      </c>
      <c r="F1131" t="s">
        <v>216</v>
      </c>
      <c r="G1131" t="s">
        <v>32</v>
      </c>
      <c r="H1131" t="s">
        <v>87</v>
      </c>
      <c r="I1131" s="1" t="s">
        <v>1896</v>
      </c>
      <c r="J1131" s="1" t="s">
        <v>238</v>
      </c>
      <c r="K1131" s="1" t="s">
        <v>1897</v>
      </c>
    </row>
    <row r="1132" spans="1:11" ht="120" x14ac:dyDescent="0.25">
      <c r="A1132" t="s">
        <v>26</v>
      </c>
      <c r="B1132" t="s">
        <v>1865</v>
      </c>
      <c r="C1132" t="s">
        <v>96</v>
      </c>
      <c r="D1132" t="s">
        <v>1898</v>
      </c>
      <c r="E1132" t="s">
        <v>30</v>
      </c>
      <c r="F1132" t="s">
        <v>140</v>
      </c>
      <c r="G1132" t="s">
        <v>81</v>
      </c>
      <c r="H1132" t="s">
        <v>87</v>
      </c>
      <c r="I1132" s="1" t="s">
        <v>1899</v>
      </c>
      <c r="J1132" s="1" t="s">
        <v>714</v>
      </c>
      <c r="K1132" s="1" t="s">
        <v>1900</v>
      </c>
    </row>
    <row r="1133" spans="1:11" ht="90" x14ac:dyDescent="0.25">
      <c r="A1133" t="s">
        <v>26</v>
      </c>
      <c r="B1133" t="s">
        <v>1865</v>
      </c>
      <c r="C1133" t="s">
        <v>69</v>
      </c>
      <c r="D1133" t="s">
        <v>557</v>
      </c>
      <c r="E1133" t="s">
        <v>30</v>
      </c>
      <c r="F1133" t="s">
        <v>119</v>
      </c>
      <c r="G1133" t="s">
        <v>32</v>
      </c>
      <c r="H1133" t="s">
        <v>33</v>
      </c>
      <c r="I1133" s="1" t="s">
        <v>1901</v>
      </c>
      <c r="J1133" s="1" t="s">
        <v>1867</v>
      </c>
      <c r="K1133" s="1" t="s">
        <v>1847</v>
      </c>
    </row>
    <row r="1134" spans="1:11" ht="90" x14ac:dyDescent="0.25">
      <c r="A1134" t="s">
        <v>49</v>
      </c>
      <c r="B1134" t="s">
        <v>1865</v>
      </c>
      <c r="C1134" t="s">
        <v>28</v>
      </c>
      <c r="D1134" t="s">
        <v>763</v>
      </c>
      <c r="E1134" t="s">
        <v>30</v>
      </c>
      <c r="F1134" t="s">
        <v>98</v>
      </c>
      <c r="G1134" t="s">
        <v>32</v>
      </c>
      <c r="H1134" t="s">
        <v>87</v>
      </c>
      <c r="I1134" s="1" t="s">
        <v>1902</v>
      </c>
      <c r="J1134" s="1" t="s">
        <v>717</v>
      </c>
      <c r="K1134" s="1" t="s">
        <v>1903</v>
      </c>
    </row>
    <row r="1135" spans="1:11" ht="75" x14ac:dyDescent="0.25">
      <c r="A1135" t="s">
        <v>26</v>
      </c>
      <c r="B1135" t="s">
        <v>1865</v>
      </c>
      <c r="C1135" t="s">
        <v>44</v>
      </c>
      <c r="D1135" t="s">
        <v>622</v>
      </c>
      <c r="E1135" t="s">
        <v>30</v>
      </c>
      <c r="F1135" t="s">
        <v>189</v>
      </c>
      <c r="G1135" t="s">
        <v>69</v>
      </c>
      <c r="H1135" t="s">
        <v>33</v>
      </c>
      <c r="I1135" s="1" t="s">
        <v>1904</v>
      </c>
      <c r="J1135" s="1" t="s">
        <v>1867</v>
      </c>
      <c r="K1135" s="1" t="s">
        <v>1847</v>
      </c>
    </row>
    <row r="1136" spans="1:11" ht="105" x14ac:dyDescent="0.25">
      <c r="A1136" t="s">
        <v>26</v>
      </c>
      <c r="B1136" t="s">
        <v>1865</v>
      </c>
      <c r="C1136" t="s">
        <v>44</v>
      </c>
      <c r="D1136" t="s">
        <v>165</v>
      </c>
      <c r="E1136" t="s">
        <v>30</v>
      </c>
      <c r="F1136" t="s">
        <v>130</v>
      </c>
      <c r="G1136" t="s">
        <v>69</v>
      </c>
      <c r="H1136" t="s">
        <v>33</v>
      </c>
      <c r="I1136" s="1" t="s">
        <v>1905</v>
      </c>
      <c r="J1136" s="1" t="s">
        <v>1906</v>
      </c>
      <c r="K1136" s="1" t="s">
        <v>1907</v>
      </c>
    </row>
    <row r="1137" spans="1:11" ht="45" x14ac:dyDescent="0.25">
      <c r="A1137" t="s">
        <v>26</v>
      </c>
      <c r="B1137" t="s">
        <v>1865</v>
      </c>
      <c r="C1137" t="s">
        <v>69</v>
      </c>
      <c r="D1137" t="s">
        <v>297</v>
      </c>
      <c r="E1137" t="s">
        <v>30</v>
      </c>
      <c r="F1137" t="s">
        <v>492</v>
      </c>
      <c r="G1137" t="s">
        <v>32</v>
      </c>
      <c r="H1137" t="s">
        <v>173</v>
      </c>
      <c r="I1137" s="1" t="s">
        <v>1908</v>
      </c>
      <c r="J1137" s="1" t="s">
        <v>1909</v>
      </c>
      <c r="K1137" s="1" t="s">
        <v>1910</v>
      </c>
    </row>
    <row r="1138" spans="1:11" ht="60" x14ac:dyDescent="0.25">
      <c r="A1138" t="s">
        <v>49</v>
      </c>
      <c r="B1138" t="s">
        <v>1865</v>
      </c>
      <c r="C1138" t="s">
        <v>28</v>
      </c>
      <c r="D1138" t="s">
        <v>751</v>
      </c>
      <c r="E1138" t="s">
        <v>30</v>
      </c>
      <c r="F1138" t="s">
        <v>561</v>
      </c>
      <c r="G1138" t="s">
        <v>32</v>
      </c>
      <c r="H1138" t="s">
        <v>33</v>
      </c>
      <c r="I1138" s="1" t="s">
        <v>1911</v>
      </c>
      <c r="J1138" s="1" t="s">
        <v>14</v>
      </c>
      <c r="K1138" s="1" t="s">
        <v>1847</v>
      </c>
    </row>
    <row r="1139" spans="1:11" ht="105" x14ac:dyDescent="0.25">
      <c r="A1139" t="s">
        <v>49</v>
      </c>
      <c r="B1139" t="s">
        <v>1865</v>
      </c>
      <c r="C1139" t="s">
        <v>32</v>
      </c>
      <c r="D1139" t="s">
        <v>1116</v>
      </c>
      <c r="E1139" t="s">
        <v>30</v>
      </c>
      <c r="F1139" t="s">
        <v>52</v>
      </c>
      <c r="G1139" t="s">
        <v>69</v>
      </c>
      <c r="H1139" t="s">
        <v>33</v>
      </c>
      <c r="I1139" s="1" t="s">
        <v>1912</v>
      </c>
      <c r="J1139" s="1" t="s">
        <v>1867</v>
      </c>
      <c r="K1139" s="1" t="s">
        <v>1847</v>
      </c>
    </row>
    <row r="1140" spans="1:11" ht="60" x14ac:dyDescent="0.25">
      <c r="A1140" t="s">
        <v>49</v>
      </c>
      <c r="B1140" t="s">
        <v>1865</v>
      </c>
      <c r="C1140" t="s">
        <v>106</v>
      </c>
      <c r="D1140" t="s">
        <v>475</v>
      </c>
      <c r="E1140" t="s">
        <v>30</v>
      </c>
      <c r="F1140" t="s">
        <v>130</v>
      </c>
      <c r="G1140" t="s">
        <v>69</v>
      </c>
      <c r="H1140" t="s">
        <v>173</v>
      </c>
      <c r="I1140" s="1" t="s">
        <v>1913</v>
      </c>
      <c r="J1140" s="1" t="s">
        <v>436</v>
      </c>
      <c r="K1140" s="1" t="s">
        <v>1914</v>
      </c>
    </row>
    <row r="1141" spans="1:11" ht="105" x14ac:dyDescent="0.25">
      <c r="A1141" t="s">
        <v>26</v>
      </c>
      <c r="B1141" t="s">
        <v>1865</v>
      </c>
      <c r="C1141" t="s">
        <v>32</v>
      </c>
      <c r="D1141" t="s">
        <v>1915</v>
      </c>
      <c r="E1141" t="s">
        <v>30</v>
      </c>
      <c r="F1141" t="s">
        <v>46</v>
      </c>
      <c r="G1141" t="s">
        <v>32</v>
      </c>
      <c r="H1141" t="s">
        <v>173</v>
      </c>
      <c r="I1141" s="1" t="s">
        <v>1916</v>
      </c>
      <c r="J1141" s="1" t="s">
        <v>1917</v>
      </c>
      <c r="K1141" s="1" t="s">
        <v>1856</v>
      </c>
    </row>
    <row r="1142" spans="1:11" ht="45" x14ac:dyDescent="0.25">
      <c r="A1142" t="s">
        <v>91</v>
      </c>
      <c r="B1142" t="s">
        <v>1865</v>
      </c>
      <c r="C1142" t="s">
        <v>38</v>
      </c>
      <c r="D1142" t="s">
        <v>1333</v>
      </c>
      <c r="E1142" t="s">
        <v>30</v>
      </c>
      <c r="F1142" t="s">
        <v>719</v>
      </c>
      <c r="G1142" t="s">
        <v>32</v>
      </c>
      <c r="H1142" t="s">
        <v>33</v>
      </c>
      <c r="I1142" s="1" t="s">
        <v>1918</v>
      </c>
      <c r="J1142" s="1" t="s">
        <v>1919</v>
      </c>
      <c r="K1142" s="1" t="s">
        <v>1847</v>
      </c>
    </row>
    <row r="1143" spans="1:11" ht="60" x14ac:dyDescent="0.25">
      <c r="A1143" t="s">
        <v>26</v>
      </c>
      <c r="B1143" t="s">
        <v>1865</v>
      </c>
      <c r="C1143" t="s">
        <v>44</v>
      </c>
      <c r="D1143" t="s">
        <v>146</v>
      </c>
      <c r="E1143" t="s">
        <v>30</v>
      </c>
      <c r="F1143" t="s">
        <v>94</v>
      </c>
      <c r="G1143" t="s">
        <v>263</v>
      </c>
      <c r="H1143" t="s">
        <v>87</v>
      </c>
      <c r="I1143" s="1" t="s">
        <v>1920</v>
      </c>
      <c r="J1143" s="1" t="s">
        <v>15</v>
      </c>
      <c r="K1143" s="1" t="s">
        <v>1921</v>
      </c>
    </row>
    <row r="1144" spans="1:11" ht="45" x14ac:dyDescent="0.25">
      <c r="A1144" t="s">
        <v>49</v>
      </c>
      <c r="B1144" t="s">
        <v>1865</v>
      </c>
      <c r="C1144" t="s">
        <v>28</v>
      </c>
      <c r="D1144" t="s">
        <v>470</v>
      </c>
      <c r="E1144" t="s">
        <v>30</v>
      </c>
      <c r="F1144" t="s">
        <v>52</v>
      </c>
      <c r="G1144" t="s">
        <v>32</v>
      </c>
      <c r="H1144" t="s">
        <v>33</v>
      </c>
      <c r="I1144" s="1" t="s">
        <v>1922</v>
      </c>
      <c r="J1144" s="1" t="s">
        <v>1874</v>
      </c>
      <c r="K1144" s="1" t="s">
        <v>1847</v>
      </c>
    </row>
    <row r="1145" spans="1:11" ht="135" x14ac:dyDescent="0.25">
      <c r="A1145" t="s">
        <v>26</v>
      </c>
      <c r="B1145" t="s">
        <v>1865</v>
      </c>
      <c r="C1145" t="s">
        <v>44</v>
      </c>
      <c r="D1145" t="s">
        <v>821</v>
      </c>
      <c r="E1145" t="s">
        <v>30</v>
      </c>
      <c r="F1145" t="s">
        <v>40</v>
      </c>
      <c r="G1145" t="s">
        <v>32</v>
      </c>
      <c r="H1145" t="s">
        <v>173</v>
      </c>
      <c r="I1145" s="1" t="s">
        <v>1923</v>
      </c>
      <c r="J1145" s="1" t="s">
        <v>1924</v>
      </c>
      <c r="K1145" s="1" t="s">
        <v>1856</v>
      </c>
    </row>
    <row r="1146" spans="1:11" ht="45" x14ac:dyDescent="0.25">
      <c r="A1146" t="s">
        <v>37</v>
      </c>
      <c r="B1146" t="s">
        <v>1865</v>
      </c>
      <c r="C1146" t="s">
        <v>263</v>
      </c>
      <c r="D1146" t="s">
        <v>1925</v>
      </c>
      <c r="E1146" t="s">
        <v>30</v>
      </c>
      <c r="F1146" t="s">
        <v>1926</v>
      </c>
      <c r="G1146" t="s">
        <v>32</v>
      </c>
      <c r="H1146" t="s">
        <v>33</v>
      </c>
      <c r="I1146" s="1" t="s">
        <v>1927</v>
      </c>
      <c r="J1146" s="1" t="s">
        <v>1928</v>
      </c>
      <c r="K1146" s="1" t="s">
        <v>1847</v>
      </c>
    </row>
    <row r="1147" spans="1:11" ht="30" x14ac:dyDescent="0.25">
      <c r="A1147" t="s">
        <v>26</v>
      </c>
      <c r="B1147" t="s">
        <v>1865</v>
      </c>
      <c r="C1147" t="s">
        <v>85</v>
      </c>
      <c r="D1147" t="s">
        <v>1929</v>
      </c>
      <c r="E1147" t="s">
        <v>30</v>
      </c>
      <c r="F1147" t="s">
        <v>112</v>
      </c>
      <c r="G1147" t="s">
        <v>69</v>
      </c>
      <c r="H1147" t="s">
        <v>87</v>
      </c>
      <c r="I1147" s="1" t="s">
        <v>1930</v>
      </c>
      <c r="J1147" s="1" t="s">
        <v>684</v>
      </c>
      <c r="K1147" s="1" t="s">
        <v>1931</v>
      </c>
    </row>
    <row r="1148" spans="1:11" ht="60" x14ac:dyDescent="0.25">
      <c r="A1148" t="s">
        <v>37</v>
      </c>
      <c r="B1148" t="s">
        <v>1865</v>
      </c>
      <c r="C1148" t="s">
        <v>249</v>
      </c>
      <c r="D1148" t="s">
        <v>776</v>
      </c>
      <c r="E1148" t="s">
        <v>30</v>
      </c>
      <c r="F1148" t="s">
        <v>294</v>
      </c>
      <c r="G1148" t="s">
        <v>69</v>
      </c>
      <c r="H1148" t="s">
        <v>33</v>
      </c>
      <c r="I1148" s="1" t="s">
        <v>1932</v>
      </c>
      <c r="J1148" s="1" t="s">
        <v>854</v>
      </c>
      <c r="K1148" s="1" t="s">
        <v>1847</v>
      </c>
    </row>
    <row r="1149" spans="1:11" ht="90" x14ac:dyDescent="0.25">
      <c r="A1149" t="s">
        <v>26</v>
      </c>
      <c r="B1149" t="s">
        <v>1865</v>
      </c>
      <c r="C1149" t="s">
        <v>85</v>
      </c>
      <c r="D1149" t="s">
        <v>616</v>
      </c>
      <c r="E1149" t="s">
        <v>30</v>
      </c>
      <c r="F1149" t="s">
        <v>61</v>
      </c>
      <c r="G1149" t="s">
        <v>32</v>
      </c>
      <c r="H1149" t="s">
        <v>173</v>
      </c>
      <c r="I1149" s="1" t="s">
        <v>1933</v>
      </c>
      <c r="J1149" s="1" t="s">
        <v>1917</v>
      </c>
      <c r="K1149" s="1" t="s">
        <v>1934</v>
      </c>
    </row>
    <row r="1150" spans="1:11" ht="75" x14ac:dyDescent="0.25">
      <c r="A1150" t="s">
        <v>37</v>
      </c>
      <c r="B1150" t="s">
        <v>1865</v>
      </c>
      <c r="C1150" t="s">
        <v>55</v>
      </c>
      <c r="D1150" t="s">
        <v>579</v>
      </c>
      <c r="E1150" t="s">
        <v>30</v>
      </c>
      <c r="F1150" t="s">
        <v>246</v>
      </c>
      <c r="G1150" t="s">
        <v>32</v>
      </c>
      <c r="H1150" t="s">
        <v>87</v>
      </c>
      <c r="I1150" s="1" t="s">
        <v>1935</v>
      </c>
      <c r="J1150" s="1" t="s">
        <v>1874</v>
      </c>
      <c r="K1150" s="1" t="s">
        <v>1847</v>
      </c>
    </row>
    <row r="1151" spans="1:11" ht="60" x14ac:dyDescent="0.25">
      <c r="A1151" t="s">
        <v>26</v>
      </c>
      <c r="B1151" t="s">
        <v>1865</v>
      </c>
      <c r="C1151" t="s">
        <v>28</v>
      </c>
      <c r="D1151" t="s">
        <v>526</v>
      </c>
      <c r="E1151" t="s">
        <v>30</v>
      </c>
      <c r="F1151" t="s">
        <v>161</v>
      </c>
      <c r="G1151" t="s">
        <v>81</v>
      </c>
      <c r="H1151" t="s">
        <v>173</v>
      </c>
      <c r="I1151" s="1" t="s">
        <v>1936</v>
      </c>
      <c r="J1151" s="1" t="s">
        <v>481</v>
      </c>
      <c r="K1151" s="1" t="s">
        <v>1859</v>
      </c>
    </row>
    <row r="1152" spans="1:11" ht="60" x14ac:dyDescent="0.25">
      <c r="A1152" t="s">
        <v>37</v>
      </c>
      <c r="B1152" t="s">
        <v>1865</v>
      </c>
      <c r="C1152" t="s">
        <v>240</v>
      </c>
      <c r="D1152" t="s">
        <v>267</v>
      </c>
      <c r="E1152" t="s">
        <v>30</v>
      </c>
      <c r="F1152" t="s">
        <v>543</v>
      </c>
      <c r="G1152" t="s">
        <v>32</v>
      </c>
      <c r="H1152" t="s">
        <v>173</v>
      </c>
      <c r="I1152" s="1" t="s">
        <v>1937</v>
      </c>
      <c r="J1152" s="1" t="s">
        <v>877</v>
      </c>
      <c r="K1152" s="1" t="s">
        <v>1856</v>
      </c>
    </row>
    <row r="1153" spans="1:11" ht="75" x14ac:dyDescent="0.25">
      <c r="A1153" t="s">
        <v>26</v>
      </c>
      <c r="B1153" t="s">
        <v>1865</v>
      </c>
      <c r="C1153" t="s">
        <v>55</v>
      </c>
      <c r="D1153" t="s">
        <v>382</v>
      </c>
      <c r="E1153" t="s">
        <v>30</v>
      </c>
      <c r="F1153" t="s">
        <v>154</v>
      </c>
      <c r="G1153" t="s">
        <v>32</v>
      </c>
      <c r="H1153" t="s">
        <v>33</v>
      </c>
      <c r="I1153" s="1" t="s">
        <v>1938</v>
      </c>
      <c r="J1153" s="1" t="s">
        <v>864</v>
      </c>
      <c r="K1153" s="1" t="s">
        <v>1939</v>
      </c>
    </row>
    <row r="1154" spans="1:11" ht="105" x14ac:dyDescent="0.25">
      <c r="A1154" t="s">
        <v>64</v>
      </c>
      <c r="B1154" t="s">
        <v>1865</v>
      </c>
      <c r="C1154" t="s">
        <v>50</v>
      </c>
      <c r="D1154" t="s">
        <v>60</v>
      </c>
      <c r="E1154" t="s">
        <v>79</v>
      </c>
      <c r="F1154" t="s">
        <v>587</v>
      </c>
      <c r="G1154" t="s">
        <v>38</v>
      </c>
      <c r="H1154" t="s">
        <v>87</v>
      </c>
      <c r="I1154" s="1" t="s">
        <v>1940</v>
      </c>
      <c r="J1154" s="1" t="s">
        <v>1941</v>
      </c>
      <c r="K1154" s="1" t="s">
        <v>1942</v>
      </c>
    </row>
    <row r="1155" spans="1:11" ht="45" x14ac:dyDescent="0.25">
      <c r="A1155" t="s">
        <v>49</v>
      </c>
      <c r="B1155" t="s">
        <v>1865</v>
      </c>
      <c r="C1155" t="s">
        <v>249</v>
      </c>
      <c r="D1155" t="s">
        <v>758</v>
      </c>
      <c r="E1155" t="s">
        <v>30</v>
      </c>
      <c r="F1155" t="s">
        <v>61</v>
      </c>
      <c r="G1155" t="s">
        <v>32</v>
      </c>
      <c r="H1155" t="s">
        <v>173</v>
      </c>
      <c r="I1155" s="1" t="s">
        <v>1943</v>
      </c>
      <c r="J1155" s="1" t="s">
        <v>697</v>
      </c>
      <c r="K1155" s="1" t="s">
        <v>1910</v>
      </c>
    </row>
    <row r="1156" spans="1:11" ht="60" x14ac:dyDescent="0.25">
      <c r="A1156" t="s">
        <v>49</v>
      </c>
      <c r="B1156" t="s">
        <v>1865</v>
      </c>
      <c r="C1156" t="s">
        <v>28</v>
      </c>
      <c r="D1156" t="s">
        <v>29</v>
      </c>
      <c r="E1156" t="s">
        <v>30</v>
      </c>
      <c r="F1156" t="s">
        <v>446</v>
      </c>
      <c r="G1156" t="s">
        <v>32</v>
      </c>
      <c r="H1156" t="s">
        <v>33</v>
      </c>
      <c r="I1156" s="1" t="s">
        <v>1944</v>
      </c>
      <c r="J1156" s="1" t="s">
        <v>854</v>
      </c>
      <c r="K1156" s="1" t="s">
        <v>1847</v>
      </c>
    </row>
    <row r="1157" spans="1:11" ht="105" x14ac:dyDescent="0.25">
      <c r="A1157" t="s">
        <v>37</v>
      </c>
      <c r="B1157" t="s">
        <v>1865</v>
      </c>
      <c r="C1157" t="s">
        <v>85</v>
      </c>
      <c r="D1157" t="s">
        <v>338</v>
      </c>
      <c r="E1157" t="s">
        <v>30</v>
      </c>
      <c r="F1157" t="s">
        <v>287</v>
      </c>
      <c r="G1157" t="s">
        <v>32</v>
      </c>
      <c r="H1157" t="s">
        <v>33</v>
      </c>
      <c r="I1157" s="1" t="s">
        <v>1945</v>
      </c>
      <c r="J1157" s="1" t="s">
        <v>426</v>
      </c>
      <c r="K1157" s="1" t="s">
        <v>1946</v>
      </c>
    </row>
    <row r="1158" spans="1:11" ht="105" x14ac:dyDescent="0.25">
      <c r="A1158" t="s">
        <v>26</v>
      </c>
      <c r="B1158" t="s">
        <v>1947</v>
      </c>
      <c r="C1158" t="s">
        <v>263</v>
      </c>
      <c r="D1158" t="s">
        <v>457</v>
      </c>
      <c r="E1158" t="s">
        <v>30</v>
      </c>
      <c r="F1158" t="s">
        <v>189</v>
      </c>
      <c r="G1158" t="s">
        <v>32</v>
      </c>
      <c r="H1158" t="s">
        <v>87</v>
      </c>
      <c r="I1158" s="1" t="s">
        <v>1948</v>
      </c>
      <c r="J1158" s="1" t="s">
        <v>1949</v>
      </c>
      <c r="K1158" s="1" t="s">
        <v>1861</v>
      </c>
    </row>
    <row r="1159" spans="1:11" ht="45" x14ac:dyDescent="0.25">
      <c r="A1159" t="s">
        <v>26</v>
      </c>
      <c r="B1159" t="s">
        <v>1947</v>
      </c>
      <c r="C1159" t="s">
        <v>249</v>
      </c>
      <c r="D1159" t="s">
        <v>657</v>
      </c>
      <c r="E1159" t="s">
        <v>30</v>
      </c>
      <c r="F1159" t="s">
        <v>216</v>
      </c>
      <c r="G1159" t="s">
        <v>32</v>
      </c>
      <c r="H1159" t="s">
        <v>173</v>
      </c>
      <c r="I1159" s="1" t="s">
        <v>1950</v>
      </c>
      <c r="J1159" s="1" t="s">
        <v>1951</v>
      </c>
      <c r="K1159" s="1" t="s">
        <v>1952</v>
      </c>
    </row>
    <row r="1160" spans="1:11" ht="60" x14ac:dyDescent="0.25">
      <c r="A1160" t="s">
        <v>26</v>
      </c>
      <c r="B1160" t="s">
        <v>1947</v>
      </c>
      <c r="C1160" t="s">
        <v>235</v>
      </c>
      <c r="D1160" t="s">
        <v>1158</v>
      </c>
      <c r="E1160" t="s">
        <v>30</v>
      </c>
      <c r="F1160" t="s">
        <v>61</v>
      </c>
      <c r="G1160" t="s">
        <v>32</v>
      </c>
      <c r="H1160" t="s">
        <v>33</v>
      </c>
      <c r="I1160" s="1" t="s">
        <v>1953</v>
      </c>
      <c r="J1160" s="1" t="s">
        <v>1954</v>
      </c>
      <c r="K1160" s="1" t="s">
        <v>1847</v>
      </c>
    </row>
    <row r="1161" spans="1:11" ht="60" x14ac:dyDescent="0.25">
      <c r="A1161" t="s">
        <v>26</v>
      </c>
      <c r="B1161" t="s">
        <v>1947</v>
      </c>
      <c r="C1161" t="s">
        <v>249</v>
      </c>
      <c r="D1161" t="s">
        <v>497</v>
      </c>
      <c r="E1161" t="s">
        <v>30</v>
      </c>
      <c r="F1161" t="s">
        <v>61</v>
      </c>
      <c r="G1161" t="s">
        <v>32</v>
      </c>
      <c r="H1161" t="s">
        <v>173</v>
      </c>
      <c r="I1161" s="1" t="s">
        <v>1955</v>
      </c>
      <c r="J1161" s="1" t="s">
        <v>701</v>
      </c>
      <c r="K1161" s="1" t="s">
        <v>1861</v>
      </c>
    </row>
    <row r="1162" spans="1:11" ht="60" x14ac:dyDescent="0.25">
      <c r="A1162" t="s">
        <v>26</v>
      </c>
      <c r="B1162" t="s">
        <v>1947</v>
      </c>
      <c r="C1162" t="s">
        <v>249</v>
      </c>
      <c r="D1162" t="s">
        <v>758</v>
      </c>
      <c r="E1162" t="s">
        <v>30</v>
      </c>
      <c r="F1162" t="s">
        <v>189</v>
      </c>
      <c r="G1162" t="s">
        <v>32</v>
      </c>
      <c r="H1162" t="s">
        <v>173</v>
      </c>
      <c r="I1162" s="1" t="s">
        <v>1956</v>
      </c>
      <c r="J1162" s="1" t="s">
        <v>1957</v>
      </c>
      <c r="K1162" s="1" t="s">
        <v>1861</v>
      </c>
    </row>
    <row r="1163" spans="1:11" ht="90" x14ac:dyDescent="0.25">
      <c r="A1163" t="s">
        <v>26</v>
      </c>
      <c r="B1163" t="s">
        <v>1947</v>
      </c>
      <c r="C1163" t="s">
        <v>106</v>
      </c>
      <c r="D1163" t="s">
        <v>1958</v>
      </c>
      <c r="E1163" t="s">
        <v>30</v>
      </c>
      <c r="F1163" t="s">
        <v>681</v>
      </c>
      <c r="G1163" t="s">
        <v>32</v>
      </c>
      <c r="H1163" t="s">
        <v>87</v>
      </c>
      <c r="I1163" s="1" t="s">
        <v>1959</v>
      </c>
      <c r="J1163" s="1" t="s">
        <v>15</v>
      </c>
      <c r="K1163" s="1" t="s">
        <v>1859</v>
      </c>
    </row>
    <row r="1164" spans="1:11" ht="60" x14ac:dyDescent="0.25">
      <c r="A1164" t="s">
        <v>26</v>
      </c>
      <c r="B1164" t="s">
        <v>1947</v>
      </c>
      <c r="C1164" t="s">
        <v>50</v>
      </c>
      <c r="D1164" t="s">
        <v>122</v>
      </c>
      <c r="E1164" t="s">
        <v>30</v>
      </c>
      <c r="F1164" t="s">
        <v>40</v>
      </c>
      <c r="G1164" t="s">
        <v>69</v>
      </c>
      <c r="H1164" t="s">
        <v>87</v>
      </c>
      <c r="I1164" s="1" t="s">
        <v>1960</v>
      </c>
      <c r="J1164" s="1" t="s">
        <v>701</v>
      </c>
      <c r="K1164" s="1" t="s">
        <v>1861</v>
      </c>
    </row>
    <row r="1165" spans="1:11" ht="105" x14ac:dyDescent="0.25">
      <c r="A1165" t="s">
        <v>26</v>
      </c>
      <c r="B1165" t="s">
        <v>1947</v>
      </c>
      <c r="C1165" t="s">
        <v>106</v>
      </c>
      <c r="D1165" t="s">
        <v>107</v>
      </c>
      <c r="E1165" t="s">
        <v>79</v>
      </c>
      <c r="F1165" t="s">
        <v>543</v>
      </c>
      <c r="G1165" t="s">
        <v>32</v>
      </c>
      <c r="H1165" t="s">
        <v>173</v>
      </c>
      <c r="I1165" s="1" t="s">
        <v>1961</v>
      </c>
      <c r="J1165" s="1" t="s">
        <v>481</v>
      </c>
      <c r="K1165" s="1" t="s">
        <v>1859</v>
      </c>
    </row>
    <row r="1166" spans="1:11" ht="75" x14ac:dyDescent="0.25">
      <c r="A1166" t="s">
        <v>26</v>
      </c>
      <c r="B1166" t="s">
        <v>1947</v>
      </c>
      <c r="C1166" t="s">
        <v>73</v>
      </c>
      <c r="D1166" t="s">
        <v>408</v>
      </c>
      <c r="E1166" t="s">
        <v>30</v>
      </c>
      <c r="F1166" t="s">
        <v>98</v>
      </c>
      <c r="G1166" t="s">
        <v>69</v>
      </c>
      <c r="H1166" t="s">
        <v>173</v>
      </c>
      <c r="I1166" s="1" t="s">
        <v>1962</v>
      </c>
      <c r="J1166" s="1" t="s">
        <v>872</v>
      </c>
      <c r="K1166" s="1" t="s">
        <v>1963</v>
      </c>
    </row>
    <row r="1167" spans="1:11" ht="60" x14ac:dyDescent="0.25">
      <c r="A1167" t="s">
        <v>26</v>
      </c>
      <c r="B1167" t="s">
        <v>1947</v>
      </c>
      <c r="C1167" t="s">
        <v>96</v>
      </c>
      <c r="D1167" t="s">
        <v>676</v>
      </c>
      <c r="E1167" t="s">
        <v>30</v>
      </c>
      <c r="F1167" t="s">
        <v>446</v>
      </c>
      <c r="G1167" t="s">
        <v>32</v>
      </c>
      <c r="H1167" t="s">
        <v>173</v>
      </c>
      <c r="I1167" s="1" t="s">
        <v>1964</v>
      </c>
      <c r="J1167" s="1" t="s">
        <v>16</v>
      </c>
      <c r="K1167" s="1" t="s">
        <v>1861</v>
      </c>
    </row>
    <row r="1168" spans="1:11" ht="60" x14ac:dyDescent="0.25">
      <c r="A1168" t="s">
        <v>26</v>
      </c>
      <c r="B1168" t="s">
        <v>1947</v>
      </c>
      <c r="C1168" t="s">
        <v>50</v>
      </c>
      <c r="D1168" t="s">
        <v>801</v>
      </c>
      <c r="E1168" t="s">
        <v>30</v>
      </c>
      <c r="F1168" t="s">
        <v>61</v>
      </c>
      <c r="G1168" t="s">
        <v>32</v>
      </c>
      <c r="H1168" t="s">
        <v>33</v>
      </c>
      <c r="I1168" s="1" t="s">
        <v>1965</v>
      </c>
      <c r="J1168" s="1" t="s">
        <v>426</v>
      </c>
      <c r="K1168" s="1" t="s">
        <v>1966</v>
      </c>
    </row>
    <row r="1169" spans="1:11" ht="75" x14ac:dyDescent="0.25">
      <c r="A1169" t="s">
        <v>26</v>
      </c>
      <c r="B1169" t="s">
        <v>1947</v>
      </c>
      <c r="C1169" t="s">
        <v>235</v>
      </c>
      <c r="D1169" t="s">
        <v>270</v>
      </c>
      <c r="E1169" t="s">
        <v>30</v>
      </c>
      <c r="F1169" t="s">
        <v>154</v>
      </c>
      <c r="G1169" t="s">
        <v>69</v>
      </c>
      <c r="H1169" t="s">
        <v>87</v>
      </c>
      <c r="I1169" s="1" t="s">
        <v>1967</v>
      </c>
      <c r="J1169" s="1" t="s">
        <v>1874</v>
      </c>
      <c r="K1169" s="1" t="s">
        <v>1968</v>
      </c>
    </row>
    <row r="1170" spans="1:11" ht="45" x14ac:dyDescent="0.25">
      <c r="A1170" t="s">
        <v>26</v>
      </c>
      <c r="B1170" t="s">
        <v>1947</v>
      </c>
      <c r="C1170" t="s">
        <v>92</v>
      </c>
      <c r="D1170" t="s">
        <v>1969</v>
      </c>
      <c r="E1170" t="s">
        <v>30</v>
      </c>
      <c r="F1170" t="s">
        <v>389</v>
      </c>
      <c r="G1170" t="s">
        <v>81</v>
      </c>
      <c r="H1170" t="s">
        <v>87</v>
      </c>
      <c r="I1170" s="1" t="s">
        <v>1970</v>
      </c>
      <c r="J1170" s="1" t="s">
        <v>481</v>
      </c>
      <c r="K1170" s="1" t="s">
        <v>1872</v>
      </c>
    </row>
    <row r="1171" spans="1:11" ht="75" x14ac:dyDescent="0.25">
      <c r="A1171" t="s">
        <v>26</v>
      </c>
      <c r="B1171" t="s">
        <v>1947</v>
      </c>
      <c r="C1171" t="s">
        <v>96</v>
      </c>
      <c r="D1171" t="s">
        <v>195</v>
      </c>
      <c r="E1171" t="s">
        <v>30</v>
      </c>
      <c r="F1171" t="s">
        <v>287</v>
      </c>
      <c r="G1171" t="s">
        <v>69</v>
      </c>
      <c r="H1171" t="s">
        <v>87</v>
      </c>
      <c r="I1171" s="1" t="s">
        <v>1971</v>
      </c>
      <c r="J1171" s="1" t="s">
        <v>1924</v>
      </c>
      <c r="K1171" s="1" t="s">
        <v>1963</v>
      </c>
    </row>
    <row r="1172" spans="1:11" ht="45" x14ac:dyDescent="0.25">
      <c r="A1172" t="s">
        <v>26</v>
      </c>
      <c r="B1172" t="s">
        <v>1947</v>
      </c>
      <c r="C1172" t="s">
        <v>69</v>
      </c>
      <c r="D1172" t="s">
        <v>283</v>
      </c>
      <c r="E1172" t="s">
        <v>30</v>
      </c>
      <c r="F1172" t="s">
        <v>61</v>
      </c>
      <c r="G1172" t="s">
        <v>32</v>
      </c>
      <c r="H1172" t="s">
        <v>33</v>
      </c>
      <c r="I1172" s="1" t="s">
        <v>1972</v>
      </c>
      <c r="J1172" s="1" t="s">
        <v>481</v>
      </c>
      <c r="K1172" s="1" t="s">
        <v>1847</v>
      </c>
    </row>
    <row r="1173" spans="1:11" ht="90" x14ac:dyDescent="0.25">
      <c r="A1173" t="s">
        <v>26</v>
      </c>
      <c r="B1173" t="s">
        <v>1947</v>
      </c>
      <c r="C1173" t="s">
        <v>235</v>
      </c>
      <c r="D1173" t="s">
        <v>327</v>
      </c>
      <c r="E1173" t="s">
        <v>30</v>
      </c>
      <c r="F1173" t="s">
        <v>119</v>
      </c>
      <c r="G1173" t="s">
        <v>32</v>
      </c>
      <c r="H1173" t="s">
        <v>87</v>
      </c>
      <c r="I1173" s="1" t="s">
        <v>1973</v>
      </c>
      <c r="J1173" s="1" t="s">
        <v>17</v>
      </c>
      <c r="K1173" s="1" t="s">
        <v>1974</v>
      </c>
    </row>
    <row r="1174" spans="1:11" ht="60" x14ac:dyDescent="0.25">
      <c r="A1174" t="s">
        <v>26</v>
      </c>
      <c r="B1174" t="s">
        <v>1947</v>
      </c>
      <c r="C1174" t="s">
        <v>240</v>
      </c>
      <c r="D1174" t="s">
        <v>267</v>
      </c>
      <c r="E1174" t="s">
        <v>30</v>
      </c>
      <c r="F1174" t="s">
        <v>130</v>
      </c>
      <c r="G1174" t="s">
        <v>32</v>
      </c>
      <c r="H1174" t="s">
        <v>87</v>
      </c>
      <c r="I1174" s="1" t="s">
        <v>1975</v>
      </c>
      <c r="J1174" s="1" t="s">
        <v>16</v>
      </c>
      <c r="K1174" s="1" t="s">
        <v>1861</v>
      </c>
    </row>
    <row r="1175" spans="1:11" ht="90" x14ac:dyDescent="0.25">
      <c r="A1175" t="s">
        <v>26</v>
      </c>
      <c r="B1175" t="s">
        <v>1947</v>
      </c>
      <c r="C1175" t="s">
        <v>472</v>
      </c>
      <c r="D1175" t="s">
        <v>839</v>
      </c>
      <c r="E1175" t="s">
        <v>30</v>
      </c>
      <c r="F1175" t="s">
        <v>365</v>
      </c>
      <c r="G1175" t="s">
        <v>69</v>
      </c>
      <c r="H1175" t="s">
        <v>33</v>
      </c>
      <c r="I1175" s="1" t="s">
        <v>1976</v>
      </c>
      <c r="J1175" s="1" t="s">
        <v>1977</v>
      </c>
      <c r="K1175" s="1" t="s">
        <v>1847</v>
      </c>
    </row>
    <row r="1176" spans="1:11" ht="75" x14ac:dyDescent="0.25">
      <c r="A1176" t="s">
        <v>26</v>
      </c>
      <c r="B1176" t="s">
        <v>1947</v>
      </c>
      <c r="C1176" t="s">
        <v>32</v>
      </c>
      <c r="D1176" t="s">
        <v>101</v>
      </c>
      <c r="E1176" t="s">
        <v>30</v>
      </c>
      <c r="F1176" t="s">
        <v>307</v>
      </c>
      <c r="G1176" t="s">
        <v>69</v>
      </c>
      <c r="H1176" t="s">
        <v>33</v>
      </c>
      <c r="I1176" s="1" t="s">
        <v>1978</v>
      </c>
      <c r="J1176" s="1" t="s">
        <v>1979</v>
      </c>
      <c r="K1176" s="1" t="s">
        <v>1980</v>
      </c>
    </row>
    <row r="1177" spans="1:11" ht="60" x14ac:dyDescent="0.25">
      <c r="A1177" t="s">
        <v>26</v>
      </c>
      <c r="B1177" t="s">
        <v>1947</v>
      </c>
      <c r="C1177" t="s">
        <v>180</v>
      </c>
      <c r="D1177" t="s">
        <v>181</v>
      </c>
      <c r="E1177" t="s">
        <v>30</v>
      </c>
      <c r="F1177" t="s">
        <v>202</v>
      </c>
      <c r="G1177" t="s">
        <v>69</v>
      </c>
      <c r="H1177" t="s">
        <v>173</v>
      </c>
      <c r="I1177" s="1" t="s">
        <v>1981</v>
      </c>
      <c r="J1177" s="1" t="s">
        <v>1982</v>
      </c>
      <c r="K1177" s="1" t="s">
        <v>1861</v>
      </c>
    </row>
    <row r="1178" spans="1:11" ht="120" x14ac:dyDescent="0.25">
      <c r="A1178" t="s">
        <v>26</v>
      </c>
      <c r="B1178" t="s">
        <v>1947</v>
      </c>
      <c r="C1178" t="s">
        <v>106</v>
      </c>
      <c r="D1178" t="s">
        <v>484</v>
      </c>
      <c r="E1178" t="s">
        <v>30</v>
      </c>
      <c r="F1178" t="s">
        <v>61</v>
      </c>
      <c r="G1178" t="s">
        <v>32</v>
      </c>
      <c r="H1178" t="s">
        <v>173</v>
      </c>
      <c r="I1178" s="1" t="s">
        <v>1983</v>
      </c>
      <c r="J1178" s="1" t="s">
        <v>1984</v>
      </c>
      <c r="K1178" s="1" t="s">
        <v>1980</v>
      </c>
    </row>
    <row r="1179" spans="1:11" ht="90" x14ac:dyDescent="0.25">
      <c r="A1179" t="s">
        <v>26</v>
      </c>
      <c r="B1179" t="s">
        <v>1947</v>
      </c>
      <c r="C1179" t="s">
        <v>44</v>
      </c>
      <c r="D1179" t="s">
        <v>165</v>
      </c>
      <c r="E1179" t="s">
        <v>30</v>
      </c>
      <c r="F1179" t="s">
        <v>119</v>
      </c>
      <c r="G1179" t="s">
        <v>32</v>
      </c>
      <c r="H1179" t="s">
        <v>173</v>
      </c>
      <c r="I1179" s="1" t="s">
        <v>1985</v>
      </c>
      <c r="J1179" s="1" t="s">
        <v>481</v>
      </c>
      <c r="K1179" s="1" t="s">
        <v>1986</v>
      </c>
    </row>
    <row r="1180" spans="1:11" ht="60" x14ac:dyDescent="0.25">
      <c r="A1180" t="s">
        <v>26</v>
      </c>
      <c r="B1180" t="s">
        <v>1947</v>
      </c>
      <c r="C1180" t="s">
        <v>44</v>
      </c>
      <c r="D1180" t="s">
        <v>1987</v>
      </c>
      <c r="E1180" t="s">
        <v>30</v>
      </c>
      <c r="F1180" t="s">
        <v>46</v>
      </c>
      <c r="G1180" t="s">
        <v>32</v>
      </c>
      <c r="H1180" t="s">
        <v>33</v>
      </c>
      <c r="I1180" s="1" t="s">
        <v>1988</v>
      </c>
      <c r="J1180" s="1" t="s">
        <v>854</v>
      </c>
      <c r="K1180" s="1" t="s">
        <v>1847</v>
      </c>
    </row>
    <row r="1181" spans="1:11" ht="60" x14ac:dyDescent="0.25">
      <c r="A1181" t="s">
        <v>26</v>
      </c>
      <c r="B1181" t="s">
        <v>1947</v>
      </c>
      <c r="C1181" t="s">
        <v>44</v>
      </c>
      <c r="D1181" t="s">
        <v>655</v>
      </c>
      <c r="E1181" t="s">
        <v>30</v>
      </c>
      <c r="F1181" t="s">
        <v>154</v>
      </c>
      <c r="G1181" t="s">
        <v>32</v>
      </c>
      <c r="H1181" t="s">
        <v>173</v>
      </c>
      <c r="I1181" s="1" t="s">
        <v>1989</v>
      </c>
      <c r="J1181" s="1" t="s">
        <v>877</v>
      </c>
      <c r="K1181" s="1" t="s">
        <v>1856</v>
      </c>
    </row>
    <row r="1182" spans="1:11" ht="60" x14ac:dyDescent="0.25">
      <c r="A1182" t="s">
        <v>26</v>
      </c>
      <c r="B1182" t="s">
        <v>1947</v>
      </c>
      <c r="C1182" t="s">
        <v>96</v>
      </c>
      <c r="D1182" t="s">
        <v>1005</v>
      </c>
      <c r="E1182" t="s">
        <v>30</v>
      </c>
      <c r="F1182" t="s">
        <v>196</v>
      </c>
      <c r="G1182" t="s">
        <v>69</v>
      </c>
      <c r="H1182" t="s">
        <v>33</v>
      </c>
      <c r="I1182" s="1" t="s">
        <v>1990</v>
      </c>
      <c r="J1182" s="1" t="s">
        <v>426</v>
      </c>
      <c r="K1182" s="1" t="s">
        <v>1946</v>
      </c>
    </row>
    <row r="1183" spans="1:11" ht="75" x14ac:dyDescent="0.25">
      <c r="A1183" t="s">
        <v>26</v>
      </c>
      <c r="B1183" t="s">
        <v>1947</v>
      </c>
      <c r="C1183" t="s">
        <v>28</v>
      </c>
      <c r="D1183" t="s">
        <v>715</v>
      </c>
      <c r="E1183" t="s">
        <v>30</v>
      </c>
      <c r="F1183" t="s">
        <v>140</v>
      </c>
      <c r="G1183" t="s">
        <v>81</v>
      </c>
      <c r="H1183" t="s">
        <v>87</v>
      </c>
      <c r="I1183" s="1" t="s">
        <v>1991</v>
      </c>
      <c r="J1183" s="1" t="s">
        <v>686</v>
      </c>
      <c r="K1183" s="1" t="s">
        <v>1992</v>
      </c>
    </row>
    <row r="1184" spans="1:11" ht="75" x14ac:dyDescent="0.25">
      <c r="A1184" t="s">
        <v>26</v>
      </c>
      <c r="B1184" t="s">
        <v>1947</v>
      </c>
      <c r="C1184" t="s">
        <v>44</v>
      </c>
      <c r="D1184" t="s">
        <v>300</v>
      </c>
      <c r="E1184" t="s">
        <v>30</v>
      </c>
      <c r="F1184" t="s">
        <v>223</v>
      </c>
      <c r="G1184" t="s">
        <v>81</v>
      </c>
      <c r="H1184" t="s">
        <v>173</v>
      </c>
      <c r="I1184" s="1" t="s">
        <v>1993</v>
      </c>
      <c r="J1184" s="1" t="s">
        <v>872</v>
      </c>
      <c r="K1184" s="1" t="s">
        <v>1856</v>
      </c>
    </row>
    <row r="1185" spans="1:11" ht="105" x14ac:dyDescent="0.25">
      <c r="A1185" t="s">
        <v>26</v>
      </c>
      <c r="B1185" t="s">
        <v>1947</v>
      </c>
      <c r="C1185" t="s">
        <v>85</v>
      </c>
      <c r="D1185" t="s">
        <v>1230</v>
      </c>
      <c r="E1185" t="s">
        <v>30</v>
      </c>
      <c r="F1185" t="s">
        <v>189</v>
      </c>
      <c r="G1185" t="s">
        <v>69</v>
      </c>
      <c r="H1185" t="s">
        <v>33</v>
      </c>
      <c r="I1185" s="1" t="s">
        <v>1994</v>
      </c>
      <c r="J1185" s="1" t="s">
        <v>1867</v>
      </c>
      <c r="K1185" s="1" t="s">
        <v>1946</v>
      </c>
    </row>
    <row r="1186" spans="1:11" ht="60" x14ac:dyDescent="0.25">
      <c r="A1186" t="s">
        <v>26</v>
      </c>
      <c r="B1186" t="s">
        <v>1947</v>
      </c>
      <c r="C1186" t="s">
        <v>96</v>
      </c>
      <c r="D1186" t="s">
        <v>769</v>
      </c>
      <c r="E1186" t="s">
        <v>30</v>
      </c>
      <c r="F1186" t="s">
        <v>446</v>
      </c>
      <c r="G1186" t="s">
        <v>32</v>
      </c>
      <c r="H1186" t="s">
        <v>33</v>
      </c>
      <c r="I1186" s="1" t="s">
        <v>1995</v>
      </c>
      <c r="J1186" s="1" t="s">
        <v>426</v>
      </c>
      <c r="K1186" s="1" t="s">
        <v>1946</v>
      </c>
    </row>
    <row r="1187" spans="1:11" ht="60" x14ac:dyDescent="0.25">
      <c r="A1187" t="s">
        <v>26</v>
      </c>
      <c r="B1187" t="s">
        <v>1947</v>
      </c>
      <c r="C1187" t="s">
        <v>28</v>
      </c>
      <c r="D1187" t="s">
        <v>594</v>
      </c>
      <c r="E1187" t="s">
        <v>30</v>
      </c>
      <c r="F1187" t="s">
        <v>205</v>
      </c>
      <c r="G1187" t="s">
        <v>32</v>
      </c>
      <c r="H1187" t="s">
        <v>33</v>
      </c>
      <c r="I1187" s="1" t="s">
        <v>1996</v>
      </c>
      <c r="J1187" s="1" t="s">
        <v>426</v>
      </c>
      <c r="K1187" s="1" t="s">
        <v>1946</v>
      </c>
    </row>
    <row r="1188" spans="1:11" ht="30" x14ac:dyDescent="0.25">
      <c r="A1188" t="s">
        <v>49</v>
      </c>
      <c r="B1188" t="s">
        <v>1947</v>
      </c>
      <c r="C1188" t="s">
        <v>69</v>
      </c>
      <c r="D1188" t="s">
        <v>1997</v>
      </c>
      <c r="E1188" t="s">
        <v>30</v>
      </c>
      <c r="F1188" t="s">
        <v>61</v>
      </c>
      <c r="G1188" t="s">
        <v>69</v>
      </c>
      <c r="H1188" t="s">
        <v>33</v>
      </c>
      <c r="I1188" s="1" t="s">
        <v>1998</v>
      </c>
      <c r="J1188" s="1" t="s">
        <v>426</v>
      </c>
      <c r="K1188" s="1" t="s">
        <v>1999</v>
      </c>
    </row>
    <row r="1189" spans="1:11" ht="105" x14ac:dyDescent="0.25">
      <c r="A1189" t="s">
        <v>26</v>
      </c>
      <c r="B1189" t="s">
        <v>1947</v>
      </c>
      <c r="C1189" t="s">
        <v>28</v>
      </c>
      <c r="D1189" t="s">
        <v>715</v>
      </c>
      <c r="E1189" t="s">
        <v>30</v>
      </c>
      <c r="F1189" t="s">
        <v>196</v>
      </c>
      <c r="G1189" t="s">
        <v>263</v>
      </c>
      <c r="H1189" t="s">
        <v>33</v>
      </c>
      <c r="I1189" s="1" t="s">
        <v>2000</v>
      </c>
      <c r="J1189" s="1" t="s">
        <v>1863</v>
      </c>
      <c r="K1189" s="1" t="s">
        <v>1980</v>
      </c>
    </row>
    <row r="1190" spans="1:11" ht="45" x14ac:dyDescent="0.25">
      <c r="A1190" t="s">
        <v>26</v>
      </c>
      <c r="B1190" t="s">
        <v>1947</v>
      </c>
      <c r="C1190" t="s">
        <v>235</v>
      </c>
      <c r="D1190" t="s">
        <v>537</v>
      </c>
      <c r="E1190" t="s">
        <v>30</v>
      </c>
      <c r="F1190" t="s">
        <v>94</v>
      </c>
      <c r="G1190" t="s">
        <v>32</v>
      </c>
      <c r="H1190" t="s">
        <v>33</v>
      </c>
      <c r="I1190" s="1" t="s">
        <v>2001</v>
      </c>
      <c r="J1190" s="1" t="s">
        <v>1867</v>
      </c>
      <c r="K1190" s="1" t="s">
        <v>1847</v>
      </c>
    </row>
    <row r="1191" spans="1:11" ht="60" x14ac:dyDescent="0.25">
      <c r="A1191" t="s">
        <v>49</v>
      </c>
      <c r="B1191" t="s">
        <v>1947</v>
      </c>
      <c r="C1191" t="s">
        <v>240</v>
      </c>
      <c r="D1191" t="s">
        <v>597</v>
      </c>
      <c r="E1191" t="s">
        <v>30</v>
      </c>
      <c r="F1191" t="s">
        <v>246</v>
      </c>
      <c r="G1191" t="s">
        <v>69</v>
      </c>
      <c r="H1191" t="s">
        <v>87</v>
      </c>
      <c r="I1191" s="1" t="s">
        <v>2002</v>
      </c>
      <c r="J1191" s="1" t="s">
        <v>684</v>
      </c>
      <c r="K1191" s="1" t="s">
        <v>1980</v>
      </c>
    </row>
    <row r="1192" spans="1:11" ht="90" x14ac:dyDescent="0.25">
      <c r="A1192" t="s">
        <v>49</v>
      </c>
      <c r="B1192" t="s">
        <v>1947</v>
      </c>
      <c r="C1192" t="s">
        <v>28</v>
      </c>
      <c r="D1192" t="s">
        <v>29</v>
      </c>
      <c r="E1192" t="s">
        <v>30</v>
      </c>
      <c r="F1192" t="s">
        <v>1926</v>
      </c>
      <c r="G1192" t="s">
        <v>32</v>
      </c>
      <c r="H1192" t="s">
        <v>33</v>
      </c>
      <c r="I1192" s="1" t="s">
        <v>2003</v>
      </c>
      <c r="J1192" s="1" t="s">
        <v>1876</v>
      </c>
      <c r="K1192" s="1" t="s">
        <v>1847</v>
      </c>
    </row>
    <row r="1193" spans="1:11" ht="45" x14ac:dyDescent="0.25">
      <c r="A1193" t="s">
        <v>26</v>
      </c>
      <c r="B1193" t="s">
        <v>1947</v>
      </c>
      <c r="C1193" t="s">
        <v>28</v>
      </c>
      <c r="D1193" t="s">
        <v>526</v>
      </c>
      <c r="E1193" t="s">
        <v>79</v>
      </c>
      <c r="F1193" t="s">
        <v>446</v>
      </c>
      <c r="G1193" t="s">
        <v>69</v>
      </c>
      <c r="H1193" t="s">
        <v>33</v>
      </c>
      <c r="I1193" s="1" t="s">
        <v>2004</v>
      </c>
      <c r="J1193" s="1" t="s">
        <v>854</v>
      </c>
      <c r="K1193" s="1" t="s">
        <v>1847</v>
      </c>
    </row>
    <row r="1194" spans="1:11" ht="30" x14ac:dyDescent="0.25">
      <c r="A1194" t="s">
        <v>26</v>
      </c>
      <c r="B1194" t="s">
        <v>1947</v>
      </c>
      <c r="C1194" t="s">
        <v>50</v>
      </c>
      <c r="D1194" t="s">
        <v>836</v>
      </c>
      <c r="E1194" t="s">
        <v>30</v>
      </c>
      <c r="F1194" t="s">
        <v>166</v>
      </c>
      <c r="G1194" t="s">
        <v>263</v>
      </c>
      <c r="H1194" t="s">
        <v>87</v>
      </c>
      <c r="I1194" s="1" t="s">
        <v>2005</v>
      </c>
      <c r="J1194" s="1" t="s">
        <v>2006</v>
      </c>
      <c r="K1194" s="1" t="s">
        <v>2007</v>
      </c>
    </row>
    <row r="1195" spans="1:11" ht="30" x14ac:dyDescent="0.25">
      <c r="A1195" t="s">
        <v>49</v>
      </c>
      <c r="B1195" t="s">
        <v>1947</v>
      </c>
      <c r="C1195" t="s">
        <v>106</v>
      </c>
      <c r="D1195" t="s">
        <v>370</v>
      </c>
      <c r="E1195" t="s">
        <v>30</v>
      </c>
      <c r="F1195" t="s">
        <v>108</v>
      </c>
      <c r="G1195" t="s">
        <v>32</v>
      </c>
      <c r="H1195" t="s">
        <v>87</v>
      </c>
      <c r="I1195" s="1" t="s">
        <v>2008</v>
      </c>
      <c r="J1195" s="1" t="s">
        <v>104</v>
      </c>
      <c r="K1195" s="1" t="s">
        <v>1931</v>
      </c>
    </row>
    <row r="1196" spans="1:11" ht="60" x14ac:dyDescent="0.25">
      <c r="A1196" t="s">
        <v>91</v>
      </c>
      <c r="B1196" t="s">
        <v>1947</v>
      </c>
      <c r="C1196" t="s">
        <v>50</v>
      </c>
      <c r="D1196" t="s">
        <v>60</v>
      </c>
      <c r="E1196" t="s">
        <v>30</v>
      </c>
      <c r="F1196" t="s">
        <v>61</v>
      </c>
      <c r="G1196" t="s">
        <v>32</v>
      </c>
      <c r="H1196" t="s">
        <v>87</v>
      </c>
      <c r="I1196" s="1" t="s">
        <v>2009</v>
      </c>
      <c r="J1196" s="1" t="s">
        <v>2010</v>
      </c>
      <c r="K1196" s="1" t="s">
        <v>1980</v>
      </c>
    </row>
    <row r="1197" spans="1:11" ht="60" x14ac:dyDescent="0.25">
      <c r="A1197" t="s">
        <v>26</v>
      </c>
      <c r="B1197" t="s">
        <v>1947</v>
      </c>
      <c r="C1197" t="s">
        <v>28</v>
      </c>
      <c r="D1197" t="s">
        <v>756</v>
      </c>
      <c r="E1197" t="s">
        <v>30</v>
      </c>
      <c r="F1197" t="s">
        <v>2011</v>
      </c>
      <c r="G1197" t="s">
        <v>32</v>
      </c>
      <c r="H1197" t="s">
        <v>33</v>
      </c>
      <c r="I1197" s="1" t="s">
        <v>2012</v>
      </c>
      <c r="J1197" s="1" t="s">
        <v>426</v>
      </c>
      <c r="K1197" s="1" t="s">
        <v>2013</v>
      </c>
    </row>
    <row r="1198" spans="1:11" ht="135" x14ac:dyDescent="0.25">
      <c r="A1198" t="s">
        <v>26</v>
      </c>
      <c r="B1198" t="s">
        <v>1947</v>
      </c>
      <c r="C1198" t="s">
        <v>180</v>
      </c>
      <c r="D1198" t="s">
        <v>439</v>
      </c>
      <c r="E1198" t="s">
        <v>30</v>
      </c>
      <c r="F1198" t="s">
        <v>140</v>
      </c>
      <c r="G1198" t="s">
        <v>32</v>
      </c>
      <c r="H1198" t="s">
        <v>173</v>
      </c>
      <c r="I1198" s="1" t="s">
        <v>2014</v>
      </c>
      <c r="J1198" s="1" t="s">
        <v>481</v>
      </c>
      <c r="K1198" s="1" t="s">
        <v>1859</v>
      </c>
    </row>
    <row r="1199" spans="1:11" ht="105" x14ac:dyDescent="0.25">
      <c r="A1199" t="s">
        <v>49</v>
      </c>
      <c r="B1199" t="s">
        <v>1947</v>
      </c>
      <c r="C1199" t="s">
        <v>106</v>
      </c>
      <c r="D1199" t="s">
        <v>779</v>
      </c>
      <c r="E1199" t="s">
        <v>79</v>
      </c>
      <c r="F1199" t="s">
        <v>136</v>
      </c>
      <c r="G1199" t="s">
        <v>32</v>
      </c>
      <c r="H1199" t="s">
        <v>33</v>
      </c>
      <c r="I1199" s="1" t="s">
        <v>2015</v>
      </c>
      <c r="J1199" s="1" t="s">
        <v>2016</v>
      </c>
      <c r="K1199" s="1" t="s">
        <v>1946</v>
      </c>
    </row>
    <row r="1200" spans="1:11" ht="105" x14ac:dyDescent="0.25">
      <c r="A1200" t="s">
        <v>37</v>
      </c>
      <c r="B1200" t="s">
        <v>1947</v>
      </c>
      <c r="C1200" t="s">
        <v>240</v>
      </c>
      <c r="D1200" t="s">
        <v>1787</v>
      </c>
      <c r="E1200" t="s">
        <v>30</v>
      </c>
      <c r="F1200" t="s">
        <v>140</v>
      </c>
      <c r="G1200" t="s">
        <v>32</v>
      </c>
      <c r="H1200" t="s">
        <v>173</v>
      </c>
      <c r="I1200" s="1" t="s">
        <v>2017</v>
      </c>
      <c r="J1200" s="1" t="s">
        <v>753</v>
      </c>
      <c r="K1200" s="1" t="s">
        <v>1992</v>
      </c>
    </row>
    <row r="1201" spans="1:11" ht="60" x14ac:dyDescent="0.25">
      <c r="A1201" t="s">
        <v>49</v>
      </c>
      <c r="B1201" t="s">
        <v>1947</v>
      </c>
      <c r="C1201" t="s">
        <v>106</v>
      </c>
      <c r="D1201" t="s">
        <v>2018</v>
      </c>
      <c r="E1201" t="s">
        <v>30</v>
      </c>
      <c r="F1201" t="s">
        <v>140</v>
      </c>
      <c r="G1201" t="s">
        <v>69</v>
      </c>
      <c r="H1201" t="s">
        <v>87</v>
      </c>
      <c r="I1201" s="1" t="s">
        <v>2019</v>
      </c>
      <c r="J1201" s="1" t="s">
        <v>1855</v>
      </c>
      <c r="K1201" s="1" t="s">
        <v>2020</v>
      </c>
    </row>
    <row r="1202" spans="1:11" ht="90" x14ac:dyDescent="0.25">
      <c r="A1202" t="s">
        <v>26</v>
      </c>
      <c r="B1202" t="s">
        <v>1947</v>
      </c>
      <c r="C1202" t="s">
        <v>85</v>
      </c>
      <c r="D1202" t="s">
        <v>434</v>
      </c>
      <c r="E1202" t="s">
        <v>30</v>
      </c>
      <c r="F1202" t="s">
        <v>40</v>
      </c>
      <c r="G1202" t="s">
        <v>32</v>
      </c>
      <c r="H1202" t="s">
        <v>87</v>
      </c>
      <c r="I1202" s="1" t="s">
        <v>2021</v>
      </c>
      <c r="J1202" s="1" t="s">
        <v>2022</v>
      </c>
      <c r="K1202" s="1" t="s">
        <v>2023</v>
      </c>
    </row>
    <row r="1203" spans="1:11" ht="105" x14ac:dyDescent="0.25">
      <c r="A1203" t="s">
        <v>49</v>
      </c>
      <c r="B1203" t="s">
        <v>1947</v>
      </c>
      <c r="C1203" t="s">
        <v>28</v>
      </c>
      <c r="D1203" t="s">
        <v>751</v>
      </c>
      <c r="E1203" t="s">
        <v>79</v>
      </c>
      <c r="F1203" t="s">
        <v>112</v>
      </c>
      <c r="G1203" t="s">
        <v>69</v>
      </c>
      <c r="H1203" t="s">
        <v>87</v>
      </c>
      <c r="I1203" s="1" t="s">
        <v>2024</v>
      </c>
      <c r="J1203" s="1" t="s">
        <v>436</v>
      </c>
      <c r="K1203" s="1" t="s">
        <v>1992</v>
      </c>
    </row>
    <row r="1204" spans="1:11" ht="90" x14ac:dyDescent="0.25">
      <c r="A1204" t="s">
        <v>37</v>
      </c>
      <c r="B1204" t="s">
        <v>1947</v>
      </c>
      <c r="C1204" t="s">
        <v>96</v>
      </c>
      <c r="D1204" t="s">
        <v>139</v>
      </c>
      <c r="E1204" t="s">
        <v>30</v>
      </c>
      <c r="F1204" t="s">
        <v>161</v>
      </c>
      <c r="G1204" t="s">
        <v>69</v>
      </c>
      <c r="H1204" t="s">
        <v>173</v>
      </c>
      <c r="I1204" s="1" t="s">
        <v>2025</v>
      </c>
      <c r="J1204" s="1" t="s">
        <v>2026</v>
      </c>
      <c r="K1204" s="1" t="s">
        <v>1910</v>
      </c>
    </row>
    <row r="1205" spans="1:11" ht="75" x14ac:dyDescent="0.25">
      <c r="A1205" t="s">
        <v>49</v>
      </c>
      <c r="B1205" t="s">
        <v>1947</v>
      </c>
      <c r="C1205" t="s">
        <v>69</v>
      </c>
      <c r="D1205" t="s">
        <v>68</v>
      </c>
      <c r="E1205" t="s">
        <v>79</v>
      </c>
      <c r="F1205" t="s">
        <v>61</v>
      </c>
      <c r="G1205" t="s">
        <v>32</v>
      </c>
      <c r="H1205" t="s">
        <v>33</v>
      </c>
      <c r="I1205" s="1" t="s">
        <v>2027</v>
      </c>
      <c r="J1205" s="1" t="s">
        <v>2028</v>
      </c>
      <c r="K1205" s="1" t="s">
        <v>2029</v>
      </c>
    </row>
    <row r="1206" spans="1:11" ht="45" x14ac:dyDescent="0.25">
      <c r="A1206" t="s">
        <v>26</v>
      </c>
      <c r="B1206" t="s">
        <v>1947</v>
      </c>
      <c r="C1206" t="s">
        <v>28</v>
      </c>
      <c r="D1206" t="s">
        <v>1888</v>
      </c>
      <c r="E1206" t="s">
        <v>79</v>
      </c>
      <c r="F1206" t="s">
        <v>161</v>
      </c>
      <c r="G1206" t="s">
        <v>32</v>
      </c>
      <c r="H1206" t="s">
        <v>173</v>
      </c>
      <c r="I1206" s="1" t="s">
        <v>2030</v>
      </c>
      <c r="J1206" s="1" t="s">
        <v>16</v>
      </c>
      <c r="K1206" s="1" t="s">
        <v>2031</v>
      </c>
    </row>
    <row r="1207" spans="1:11" ht="105" x14ac:dyDescent="0.25">
      <c r="A1207" t="s">
        <v>49</v>
      </c>
      <c r="B1207" t="s">
        <v>1947</v>
      </c>
      <c r="C1207" t="s">
        <v>28</v>
      </c>
      <c r="D1207" t="s">
        <v>751</v>
      </c>
      <c r="E1207" t="s">
        <v>30</v>
      </c>
      <c r="F1207" t="s">
        <v>216</v>
      </c>
      <c r="G1207" t="s">
        <v>263</v>
      </c>
      <c r="H1207" t="s">
        <v>87</v>
      </c>
      <c r="I1207" s="1" t="s">
        <v>2032</v>
      </c>
      <c r="J1207" s="1" t="s">
        <v>436</v>
      </c>
      <c r="K1207" s="1" t="s">
        <v>1992</v>
      </c>
    </row>
    <row r="1208" spans="1:11" ht="60" x14ac:dyDescent="0.25">
      <c r="A1208" t="s">
        <v>26</v>
      </c>
      <c r="B1208" t="s">
        <v>1947</v>
      </c>
      <c r="C1208" t="s">
        <v>28</v>
      </c>
      <c r="D1208" t="s">
        <v>344</v>
      </c>
      <c r="E1208" t="s">
        <v>30</v>
      </c>
      <c r="F1208" t="s">
        <v>543</v>
      </c>
      <c r="G1208" t="s">
        <v>32</v>
      </c>
      <c r="H1208" t="s">
        <v>33</v>
      </c>
      <c r="I1208" s="1" t="s">
        <v>2033</v>
      </c>
      <c r="J1208" s="1" t="s">
        <v>426</v>
      </c>
      <c r="K1208" s="1" t="s">
        <v>1946</v>
      </c>
    </row>
    <row r="1209" spans="1:11" ht="75" x14ac:dyDescent="0.25">
      <c r="A1209" t="s">
        <v>91</v>
      </c>
      <c r="B1209" t="s">
        <v>1947</v>
      </c>
      <c r="C1209" t="s">
        <v>235</v>
      </c>
      <c r="D1209" t="s">
        <v>270</v>
      </c>
      <c r="E1209" t="s">
        <v>30</v>
      </c>
      <c r="F1209" t="s">
        <v>446</v>
      </c>
      <c r="G1209" t="s">
        <v>69</v>
      </c>
      <c r="H1209" t="s">
        <v>87</v>
      </c>
      <c r="I1209" s="1" t="s">
        <v>2034</v>
      </c>
      <c r="J1209" s="1" t="s">
        <v>2035</v>
      </c>
      <c r="K1209" s="1" t="s">
        <v>1931</v>
      </c>
    </row>
    <row r="1210" spans="1:11" ht="30" x14ac:dyDescent="0.25">
      <c r="A1210" t="s">
        <v>26</v>
      </c>
      <c r="B1210" t="s">
        <v>1947</v>
      </c>
      <c r="C1210" t="s">
        <v>55</v>
      </c>
      <c r="D1210" t="s">
        <v>878</v>
      </c>
      <c r="E1210" t="s">
        <v>30</v>
      </c>
      <c r="F1210" t="s">
        <v>147</v>
      </c>
      <c r="G1210" t="s">
        <v>69</v>
      </c>
      <c r="H1210" t="s">
        <v>33</v>
      </c>
      <c r="I1210" s="1" t="s">
        <v>2036</v>
      </c>
      <c r="J1210" s="1" t="s">
        <v>14</v>
      </c>
      <c r="K1210" s="1" t="s">
        <v>2037</v>
      </c>
    </row>
    <row r="1211" spans="1:11" ht="105" x14ac:dyDescent="0.25">
      <c r="A1211" t="s">
        <v>91</v>
      </c>
      <c r="B1211" t="s">
        <v>1947</v>
      </c>
      <c r="C1211" t="s">
        <v>73</v>
      </c>
      <c r="D1211" t="s">
        <v>798</v>
      </c>
      <c r="E1211" t="s">
        <v>79</v>
      </c>
      <c r="F1211" t="s">
        <v>635</v>
      </c>
      <c r="G1211" t="s">
        <v>69</v>
      </c>
      <c r="H1211" t="s">
        <v>87</v>
      </c>
      <c r="I1211" s="1" t="s">
        <v>2038</v>
      </c>
      <c r="J1211" s="1" t="s">
        <v>104</v>
      </c>
      <c r="K1211" s="1" t="s">
        <v>1931</v>
      </c>
    </row>
    <row r="1212" spans="1:11" ht="60" x14ac:dyDescent="0.25">
      <c r="A1212" t="s">
        <v>49</v>
      </c>
      <c r="B1212" t="s">
        <v>1947</v>
      </c>
      <c r="C1212" t="s">
        <v>240</v>
      </c>
      <c r="D1212" t="s">
        <v>319</v>
      </c>
      <c r="E1212" t="s">
        <v>30</v>
      </c>
      <c r="F1212" t="s">
        <v>61</v>
      </c>
      <c r="G1212" t="s">
        <v>32</v>
      </c>
      <c r="H1212" t="s">
        <v>33</v>
      </c>
      <c r="I1212" s="1" t="s">
        <v>2039</v>
      </c>
      <c r="J1212" s="1" t="s">
        <v>2040</v>
      </c>
      <c r="K1212" s="1" t="s">
        <v>1946</v>
      </c>
    </row>
    <row r="1213" spans="1:11" ht="75" x14ac:dyDescent="0.25">
      <c r="A1213" t="s">
        <v>37</v>
      </c>
      <c r="B1213" t="s">
        <v>1947</v>
      </c>
      <c r="C1213" t="s">
        <v>106</v>
      </c>
      <c r="D1213" t="s">
        <v>484</v>
      </c>
      <c r="E1213" t="s">
        <v>79</v>
      </c>
      <c r="F1213" t="s">
        <v>177</v>
      </c>
      <c r="G1213" t="s">
        <v>32</v>
      </c>
      <c r="H1213" t="s">
        <v>87</v>
      </c>
      <c r="I1213" s="1" t="s">
        <v>2041</v>
      </c>
      <c r="J1213" s="1" t="s">
        <v>2042</v>
      </c>
      <c r="K1213" s="1" t="s">
        <v>2043</v>
      </c>
    </row>
    <row r="1214" spans="1:11" ht="60" x14ac:dyDescent="0.25">
      <c r="A1214" t="s">
        <v>49</v>
      </c>
      <c r="B1214" t="s">
        <v>1947</v>
      </c>
      <c r="C1214" t="s">
        <v>38</v>
      </c>
      <c r="D1214" t="s">
        <v>143</v>
      </c>
      <c r="E1214" t="s">
        <v>30</v>
      </c>
      <c r="F1214" t="s">
        <v>108</v>
      </c>
      <c r="G1214" t="s">
        <v>81</v>
      </c>
      <c r="H1214" t="s">
        <v>173</v>
      </c>
      <c r="I1214" s="1" t="s">
        <v>2044</v>
      </c>
      <c r="J1214" s="1" t="s">
        <v>717</v>
      </c>
      <c r="K1214" s="1" t="s">
        <v>1859</v>
      </c>
    </row>
    <row r="1215" spans="1:11" ht="75" x14ac:dyDescent="0.25">
      <c r="A1215" t="s">
        <v>37</v>
      </c>
      <c r="B1215" t="s">
        <v>1947</v>
      </c>
      <c r="C1215" t="s">
        <v>249</v>
      </c>
      <c r="D1215" t="s">
        <v>411</v>
      </c>
      <c r="E1215" t="s">
        <v>30</v>
      </c>
      <c r="F1215" t="s">
        <v>94</v>
      </c>
      <c r="G1215" t="s">
        <v>69</v>
      </c>
      <c r="H1215" t="s">
        <v>87</v>
      </c>
      <c r="I1215" s="1" t="s">
        <v>2045</v>
      </c>
      <c r="J1215" s="1" t="s">
        <v>686</v>
      </c>
      <c r="K1215" s="1" t="s">
        <v>2046</v>
      </c>
    </row>
    <row r="1216" spans="1:11" ht="105" x14ac:dyDescent="0.25">
      <c r="A1216" t="s">
        <v>49</v>
      </c>
      <c r="B1216" t="s">
        <v>1947</v>
      </c>
      <c r="C1216" t="s">
        <v>50</v>
      </c>
      <c r="D1216" t="s">
        <v>563</v>
      </c>
      <c r="E1216" t="s">
        <v>30</v>
      </c>
      <c r="F1216" t="s">
        <v>61</v>
      </c>
      <c r="G1216" t="s">
        <v>69</v>
      </c>
      <c r="H1216" t="s">
        <v>87</v>
      </c>
      <c r="I1216" s="1" t="s">
        <v>2047</v>
      </c>
      <c r="J1216" s="1" t="s">
        <v>1951</v>
      </c>
      <c r="K1216" s="1" t="s">
        <v>1861</v>
      </c>
    </row>
    <row r="1217" spans="1:11" ht="105" x14ac:dyDescent="0.25">
      <c r="A1217" t="s">
        <v>37</v>
      </c>
      <c r="B1217" t="s">
        <v>1947</v>
      </c>
      <c r="C1217" t="s">
        <v>44</v>
      </c>
      <c r="D1217" t="s">
        <v>2048</v>
      </c>
      <c r="E1217" t="s">
        <v>30</v>
      </c>
      <c r="F1217" t="s">
        <v>94</v>
      </c>
      <c r="G1217" t="s">
        <v>69</v>
      </c>
      <c r="H1217" t="s">
        <v>173</v>
      </c>
      <c r="I1217" s="1" t="s">
        <v>2049</v>
      </c>
      <c r="J1217" s="1" t="s">
        <v>684</v>
      </c>
      <c r="K1217" s="1" t="s">
        <v>1980</v>
      </c>
    </row>
    <row r="1218" spans="1:11" ht="90" x14ac:dyDescent="0.25">
      <c r="A1218" t="s">
        <v>49</v>
      </c>
      <c r="B1218" t="s">
        <v>1947</v>
      </c>
      <c r="C1218" t="s">
        <v>28</v>
      </c>
      <c r="D1218" t="s">
        <v>1552</v>
      </c>
      <c r="E1218" t="s">
        <v>30</v>
      </c>
      <c r="F1218" t="s">
        <v>287</v>
      </c>
      <c r="G1218" t="s">
        <v>32</v>
      </c>
      <c r="H1218" t="s">
        <v>33</v>
      </c>
      <c r="I1218" s="1" t="s">
        <v>2050</v>
      </c>
      <c r="J1218" s="1" t="s">
        <v>426</v>
      </c>
      <c r="K1218" s="1" t="s">
        <v>2051</v>
      </c>
    </row>
    <row r="1219" spans="1:11" ht="75" x14ac:dyDescent="0.25">
      <c r="A1219" t="s">
        <v>37</v>
      </c>
      <c r="B1219" t="s">
        <v>1947</v>
      </c>
      <c r="C1219" t="s">
        <v>50</v>
      </c>
      <c r="D1219" t="s">
        <v>362</v>
      </c>
      <c r="E1219" t="s">
        <v>30</v>
      </c>
      <c r="F1219" t="s">
        <v>61</v>
      </c>
      <c r="G1219" t="s">
        <v>32</v>
      </c>
      <c r="H1219" t="s">
        <v>173</v>
      </c>
      <c r="I1219" s="1" t="s">
        <v>2052</v>
      </c>
      <c r="J1219" s="1" t="s">
        <v>697</v>
      </c>
      <c r="K1219" s="1" t="s">
        <v>1910</v>
      </c>
    </row>
    <row r="1220" spans="1:11" ht="120" x14ac:dyDescent="0.25">
      <c r="A1220" t="s">
        <v>91</v>
      </c>
      <c r="B1220" t="s">
        <v>1947</v>
      </c>
      <c r="C1220" t="s">
        <v>106</v>
      </c>
      <c r="D1220" t="s">
        <v>107</v>
      </c>
      <c r="E1220" t="s">
        <v>30</v>
      </c>
      <c r="F1220" t="s">
        <v>130</v>
      </c>
      <c r="G1220" t="s">
        <v>32</v>
      </c>
      <c r="H1220" t="s">
        <v>33</v>
      </c>
      <c r="I1220" s="1" t="s">
        <v>2053</v>
      </c>
      <c r="J1220" s="1" t="s">
        <v>1878</v>
      </c>
      <c r="K1220" s="1" t="s">
        <v>1847</v>
      </c>
    </row>
    <row r="1221" spans="1:11" ht="60" x14ac:dyDescent="0.25">
      <c r="A1221" t="s">
        <v>37</v>
      </c>
      <c r="B1221" t="s">
        <v>1947</v>
      </c>
      <c r="C1221" t="s">
        <v>44</v>
      </c>
      <c r="D1221" t="s">
        <v>655</v>
      </c>
      <c r="E1221" t="s">
        <v>30</v>
      </c>
      <c r="F1221" t="s">
        <v>136</v>
      </c>
      <c r="G1221" t="s">
        <v>32</v>
      </c>
      <c r="H1221" t="s">
        <v>33</v>
      </c>
      <c r="I1221" s="1" t="s">
        <v>2054</v>
      </c>
      <c r="J1221" s="1" t="s">
        <v>426</v>
      </c>
      <c r="K1221" s="1" t="s">
        <v>1946</v>
      </c>
    </row>
    <row r="1222" spans="1:11" ht="75" x14ac:dyDescent="0.25">
      <c r="A1222" t="s">
        <v>59</v>
      </c>
      <c r="B1222" t="s">
        <v>1947</v>
      </c>
      <c r="C1222" t="s">
        <v>92</v>
      </c>
      <c r="D1222" t="s">
        <v>629</v>
      </c>
      <c r="E1222" t="s">
        <v>30</v>
      </c>
      <c r="F1222" t="s">
        <v>189</v>
      </c>
      <c r="G1222" t="s">
        <v>32</v>
      </c>
      <c r="H1222" t="s">
        <v>87</v>
      </c>
      <c r="I1222" s="1" t="s">
        <v>2055</v>
      </c>
      <c r="J1222" s="1" t="s">
        <v>877</v>
      </c>
      <c r="K1222" s="1" t="s">
        <v>1856</v>
      </c>
    </row>
    <row r="1223" spans="1:11" ht="60" x14ac:dyDescent="0.25">
      <c r="A1223" t="s">
        <v>64</v>
      </c>
      <c r="B1223" t="s">
        <v>1947</v>
      </c>
      <c r="C1223" t="s">
        <v>472</v>
      </c>
      <c r="D1223" t="s">
        <v>1668</v>
      </c>
      <c r="E1223" t="s">
        <v>30</v>
      </c>
      <c r="F1223" t="s">
        <v>205</v>
      </c>
      <c r="G1223" t="s">
        <v>32</v>
      </c>
      <c r="H1223" t="s">
        <v>33</v>
      </c>
      <c r="I1223" s="1" t="s">
        <v>2056</v>
      </c>
      <c r="J1223" s="1" t="s">
        <v>2057</v>
      </c>
      <c r="K1223" s="1" t="s">
        <v>1847</v>
      </c>
    </row>
    <row r="1224" spans="1:11" ht="60" x14ac:dyDescent="0.25">
      <c r="A1224" t="s">
        <v>37</v>
      </c>
      <c r="B1224" t="s">
        <v>1947</v>
      </c>
      <c r="C1224" t="s">
        <v>472</v>
      </c>
      <c r="D1224" t="s">
        <v>2058</v>
      </c>
      <c r="E1224" t="s">
        <v>30</v>
      </c>
      <c r="F1224" t="s">
        <v>587</v>
      </c>
      <c r="G1224" t="s">
        <v>32</v>
      </c>
      <c r="H1224" t="s">
        <v>173</v>
      </c>
      <c r="I1224" s="1" t="s">
        <v>2059</v>
      </c>
      <c r="J1224" s="1" t="s">
        <v>1867</v>
      </c>
      <c r="K1224" s="1" t="s">
        <v>1946</v>
      </c>
    </row>
    <row r="1225" spans="1:11" ht="75" x14ac:dyDescent="0.25">
      <c r="A1225" t="s">
        <v>37</v>
      </c>
      <c r="B1225" t="s">
        <v>1947</v>
      </c>
      <c r="C1225" t="s">
        <v>235</v>
      </c>
      <c r="D1225" t="s">
        <v>270</v>
      </c>
      <c r="E1225" t="s">
        <v>79</v>
      </c>
      <c r="F1225" t="s">
        <v>209</v>
      </c>
      <c r="G1225" t="s">
        <v>32</v>
      </c>
      <c r="H1225" t="s">
        <v>173</v>
      </c>
      <c r="I1225" s="1" t="s">
        <v>2060</v>
      </c>
      <c r="J1225" s="1" t="s">
        <v>1849</v>
      </c>
      <c r="K1225" s="1" t="s">
        <v>2061</v>
      </c>
    </row>
    <row r="1226" spans="1:11" ht="105" x14ac:dyDescent="0.25">
      <c r="A1226" t="s">
        <v>37</v>
      </c>
      <c r="B1226" t="s">
        <v>1947</v>
      </c>
      <c r="C1226" t="s">
        <v>28</v>
      </c>
      <c r="D1226" t="s">
        <v>1340</v>
      </c>
      <c r="E1226" t="s">
        <v>30</v>
      </c>
      <c r="F1226" t="s">
        <v>140</v>
      </c>
      <c r="G1226" t="s">
        <v>32</v>
      </c>
      <c r="H1226" t="s">
        <v>33</v>
      </c>
      <c r="I1226" s="1" t="s">
        <v>2062</v>
      </c>
      <c r="J1226" s="1" t="s">
        <v>426</v>
      </c>
      <c r="K1226" s="1" t="s">
        <v>1946</v>
      </c>
    </row>
    <row r="1227" spans="1:11" ht="90" x14ac:dyDescent="0.25">
      <c r="A1227" t="s">
        <v>64</v>
      </c>
      <c r="B1227" t="s">
        <v>1947</v>
      </c>
      <c r="C1227" t="s">
        <v>69</v>
      </c>
      <c r="D1227" t="s">
        <v>229</v>
      </c>
      <c r="E1227" t="s">
        <v>30</v>
      </c>
      <c r="F1227" t="s">
        <v>46</v>
      </c>
      <c r="G1227" t="s">
        <v>32</v>
      </c>
      <c r="H1227" t="s">
        <v>33</v>
      </c>
      <c r="I1227" s="1" t="s">
        <v>2063</v>
      </c>
      <c r="J1227" s="1" t="s">
        <v>1867</v>
      </c>
      <c r="K1227" s="1" t="s">
        <v>1946</v>
      </c>
    </row>
    <row r="1228" spans="1:11" ht="75" x14ac:dyDescent="0.25">
      <c r="A1228" t="s">
        <v>26</v>
      </c>
      <c r="B1228" t="s">
        <v>2064</v>
      </c>
      <c r="C1228" t="s">
        <v>50</v>
      </c>
      <c r="D1228" t="s">
        <v>870</v>
      </c>
      <c r="E1228" t="s">
        <v>30</v>
      </c>
      <c r="F1228" t="s">
        <v>154</v>
      </c>
      <c r="G1228" t="s">
        <v>69</v>
      </c>
      <c r="H1228" t="s">
        <v>33</v>
      </c>
      <c r="I1228" s="1" t="s">
        <v>2065</v>
      </c>
      <c r="J1228" s="1" t="s">
        <v>2066</v>
      </c>
      <c r="K1228" s="1" t="s">
        <v>1963</v>
      </c>
    </row>
    <row r="1229" spans="1:11" ht="105" x14ac:dyDescent="0.25">
      <c r="A1229" t="s">
        <v>26</v>
      </c>
      <c r="B1229" t="s">
        <v>2064</v>
      </c>
      <c r="C1229" t="s">
        <v>28</v>
      </c>
      <c r="D1229" t="s">
        <v>526</v>
      </c>
      <c r="E1229" t="s">
        <v>30</v>
      </c>
      <c r="F1229" t="s">
        <v>389</v>
      </c>
      <c r="G1229" t="s">
        <v>69</v>
      </c>
      <c r="H1229" t="s">
        <v>173</v>
      </c>
      <c r="I1229" s="1" t="s">
        <v>2067</v>
      </c>
      <c r="J1229" s="1" t="s">
        <v>1855</v>
      </c>
      <c r="K1229" s="1" t="s">
        <v>1859</v>
      </c>
    </row>
    <row r="1230" spans="1:11" ht="90" x14ac:dyDescent="0.25">
      <c r="A1230" t="s">
        <v>26</v>
      </c>
      <c r="B1230" t="s">
        <v>2064</v>
      </c>
      <c r="C1230" t="s">
        <v>28</v>
      </c>
      <c r="D1230" t="s">
        <v>29</v>
      </c>
      <c r="E1230" t="s">
        <v>30</v>
      </c>
      <c r="F1230" t="s">
        <v>98</v>
      </c>
      <c r="G1230" t="s">
        <v>69</v>
      </c>
      <c r="H1230" t="s">
        <v>87</v>
      </c>
      <c r="I1230" s="1" t="s">
        <v>2068</v>
      </c>
      <c r="J1230" s="1" t="s">
        <v>104</v>
      </c>
      <c r="K1230" s="1" t="s">
        <v>1980</v>
      </c>
    </row>
    <row r="1231" spans="1:11" ht="60" x14ac:dyDescent="0.25">
      <c r="A1231" t="s">
        <v>37</v>
      </c>
      <c r="B1231" t="s">
        <v>2064</v>
      </c>
      <c r="C1231" t="s">
        <v>85</v>
      </c>
      <c r="D1231" t="s">
        <v>405</v>
      </c>
      <c r="E1231" t="s">
        <v>30</v>
      </c>
      <c r="F1231" t="s">
        <v>154</v>
      </c>
      <c r="G1231" t="s">
        <v>32</v>
      </c>
      <c r="H1231" t="s">
        <v>33</v>
      </c>
      <c r="I1231" s="1" t="s">
        <v>2069</v>
      </c>
      <c r="J1231" s="1" t="s">
        <v>864</v>
      </c>
      <c r="K1231" s="1" t="s">
        <v>1847</v>
      </c>
    </row>
    <row r="1232" spans="1:11" ht="105" x14ac:dyDescent="0.25">
      <c r="A1232" t="s">
        <v>26</v>
      </c>
      <c r="B1232" t="s">
        <v>2064</v>
      </c>
      <c r="C1232" t="s">
        <v>28</v>
      </c>
      <c r="D1232" t="s">
        <v>153</v>
      </c>
      <c r="E1232" t="s">
        <v>79</v>
      </c>
      <c r="F1232" t="s">
        <v>102</v>
      </c>
      <c r="G1232" t="s">
        <v>81</v>
      </c>
      <c r="H1232" t="s">
        <v>87</v>
      </c>
      <c r="I1232" s="1" t="s">
        <v>2070</v>
      </c>
      <c r="J1232" s="1" t="s">
        <v>2071</v>
      </c>
      <c r="K1232" s="1" t="s">
        <v>2072</v>
      </c>
    </row>
    <row r="1233" spans="1:11" ht="90" x14ac:dyDescent="0.25">
      <c r="A1233" t="s">
        <v>26</v>
      </c>
      <c r="B1233" t="s">
        <v>2064</v>
      </c>
      <c r="C1233" t="s">
        <v>28</v>
      </c>
      <c r="D1233" t="s">
        <v>955</v>
      </c>
      <c r="E1233" t="s">
        <v>30</v>
      </c>
      <c r="F1233" t="s">
        <v>446</v>
      </c>
      <c r="G1233" t="s">
        <v>32</v>
      </c>
      <c r="H1233" t="s">
        <v>33</v>
      </c>
      <c r="I1233" s="1" t="s">
        <v>2073</v>
      </c>
      <c r="J1233" s="1" t="s">
        <v>1867</v>
      </c>
      <c r="K1233" s="1" t="s">
        <v>1946</v>
      </c>
    </row>
    <row r="1234" spans="1:11" ht="60" x14ac:dyDescent="0.25">
      <c r="A1234" t="s">
        <v>64</v>
      </c>
      <c r="B1234" t="s">
        <v>2064</v>
      </c>
      <c r="C1234" t="s">
        <v>263</v>
      </c>
      <c r="D1234" t="s">
        <v>264</v>
      </c>
      <c r="E1234" t="s">
        <v>30</v>
      </c>
      <c r="F1234" t="s">
        <v>61</v>
      </c>
      <c r="G1234" t="s">
        <v>32</v>
      </c>
      <c r="H1234" t="s">
        <v>173</v>
      </c>
      <c r="I1234" s="1" t="s">
        <v>2074</v>
      </c>
      <c r="J1234" s="1" t="s">
        <v>877</v>
      </c>
      <c r="K1234" s="1" t="s">
        <v>1856</v>
      </c>
    </row>
    <row r="1235" spans="1:11" ht="45" x14ac:dyDescent="0.25">
      <c r="A1235" t="s">
        <v>26</v>
      </c>
      <c r="B1235" t="s">
        <v>2075</v>
      </c>
      <c r="C1235" t="s">
        <v>73</v>
      </c>
      <c r="D1235" t="s">
        <v>2076</v>
      </c>
      <c r="E1235" t="s">
        <v>30</v>
      </c>
      <c r="F1235" t="s">
        <v>196</v>
      </c>
      <c r="G1235" t="s">
        <v>32</v>
      </c>
      <c r="H1235" t="s">
        <v>173</v>
      </c>
      <c r="I1235" s="1" t="s">
        <v>2077</v>
      </c>
      <c r="J1235" s="1" t="s">
        <v>481</v>
      </c>
      <c r="K1235" s="1" t="s">
        <v>1872</v>
      </c>
    </row>
    <row r="1236" spans="1:11" ht="60" x14ac:dyDescent="0.25">
      <c r="A1236" t="s">
        <v>26</v>
      </c>
      <c r="B1236" t="s">
        <v>2075</v>
      </c>
      <c r="C1236" t="s">
        <v>263</v>
      </c>
      <c r="D1236" t="s">
        <v>650</v>
      </c>
      <c r="E1236" t="s">
        <v>30</v>
      </c>
      <c r="F1236" t="s">
        <v>46</v>
      </c>
      <c r="G1236" t="s">
        <v>32</v>
      </c>
      <c r="H1236" t="s">
        <v>33</v>
      </c>
      <c r="I1236" s="1" t="s">
        <v>2078</v>
      </c>
      <c r="J1236" s="1" t="s">
        <v>1867</v>
      </c>
      <c r="K1236" s="1" t="s">
        <v>1946</v>
      </c>
    </row>
    <row r="1237" spans="1:11" ht="90" x14ac:dyDescent="0.25">
      <c r="A1237" t="s">
        <v>26</v>
      </c>
      <c r="B1237" t="s">
        <v>2075</v>
      </c>
      <c r="C1237" t="s">
        <v>92</v>
      </c>
      <c r="D1237" t="s">
        <v>111</v>
      </c>
      <c r="E1237" t="s">
        <v>30</v>
      </c>
      <c r="F1237" t="s">
        <v>287</v>
      </c>
      <c r="G1237" t="s">
        <v>32</v>
      </c>
      <c r="H1237" t="s">
        <v>87</v>
      </c>
      <c r="I1237" s="1" t="s">
        <v>2079</v>
      </c>
      <c r="J1237" s="1" t="s">
        <v>701</v>
      </c>
      <c r="K1237" s="1" t="s">
        <v>2023</v>
      </c>
    </row>
    <row r="1238" spans="1:11" ht="60" x14ac:dyDescent="0.25">
      <c r="A1238" t="s">
        <v>26</v>
      </c>
      <c r="B1238" t="s">
        <v>2075</v>
      </c>
      <c r="C1238" t="s">
        <v>249</v>
      </c>
      <c r="D1238" t="s">
        <v>880</v>
      </c>
      <c r="E1238" t="s">
        <v>30</v>
      </c>
      <c r="F1238" t="s">
        <v>61</v>
      </c>
      <c r="G1238" t="s">
        <v>69</v>
      </c>
      <c r="H1238" t="s">
        <v>33</v>
      </c>
      <c r="I1238" s="1" t="s">
        <v>2080</v>
      </c>
      <c r="J1238" s="1" t="s">
        <v>1874</v>
      </c>
      <c r="K1238" s="1" t="s">
        <v>2081</v>
      </c>
    </row>
    <row r="1239" spans="1:11" ht="60" x14ac:dyDescent="0.25">
      <c r="A1239" t="s">
        <v>26</v>
      </c>
      <c r="B1239" t="s">
        <v>2075</v>
      </c>
      <c r="C1239" t="s">
        <v>106</v>
      </c>
      <c r="D1239" t="s">
        <v>539</v>
      </c>
      <c r="E1239" t="s">
        <v>30</v>
      </c>
      <c r="F1239" t="s">
        <v>94</v>
      </c>
      <c r="G1239" t="s">
        <v>32</v>
      </c>
      <c r="H1239" t="s">
        <v>33</v>
      </c>
      <c r="I1239" s="1" t="s">
        <v>2082</v>
      </c>
      <c r="J1239" s="1" t="s">
        <v>481</v>
      </c>
      <c r="K1239" s="1" t="s">
        <v>1847</v>
      </c>
    </row>
    <row r="1240" spans="1:11" ht="60" x14ac:dyDescent="0.25">
      <c r="A1240" t="s">
        <v>26</v>
      </c>
      <c r="B1240" t="s">
        <v>2075</v>
      </c>
      <c r="C1240" t="s">
        <v>249</v>
      </c>
      <c r="D1240" t="s">
        <v>1185</v>
      </c>
      <c r="E1240" t="s">
        <v>30</v>
      </c>
      <c r="F1240" t="s">
        <v>196</v>
      </c>
      <c r="G1240" t="s">
        <v>32</v>
      </c>
      <c r="H1240" t="s">
        <v>87</v>
      </c>
      <c r="I1240" s="1" t="s">
        <v>2083</v>
      </c>
      <c r="J1240" s="1" t="s">
        <v>689</v>
      </c>
      <c r="K1240" s="1" t="s">
        <v>2043</v>
      </c>
    </row>
    <row r="1241" spans="1:11" ht="45" x14ac:dyDescent="0.25">
      <c r="A1241" t="s">
        <v>26</v>
      </c>
      <c r="B1241" t="s">
        <v>2075</v>
      </c>
      <c r="C1241" t="s">
        <v>96</v>
      </c>
      <c r="D1241" t="s">
        <v>201</v>
      </c>
      <c r="E1241" t="s">
        <v>30</v>
      </c>
      <c r="F1241" t="s">
        <v>119</v>
      </c>
      <c r="G1241" t="s">
        <v>32</v>
      </c>
      <c r="H1241" t="s">
        <v>87</v>
      </c>
      <c r="I1241" s="1" t="s">
        <v>2084</v>
      </c>
      <c r="J1241" s="1" t="s">
        <v>697</v>
      </c>
      <c r="K1241" s="1" t="s">
        <v>1910</v>
      </c>
    </row>
    <row r="1242" spans="1:11" ht="90" x14ac:dyDescent="0.25">
      <c r="A1242" t="s">
        <v>26</v>
      </c>
      <c r="B1242" t="s">
        <v>2075</v>
      </c>
      <c r="C1242" t="s">
        <v>249</v>
      </c>
      <c r="D1242" t="s">
        <v>862</v>
      </c>
      <c r="E1242" t="s">
        <v>30</v>
      </c>
      <c r="F1242" t="s">
        <v>98</v>
      </c>
      <c r="G1242" t="s">
        <v>32</v>
      </c>
      <c r="H1242" t="s">
        <v>87</v>
      </c>
      <c r="I1242" s="1" t="s">
        <v>2085</v>
      </c>
      <c r="J1242" s="1" t="s">
        <v>2086</v>
      </c>
      <c r="K1242" s="1" t="s">
        <v>1910</v>
      </c>
    </row>
    <row r="1243" spans="1:11" ht="75" x14ac:dyDescent="0.25">
      <c r="A1243" t="s">
        <v>26</v>
      </c>
      <c r="B1243" t="s">
        <v>2075</v>
      </c>
      <c r="C1243" t="s">
        <v>50</v>
      </c>
      <c r="D1243" t="s">
        <v>2087</v>
      </c>
      <c r="E1243" t="s">
        <v>30</v>
      </c>
      <c r="F1243" t="s">
        <v>136</v>
      </c>
      <c r="G1243" t="s">
        <v>32</v>
      </c>
      <c r="H1243" t="s">
        <v>87</v>
      </c>
      <c r="I1243" s="1" t="s">
        <v>2088</v>
      </c>
      <c r="J1243" s="1" t="s">
        <v>701</v>
      </c>
      <c r="K1243" s="1" t="s">
        <v>1861</v>
      </c>
    </row>
    <row r="1244" spans="1:11" ht="105" x14ac:dyDescent="0.25">
      <c r="A1244" t="s">
        <v>26</v>
      </c>
      <c r="B1244" t="s">
        <v>2075</v>
      </c>
      <c r="C1244" t="s">
        <v>73</v>
      </c>
      <c r="D1244" t="s">
        <v>1436</v>
      </c>
      <c r="E1244" t="s">
        <v>79</v>
      </c>
      <c r="F1244" t="s">
        <v>290</v>
      </c>
      <c r="G1244" t="s">
        <v>32</v>
      </c>
      <c r="H1244" t="s">
        <v>87</v>
      </c>
      <c r="I1244" s="1" t="s">
        <v>2089</v>
      </c>
      <c r="J1244" s="1" t="s">
        <v>684</v>
      </c>
      <c r="K1244" s="1" t="s">
        <v>1980</v>
      </c>
    </row>
    <row r="1245" spans="1:11" ht="75" x14ac:dyDescent="0.25">
      <c r="A1245" t="s">
        <v>26</v>
      </c>
      <c r="B1245" t="s">
        <v>2075</v>
      </c>
      <c r="C1245" t="s">
        <v>44</v>
      </c>
      <c r="D1245" t="s">
        <v>146</v>
      </c>
      <c r="E1245" t="s">
        <v>30</v>
      </c>
      <c r="F1245" t="s">
        <v>543</v>
      </c>
      <c r="G1245" t="s">
        <v>69</v>
      </c>
      <c r="H1245" t="s">
        <v>87</v>
      </c>
      <c r="I1245" s="1" t="s">
        <v>2090</v>
      </c>
      <c r="J1245" s="1" t="s">
        <v>877</v>
      </c>
      <c r="K1245" s="1" t="s">
        <v>1856</v>
      </c>
    </row>
    <row r="1246" spans="1:11" ht="105" x14ac:dyDescent="0.25">
      <c r="A1246" t="s">
        <v>26</v>
      </c>
      <c r="B1246" t="s">
        <v>2075</v>
      </c>
      <c r="C1246" t="s">
        <v>106</v>
      </c>
      <c r="D1246" t="s">
        <v>610</v>
      </c>
      <c r="E1246" t="s">
        <v>30</v>
      </c>
      <c r="F1246" t="s">
        <v>166</v>
      </c>
      <c r="G1246" t="s">
        <v>32</v>
      </c>
      <c r="H1246" t="s">
        <v>33</v>
      </c>
      <c r="I1246" s="1" t="s">
        <v>2091</v>
      </c>
      <c r="J1246" s="1" t="s">
        <v>1867</v>
      </c>
      <c r="K1246" s="1" t="s">
        <v>1946</v>
      </c>
    </row>
    <row r="1247" spans="1:11" ht="105" x14ac:dyDescent="0.25">
      <c r="A1247" t="s">
        <v>26</v>
      </c>
      <c r="B1247" t="s">
        <v>2075</v>
      </c>
      <c r="C1247" t="s">
        <v>28</v>
      </c>
      <c r="D1247" t="s">
        <v>129</v>
      </c>
      <c r="E1247" t="s">
        <v>30</v>
      </c>
      <c r="F1247" t="s">
        <v>94</v>
      </c>
      <c r="G1247" t="s">
        <v>32</v>
      </c>
      <c r="H1247" t="s">
        <v>33</v>
      </c>
      <c r="I1247" s="1" t="s">
        <v>2092</v>
      </c>
      <c r="J1247" s="1" t="s">
        <v>2093</v>
      </c>
      <c r="K1247" s="1" t="s">
        <v>1946</v>
      </c>
    </row>
    <row r="1248" spans="1:11" ht="60" x14ac:dyDescent="0.25">
      <c r="A1248" t="s">
        <v>26</v>
      </c>
      <c r="B1248" t="s">
        <v>2075</v>
      </c>
      <c r="C1248" t="s">
        <v>240</v>
      </c>
      <c r="D1248" t="s">
        <v>2094</v>
      </c>
      <c r="E1248" t="s">
        <v>30</v>
      </c>
      <c r="F1248" t="s">
        <v>112</v>
      </c>
      <c r="G1248" t="s">
        <v>69</v>
      </c>
      <c r="H1248" t="s">
        <v>173</v>
      </c>
      <c r="I1248" s="1" t="s">
        <v>2095</v>
      </c>
      <c r="J1248" s="1" t="s">
        <v>1852</v>
      </c>
      <c r="K1248" s="1" t="s">
        <v>2096</v>
      </c>
    </row>
    <row r="1249" spans="1:11" ht="75" x14ac:dyDescent="0.25">
      <c r="A1249" t="s">
        <v>26</v>
      </c>
      <c r="B1249" t="s">
        <v>2075</v>
      </c>
      <c r="C1249" t="s">
        <v>44</v>
      </c>
      <c r="D1249" t="s">
        <v>821</v>
      </c>
      <c r="E1249" t="s">
        <v>30</v>
      </c>
      <c r="F1249" t="s">
        <v>246</v>
      </c>
      <c r="G1249" t="s">
        <v>32</v>
      </c>
      <c r="H1249" t="s">
        <v>87</v>
      </c>
      <c r="I1249" s="1" t="s">
        <v>2097</v>
      </c>
      <c r="J1249" s="1" t="s">
        <v>697</v>
      </c>
      <c r="K1249" s="1" t="s">
        <v>1910</v>
      </c>
    </row>
    <row r="1250" spans="1:11" ht="45" x14ac:dyDescent="0.25">
      <c r="A1250" t="s">
        <v>26</v>
      </c>
      <c r="B1250" t="s">
        <v>2075</v>
      </c>
      <c r="C1250" t="s">
        <v>96</v>
      </c>
      <c r="D1250" t="s">
        <v>176</v>
      </c>
      <c r="E1250" t="s">
        <v>30</v>
      </c>
      <c r="F1250" t="s">
        <v>108</v>
      </c>
      <c r="G1250" t="s">
        <v>32</v>
      </c>
      <c r="H1250" t="s">
        <v>87</v>
      </c>
      <c r="I1250" s="1" t="s">
        <v>2098</v>
      </c>
      <c r="J1250" s="1" t="s">
        <v>16</v>
      </c>
      <c r="K1250" s="1" t="s">
        <v>1952</v>
      </c>
    </row>
    <row r="1251" spans="1:11" ht="105" x14ac:dyDescent="0.25">
      <c r="A1251" t="s">
        <v>26</v>
      </c>
      <c r="B1251" t="s">
        <v>2075</v>
      </c>
      <c r="C1251" t="s">
        <v>55</v>
      </c>
      <c r="D1251" t="s">
        <v>479</v>
      </c>
      <c r="E1251" t="s">
        <v>79</v>
      </c>
      <c r="F1251" t="s">
        <v>98</v>
      </c>
      <c r="G1251" t="s">
        <v>32</v>
      </c>
      <c r="H1251" t="s">
        <v>87</v>
      </c>
      <c r="I1251" s="1" t="s">
        <v>2099</v>
      </c>
      <c r="J1251" s="1" t="s">
        <v>436</v>
      </c>
      <c r="K1251" s="1" t="s">
        <v>2100</v>
      </c>
    </row>
    <row r="1252" spans="1:11" ht="60" x14ac:dyDescent="0.25">
      <c r="A1252" t="s">
        <v>26</v>
      </c>
      <c r="B1252" t="s">
        <v>2075</v>
      </c>
      <c r="C1252" t="s">
        <v>240</v>
      </c>
      <c r="D1252" t="s">
        <v>978</v>
      </c>
      <c r="E1252" t="s">
        <v>30</v>
      </c>
      <c r="F1252" t="s">
        <v>446</v>
      </c>
      <c r="G1252" t="s">
        <v>32</v>
      </c>
      <c r="H1252" t="s">
        <v>173</v>
      </c>
      <c r="I1252" s="1" t="s">
        <v>2101</v>
      </c>
      <c r="J1252" s="1" t="s">
        <v>16</v>
      </c>
      <c r="K1252" s="1" t="s">
        <v>1861</v>
      </c>
    </row>
    <row r="1253" spans="1:11" ht="90" x14ac:dyDescent="0.25">
      <c r="A1253" t="s">
        <v>26</v>
      </c>
      <c r="B1253" t="s">
        <v>2075</v>
      </c>
      <c r="C1253" t="s">
        <v>28</v>
      </c>
      <c r="D1253" t="s">
        <v>2102</v>
      </c>
      <c r="E1253" t="s">
        <v>30</v>
      </c>
      <c r="F1253" t="s">
        <v>389</v>
      </c>
      <c r="G1253" t="s">
        <v>81</v>
      </c>
      <c r="H1253" t="s">
        <v>87</v>
      </c>
      <c r="I1253" s="1" t="s">
        <v>2103</v>
      </c>
      <c r="J1253" s="1" t="s">
        <v>684</v>
      </c>
      <c r="K1253" s="1" t="s">
        <v>1980</v>
      </c>
    </row>
    <row r="1254" spans="1:11" ht="45" x14ac:dyDescent="0.25">
      <c r="A1254" t="s">
        <v>26</v>
      </c>
      <c r="B1254" t="s">
        <v>2075</v>
      </c>
      <c r="C1254" t="s">
        <v>50</v>
      </c>
      <c r="D1254" t="s">
        <v>362</v>
      </c>
      <c r="E1254" t="s">
        <v>79</v>
      </c>
      <c r="F1254" t="s">
        <v>209</v>
      </c>
      <c r="G1254" t="s">
        <v>32</v>
      </c>
      <c r="H1254" t="s">
        <v>173</v>
      </c>
      <c r="I1254" s="1" t="s">
        <v>2104</v>
      </c>
      <c r="J1254" s="1" t="s">
        <v>17</v>
      </c>
      <c r="K1254" s="1" t="s">
        <v>2007</v>
      </c>
    </row>
    <row r="1255" spans="1:11" ht="90" x14ac:dyDescent="0.25">
      <c r="A1255" t="s">
        <v>49</v>
      </c>
      <c r="B1255" t="s">
        <v>2075</v>
      </c>
      <c r="C1255" t="s">
        <v>28</v>
      </c>
      <c r="D1255" t="s">
        <v>1621</v>
      </c>
      <c r="E1255" t="s">
        <v>79</v>
      </c>
      <c r="F1255" t="s">
        <v>61</v>
      </c>
      <c r="G1255" t="s">
        <v>32</v>
      </c>
      <c r="H1255" t="s">
        <v>173</v>
      </c>
      <c r="I1255" s="1" t="s">
        <v>2105</v>
      </c>
      <c r="J1255" s="1" t="s">
        <v>481</v>
      </c>
      <c r="K1255" s="1" t="s">
        <v>1872</v>
      </c>
    </row>
    <row r="1256" spans="1:11" ht="60" x14ac:dyDescent="0.25">
      <c r="A1256" t="s">
        <v>26</v>
      </c>
      <c r="B1256" t="s">
        <v>2075</v>
      </c>
      <c r="C1256" t="s">
        <v>96</v>
      </c>
      <c r="D1256" t="s">
        <v>1216</v>
      </c>
      <c r="E1256" t="s">
        <v>30</v>
      </c>
      <c r="F1256" t="s">
        <v>602</v>
      </c>
      <c r="G1256" t="s">
        <v>32</v>
      </c>
      <c r="H1256" t="s">
        <v>33</v>
      </c>
      <c r="I1256" s="1" t="s">
        <v>2106</v>
      </c>
      <c r="J1256" s="1" t="s">
        <v>426</v>
      </c>
      <c r="K1256" s="1" t="s">
        <v>1946</v>
      </c>
    </row>
    <row r="1257" spans="1:11" ht="90" x14ac:dyDescent="0.25">
      <c r="A1257" t="s">
        <v>26</v>
      </c>
      <c r="B1257" t="s">
        <v>2075</v>
      </c>
      <c r="C1257" t="s">
        <v>28</v>
      </c>
      <c r="D1257" t="s">
        <v>153</v>
      </c>
      <c r="E1257" t="s">
        <v>30</v>
      </c>
      <c r="F1257" t="s">
        <v>112</v>
      </c>
      <c r="G1257" t="s">
        <v>69</v>
      </c>
      <c r="H1257" t="s">
        <v>33</v>
      </c>
      <c r="I1257" s="1" t="s">
        <v>2107</v>
      </c>
      <c r="J1257" s="1" t="s">
        <v>426</v>
      </c>
      <c r="K1257" s="1" t="s">
        <v>1946</v>
      </c>
    </row>
    <row r="1258" spans="1:11" ht="105" x14ac:dyDescent="0.25">
      <c r="A1258" t="s">
        <v>26</v>
      </c>
      <c r="B1258" t="s">
        <v>2075</v>
      </c>
      <c r="C1258" t="s">
        <v>180</v>
      </c>
      <c r="D1258" t="s">
        <v>222</v>
      </c>
      <c r="E1258" t="s">
        <v>30</v>
      </c>
      <c r="F1258" t="s">
        <v>417</v>
      </c>
      <c r="G1258" t="s">
        <v>32</v>
      </c>
      <c r="H1258" t="s">
        <v>33</v>
      </c>
      <c r="I1258" s="1" t="s">
        <v>2108</v>
      </c>
      <c r="J1258" s="1" t="s">
        <v>717</v>
      </c>
      <c r="K1258" s="1" t="s">
        <v>1980</v>
      </c>
    </row>
    <row r="1259" spans="1:11" ht="135" x14ac:dyDescent="0.25">
      <c r="A1259" t="s">
        <v>91</v>
      </c>
      <c r="B1259" t="s">
        <v>2075</v>
      </c>
      <c r="C1259" t="s">
        <v>44</v>
      </c>
      <c r="D1259" t="s">
        <v>68</v>
      </c>
      <c r="E1259" t="s">
        <v>30</v>
      </c>
      <c r="F1259" t="s">
        <v>294</v>
      </c>
      <c r="G1259" t="s">
        <v>69</v>
      </c>
      <c r="H1259" t="s">
        <v>33</v>
      </c>
      <c r="I1259" s="1" t="s">
        <v>2109</v>
      </c>
      <c r="J1259" s="1" t="s">
        <v>2110</v>
      </c>
      <c r="K1259" s="1" t="s">
        <v>2111</v>
      </c>
    </row>
    <row r="1260" spans="1:11" ht="105" x14ac:dyDescent="0.25">
      <c r="A1260" t="s">
        <v>26</v>
      </c>
      <c r="B1260" t="s">
        <v>2075</v>
      </c>
      <c r="C1260" t="s">
        <v>38</v>
      </c>
      <c r="D1260" t="s">
        <v>1839</v>
      </c>
      <c r="E1260" t="s">
        <v>30</v>
      </c>
      <c r="F1260" t="s">
        <v>119</v>
      </c>
      <c r="G1260" t="s">
        <v>69</v>
      </c>
      <c r="H1260" t="s">
        <v>87</v>
      </c>
      <c r="I1260" s="1" t="s">
        <v>2112</v>
      </c>
      <c r="J1260" s="1" t="s">
        <v>17</v>
      </c>
      <c r="K1260" s="1" t="s">
        <v>2007</v>
      </c>
    </row>
    <row r="1261" spans="1:11" ht="45" x14ac:dyDescent="0.25">
      <c r="A1261" t="s">
        <v>49</v>
      </c>
      <c r="B1261" t="s">
        <v>2075</v>
      </c>
      <c r="C1261" t="s">
        <v>249</v>
      </c>
      <c r="D1261" t="s">
        <v>2113</v>
      </c>
      <c r="E1261" t="s">
        <v>30</v>
      </c>
      <c r="F1261" t="s">
        <v>202</v>
      </c>
      <c r="G1261" t="s">
        <v>32</v>
      </c>
      <c r="H1261" t="s">
        <v>173</v>
      </c>
      <c r="I1261" s="1" t="s">
        <v>2114</v>
      </c>
      <c r="J1261" s="1" t="s">
        <v>481</v>
      </c>
      <c r="K1261" s="1" t="s">
        <v>1847</v>
      </c>
    </row>
    <row r="1262" spans="1:11" ht="30" x14ac:dyDescent="0.25">
      <c r="A1262" t="s">
        <v>26</v>
      </c>
      <c r="B1262" t="s">
        <v>2075</v>
      </c>
      <c r="C1262" t="s">
        <v>69</v>
      </c>
      <c r="D1262" t="s">
        <v>229</v>
      </c>
      <c r="E1262" t="s">
        <v>30</v>
      </c>
      <c r="F1262" t="s">
        <v>61</v>
      </c>
      <c r="G1262" t="s">
        <v>81</v>
      </c>
      <c r="H1262" t="s">
        <v>87</v>
      </c>
      <c r="I1262" s="1" t="s">
        <v>2115</v>
      </c>
      <c r="J1262" s="1" t="s">
        <v>104</v>
      </c>
      <c r="K1262" s="1" t="s">
        <v>1931</v>
      </c>
    </row>
    <row r="1263" spans="1:11" ht="90" x14ac:dyDescent="0.25">
      <c r="A1263" t="s">
        <v>59</v>
      </c>
      <c r="B1263" t="s">
        <v>2075</v>
      </c>
      <c r="C1263" t="s">
        <v>92</v>
      </c>
      <c r="D1263" t="s">
        <v>1654</v>
      </c>
      <c r="E1263" t="s">
        <v>30</v>
      </c>
      <c r="F1263" t="s">
        <v>1103</v>
      </c>
      <c r="G1263" t="s">
        <v>69</v>
      </c>
      <c r="H1263" t="s">
        <v>33</v>
      </c>
      <c r="I1263" s="1" t="s">
        <v>2116</v>
      </c>
      <c r="J1263" s="1" t="s">
        <v>426</v>
      </c>
      <c r="K1263" s="1" t="s">
        <v>2013</v>
      </c>
    </row>
    <row r="1264" spans="1:11" ht="60" x14ac:dyDescent="0.25">
      <c r="A1264" t="s">
        <v>26</v>
      </c>
      <c r="B1264" t="s">
        <v>2075</v>
      </c>
      <c r="C1264" t="s">
        <v>38</v>
      </c>
      <c r="D1264" t="s">
        <v>2117</v>
      </c>
      <c r="E1264" t="s">
        <v>30</v>
      </c>
      <c r="F1264" t="s">
        <v>102</v>
      </c>
      <c r="G1264" t="s">
        <v>32</v>
      </c>
      <c r="H1264" t="s">
        <v>87</v>
      </c>
      <c r="I1264" s="1" t="s">
        <v>2118</v>
      </c>
      <c r="J1264" s="1" t="s">
        <v>2119</v>
      </c>
      <c r="K1264" s="1" t="s">
        <v>2111</v>
      </c>
    </row>
    <row r="1265" spans="1:11" ht="90" x14ac:dyDescent="0.25">
      <c r="A1265" t="s">
        <v>49</v>
      </c>
      <c r="B1265" t="s">
        <v>2075</v>
      </c>
      <c r="C1265" t="s">
        <v>96</v>
      </c>
      <c r="D1265" t="s">
        <v>97</v>
      </c>
      <c r="E1265" t="s">
        <v>79</v>
      </c>
      <c r="F1265" t="s">
        <v>290</v>
      </c>
      <c r="G1265" t="s">
        <v>32</v>
      </c>
      <c r="H1265" t="s">
        <v>33</v>
      </c>
      <c r="I1265" s="1" t="s">
        <v>2120</v>
      </c>
      <c r="J1265" s="1" t="s">
        <v>1867</v>
      </c>
      <c r="K1265" s="1" t="s">
        <v>1847</v>
      </c>
    </row>
    <row r="1266" spans="1:11" ht="105" x14ac:dyDescent="0.25">
      <c r="A1266" t="s">
        <v>26</v>
      </c>
      <c r="B1266" t="s">
        <v>2075</v>
      </c>
      <c r="C1266" t="s">
        <v>69</v>
      </c>
      <c r="D1266" t="s">
        <v>507</v>
      </c>
      <c r="E1266" t="s">
        <v>30</v>
      </c>
      <c r="F1266" t="s">
        <v>94</v>
      </c>
      <c r="G1266" t="s">
        <v>81</v>
      </c>
      <c r="H1266" t="s">
        <v>87</v>
      </c>
      <c r="I1266" s="1" t="s">
        <v>2121</v>
      </c>
      <c r="J1266" s="1" t="s">
        <v>481</v>
      </c>
      <c r="K1266" s="1" t="s">
        <v>1859</v>
      </c>
    </row>
    <row r="1267" spans="1:11" ht="105" x14ac:dyDescent="0.25">
      <c r="A1267" t="s">
        <v>59</v>
      </c>
      <c r="B1267" t="s">
        <v>2075</v>
      </c>
      <c r="C1267" t="s">
        <v>240</v>
      </c>
      <c r="D1267" t="s">
        <v>703</v>
      </c>
      <c r="E1267" t="s">
        <v>30</v>
      </c>
      <c r="F1267" t="s">
        <v>492</v>
      </c>
      <c r="G1267" t="s">
        <v>32</v>
      </c>
      <c r="H1267" t="s">
        <v>87</v>
      </c>
      <c r="I1267" s="1" t="s">
        <v>2122</v>
      </c>
      <c r="J1267" s="1" t="s">
        <v>1917</v>
      </c>
      <c r="K1267" s="1" t="s">
        <v>1859</v>
      </c>
    </row>
    <row r="1268" spans="1:11" ht="60" x14ac:dyDescent="0.25">
      <c r="A1268" t="s">
        <v>26</v>
      </c>
      <c r="B1268" t="s">
        <v>2075</v>
      </c>
      <c r="C1268" t="s">
        <v>38</v>
      </c>
      <c r="D1268" t="s">
        <v>39</v>
      </c>
      <c r="E1268" t="s">
        <v>30</v>
      </c>
      <c r="F1268" t="s">
        <v>520</v>
      </c>
      <c r="G1268" t="s">
        <v>32</v>
      </c>
      <c r="H1268" t="s">
        <v>173</v>
      </c>
      <c r="I1268" s="1" t="s">
        <v>2123</v>
      </c>
      <c r="J1268" s="1" t="s">
        <v>2124</v>
      </c>
      <c r="K1268" s="1" t="s">
        <v>1986</v>
      </c>
    </row>
    <row r="1269" spans="1:11" ht="90" x14ac:dyDescent="0.25">
      <c r="A1269" t="s">
        <v>49</v>
      </c>
      <c r="B1269" t="s">
        <v>2075</v>
      </c>
      <c r="C1269" t="s">
        <v>55</v>
      </c>
      <c r="D1269" t="s">
        <v>965</v>
      </c>
      <c r="E1269" t="s">
        <v>30</v>
      </c>
      <c r="F1269" t="s">
        <v>136</v>
      </c>
      <c r="G1269" t="s">
        <v>69</v>
      </c>
      <c r="H1269" t="s">
        <v>33</v>
      </c>
      <c r="I1269" s="1" t="s">
        <v>2125</v>
      </c>
      <c r="J1269" s="1" t="s">
        <v>104</v>
      </c>
      <c r="K1269" s="1" t="s">
        <v>1931</v>
      </c>
    </row>
    <row r="1270" spans="1:11" ht="30" x14ac:dyDescent="0.25">
      <c r="A1270" t="s">
        <v>26</v>
      </c>
      <c r="B1270" t="s">
        <v>2075</v>
      </c>
      <c r="C1270" t="s">
        <v>85</v>
      </c>
      <c r="D1270" t="s">
        <v>2126</v>
      </c>
      <c r="E1270" t="s">
        <v>30</v>
      </c>
      <c r="F1270" t="s">
        <v>681</v>
      </c>
      <c r="G1270" t="s">
        <v>69</v>
      </c>
      <c r="H1270" t="s">
        <v>33</v>
      </c>
      <c r="I1270" s="1" t="s">
        <v>2127</v>
      </c>
      <c r="J1270" s="1" t="s">
        <v>2128</v>
      </c>
      <c r="K1270" s="1" t="s">
        <v>2007</v>
      </c>
    </row>
    <row r="1271" spans="1:11" ht="60" x14ac:dyDescent="0.25">
      <c r="A1271" t="s">
        <v>37</v>
      </c>
      <c r="B1271" t="s">
        <v>2075</v>
      </c>
      <c r="C1271" t="s">
        <v>180</v>
      </c>
      <c r="D1271" t="s">
        <v>2129</v>
      </c>
      <c r="E1271" t="s">
        <v>30</v>
      </c>
      <c r="F1271" t="s">
        <v>182</v>
      </c>
      <c r="G1271" t="s">
        <v>32</v>
      </c>
      <c r="H1271" t="s">
        <v>87</v>
      </c>
      <c r="I1271" s="1" t="s">
        <v>2130</v>
      </c>
      <c r="J1271" s="1" t="s">
        <v>877</v>
      </c>
      <c r="K1271" s="1" t="s">
        <v>1856</v>
      </c>
    </row>
    <row r="1272" spans="1:11" ht="60" x14ac:dyDescent="0.25">
      <c r="A1272" t="s">
        <v>26</v>
      </c>
      <c r="B1272" t="s">
        <v>2075</v>
      </c>
      <c r="C1272" t="s">
        <v>235</v>
      </c>
      <c r="D1272" t="s">
        <v>2131</v>
      </c>
      <c r="E1272" t="s">
        <v>30</v>
      </c>
      <c r="F1272" t="s">
        <v>166</v>
      </c>
      <c r="G1272" t="s">
        <v>32</v>
      </c>
      <c r="H1272" t="s">
        <v>33</v>
      </c>
      <c r="I1272" s="1" t="s">
        <v>2132</v>
      </c>
      <c r="J1272" s="1" t="s">
        <v>426</v>
      </c>
      <c r="K1272" s="1" t="s">
        <v>1946</v>
      </c>
    </row>
    <row r="1273" spans="1:11" ht="105" x14ac:dyDescent="0.25">
      <c r="A1273" t="s">
        <v>91</v>
      </c>
      <c r="B1273" t="s">
        <v>2075</v>
      </c>
      <c r="C1273" t="s">
        <v>55</v>
      </c>
      <c r="D1273" t="s">
        <v>953</v>
      </c>
      <c r="E1273" t="s">
        <v>30</v>
      </c>
      <c r="F1273" t="s">
        <v>189</v>
      </c>
      <c r="G1273" t="s">
        <v>69</v>
      </c>
      <c r="H1273" t="s">
        <v>33</v>
      </c>
      <c r="I1273" s="1" t="s">
        <v>2133</v>
      </c>
      <c r="J1273" s="1" t="s">
        <v>104</v>
      </c>
      <c r="K1273" s="1" t="s">
        <v>1931</v>
      </c>
    </row>
    <row r="1274" spans="1:11" ht="90" x14ac:dyDescent="0.25">
      <c r="A1274" t="s">
        <v>49</v>
      </c>
      <c r="B1274" t="s">
        <v>2075</v>
      </c>
      <c r="C1274" t="s">
        <v>85</v>
      </c>
      <c r="D1274" t="s">
        <v>373</v>
      </c>
      <c r="E1274" t="s">
        <v>30</v>
      </c>
      <c r="F1274" t="s">
        <v>161</v>
      </c>
      <c r="G1274" t="s">
        <v>69</v>
      </c>
      <c r="H1274" t="s">
        <v>87</v>
      </c>
      <c r="I1274" s="1" t="s">
        <v>2134</v>
      </c>
      <c r="J1274" s="1" t="s">
        <v>2135</v>
      </c>
      <c r="K1274" s="1" t="s">
        <v>2136</v>
      </c>
    </row>
    <row r="1275" spans="1:11" ht="30" x14ac:dyDescent="0.25">
      <c r="A1275" t="s">
        <v>37</v>
      </c>
      <c r="B1275" t="s">
        <v>2075</v>
      </c>
      <c r="C1275" t="s">
        <v>28</v>
      </c>
      <c r="D1275" t="s">
        <v>1515</v>
      </c>
      <c r="E1275" t="s">
        <v>30</v>
      </c>
      <c r="F1275" t="s">
        <v>1014</v>
      </c>
      <c r="G1275" t="s">
        <v>263</v>
      </c>
      <c r="H1275" t="s">
        <v>173</v>
      </c>
      <c r="I1275" s="1" t="s">
        <v>2137</v>
      </c>
      <c r="J1275" s="1" t="s">
        <v>15</v>
      </c>
      <c r="K1275" s="1" t="s">
        <v>2061</v>
      </c>
    </row>
    <row r="1276" spans="1:11" ht="75" x14ac:dyDescent="0.25">
      <c r="A1276" t="s">
        <v>26</v>
      </c>
      <c r="B1276" t="s">
        <v>2075</v>
      </c>
      <c r="C1276" t="s">
        <v>50</v>
      </c>
      <c r="D1276" t="s">
        <v>817</v>
      </c>
      <c r="E1276" t="s">
        <v>30</v>
      </c>
      <c r="F1276" t="s">
        <v>130</v>
      </c>
      <c r="G1276" t="s">
        <v>32</v>
      </c>
      <c r="H1276" t="s">
        <v>173</v>
      </c>
      <c r="I1276" s="1" t="s">
        <v>2138</v>
      </c>
      <c r="J1276" s="1" t="s">
        <v>2139</v>
      </c>
      <c r="K1276" s="1" t="s">
        <v>1910</v>
      </c>
    </row>
    <row r="1277" spans="1:11" ht="105" x14ac:dyDescent="0.25">
      <c r="A1277" t="s">
        <v>37</v>
      </c>
      <c r="B1277" t="s">
        <v>2075</v>
      </c>
      <c r="C1277" t="s">
        <v>73</v>
      </c>
      <c r="D1277" t="s">
        <v>157</v>
      </c>
      <c r="E1277" t="s">
        <v>30</v>
      </c>
      <c r="F1277" t="s">
        <v>98</v>
      </c>
      <c r="G1277" t="s">
        <v>32</v>
      </c>
      <c r="H1277" t="s">
        <v>87</v>
      </c>
      <c r="I1277" s="1" t="s">
        <v>2140</v>
      </c>
      <c r="J1277" s="1" t="s">
        <v>877</v>
      </c>
      <c r="K1277" s="1" t="s">
        <v>1856</v>
      </c>
    </row>
    <row r="1278" spans="1:11" ht="105" x14ac:dyDescent="0.25">
      <c r="A1278" t="s">
        <v>49</v>
      </c>
      <c r="B1278" t="s">
        <v>2075</v>
      </c>
      <c r="C1278" t="s">
        <v>55</v>
      </c>
      <c r="D1278" t="s">
        <v>56</v>
      </c>
      <c r="E1278" t="s">
        <v>30</v>
      </c>
      <c r="F1278" t="s">
        <v>290</v>
      </c>
      <c r="G1278" t="s">
        <v>81</v>
      </c>
      <c r="H1278" t="s">
        <v>87</v>
      </c>
      <c r="I1278" s="1" t="s">
        <v>2141</v>
      </c>
      <c r="J1278" s="1" t="s">
        <v>684</v>
      </c>
      <c r="K1278" s="1" t="s">
        <v>1980</v>
      </c>
    </row>
    <row r="1279" spans="1:11" ht="45" x14ac:dyDescent="0.25">
      <c r="A1279" t="s">
        <v>64</v>
      </c>
      <c r="B1279" t="s">
        <v>2075</v>
      </c>
      <c r="C1279" t="s">
        <v>73</v>
      </c>
      <c r="D1279" t="s">
        <v>313</v>
      </c>
      <c r="E1279" t="s">
        <v>30</v>
      </c>
      <c r="F1279" t="s">
        <v>102</v>
      </c>
      <c r="G1279" t="s">
        <v>32</v>
      </c>
      <c r="H1279" t="s">
        <v>33</v>
      </c>
      <c r="I1279" s="1" t="s">
        <v>2142</v>
      </c>
      <c r="J1279" s="1" t="s">
        <v>854</v>
      </c>
      <c r="K1279" s="1" t="s">
        <v>2143</v>
      </c>
    </row>
    <row r="1280" spans="1:11" ht="60" x14ac:dyDescent="0.25">
      <c r="A1280" t="s">
        <v>26</v>
      </c>
      <c r="B1280" t="s">
        <v>2075</v>
      </c>
      <c r="C1280" t="s">
        <v>180</v>
      </c>
      <c r="D1280" t="s">
        <v>1835</v>
      </c>
      <c r="E1280" t="s">
        <v>30</v>
      </c>
      <c r="F1280" t="s">
        <v>205</v>
      </c>
      <c r="G1280" t="s">
        <v>69</v>
      </c>
      <c r="H1280" t="s">
        <v>33</v>
      </c>
      <c r="I1280" s="1" t="s">
        <v>2144</v>
      </c>
      <c r="J1280" s="1" t="s">
        <v>426</v>
      </c>
      <c r="K1280" s="1" t="s">
        <v>1946</v>
      </c>
    </row>
    <row r="1281" spans="1:11" ht="45" x14ac:dyDescent="0.25">
      <c r="A1281" t="s">
        <v>64</v>
      </c>
      <c r="B1281" t="s">
        <v>2075</v>
      </c>
      <c r="C1281" t="s">
        <v>240</v>
      </c>
      <c r="D1281" t="s">
        <v>1155</v>
      </c>
      <c r="E1281" t="s">
        <v>79</v>
      </c>
      <c r="F1281" t="s">
        <v>389</v>
      </c>
      <c r="G1281" t="s">
        <v>32</v>
      </c>
      <c r="H1281" t="s">
        <v>87</v>
      </c>
      <c r="I1281" s="1" t="s">
        <v>2145</v>
      </c>
      <c r="J1281" s="1" t="s">
        <v>1957</v>
      </c>
      <c r="K1281" s="1" t="s">
        <v>1952</v>
      </c>
    </row>
    <row r="1282" spans="1:11" ht="75" x14ac:dyDescent="0.25">
      <c r="A1282" t="s">
        <v>59</v>
      </c>
      <c r="B1282" t="s">
        <v>2075</v>
      </c>
      <c r="C1282" t="s">
        <v>235</v>
      </c>
      <c r="D1282" t="s">
        <v>2146</v>
      </c>
      <c r="E1282" t="s">
        <v>30</v>
      </c>
      <c r="F1282" t="s">
        <v>287</v>
      </c>
      <c r="G1282" t="s">
        <v>69</v>
      </c>
      <c r="H1282" t="s">
        <v>33</v>
      </c>
      <c r="I1282" s="1" t="s">
        <v>2147</v>
      </c>
      <c r="J1282" s="1" t="s">
        <v>436</v>
      </c>
      <c r="K1282" s="1" t="s">
        <v>2100</v>
      </c>
    </row>
    <row r="1283" spans="1:11" ht="90" x14ac:dyDescent="0.25">
      <c r="A1283" t="s">
        <v>64</v>
      </c>
      <c r="B1283" t="s">
        <v>2075</v>
      </c>
      <c r="C1283" t="s">
        <v>106</v>
      </c>
      <c r="D1283" t="s">
        <v>539</v>
      </c>
      <c r="E1283" t="s">
        <v>30</v>
      </c>
      <c r="F1283" t="s">
        <v>446</v>
      </c>
      <c r="G1283" t="s">
        <v>32</v>
      </c>
      <c r="H1283" t="s">
        <v>33</v>
      </c>
      <c r="I1283" s="1" t="s">
        <v>2148</v>
      </c>
      <c r="J1283" s="1" t="s">
        <v>2149</v>
      </c>
      <c r="K1283" s="1" t="s">
        <v>2043</v>
      </c>
    </row>
    <row r="1284" spans="1:11" ht="60" x14ac:dyDescent="0.25">
      <c r="A1284" t="s">
        <v>26</v>
      </c>
      <c r="B1284" t="s">
        <v>2075</v>
      </c>
      <c r="C1284" t="s">
        <v>69</v>
      </c>
      <c r="D1284" t="s">
        <v>68</v>
      </c>
      <c r="E1284" t="s">
        <v>30</v>
      </c>
      <c r="F1284" t="s">
        <v>130</v>
      </c>
      <c r="G1284" t="s">
        <v>32</v>
      </c>
      <c r="H1284" t="s">
        <v>33</v>
      </c>
      <c r="I1284" s="1" t="s">
        <v>2150</v>
      </c>
      <c r="J1284" s="1" t="s">
        <v>426</v>
      </c>
      <c r="K1284" s="1" t="s">
        <v>1946</v>
      </c>
    </row>
    <row r="1285" spans="1:11" ht="30" x14ac:dyDescent="0.25">
      <c r="A1285" t="s">
        <v>64</v>
      </c>
      <c r="B1285" t="s">
        <v>2075</v>
      </c>
      <c r="C1285" t="s">
        <v>28</v>
      </c>
      <c r="D1285" t="s">
        <v>2151</v>
      </c>
      <c r="E1285" t="s">
        <v>30</v>
      </c>
      <c r="F1285" t="s">
        <v>2152</v>
      </c>
      <c r="G1285" t="s">
        <v>32</v>
      </c>
      <c r="H1285" t="s">
        <v>173</v>
      </c>
      <c r="I1285" s="1" t="s">
        <v>2153</v>
      </c>
      <c r="J1285" s="1" t="s">
        <v>15</v>
      </c>
      <c r="K1285" s="1" t="s">
        <v>2061</v>
      </c>
    </row>
    <row r="1286" spans="1:11" ht="60" x14ac:dyDescent="0.25">
      <c r="A1286" t="s">
        <v>37</v>
      </c>
      <c r="B1286" t="s">
        <v>2075</v>
      </c>
      <c r="C1286" t="s">
        <v>249</v>
      </c>
      <c r="D1286" t="s">
        <v>1185</v>
      </c>
      <c r="E1286" t="s">
        <v>30</v>
      </c>
      <c r="F1286" t="s">
        <v>223</v>
      </c>
      <c r="G1286" t="s">
        <v>69</v>
      </c>
      <c r="H1286" t="s">
        <v>87</v>
      </c>
      <c r="I1286" s="1" t="s">
        <v>2154</v>
      </c>
      <c r="J1286" s="1" t="s">
        <v>2155</v>
      </c>
      <c r="K1286" s="1" t="s">
        <v>1910</v>
      </c>
    </row>
    <row r="1287" spans="1:11" ht="90" x14ac:dyDescent="0.25">
      <c r="A1287" t="s">
        <v>26</v>
      </c>
      <c r="B1287" t="s">
        <v>2075</v>
      </c>
      <c r="C1287" t="s">
        <v>69</v>
      </c>
      <c r="D1287" t="s">
        <v>2156</v>
      </c>
      <c r="E1287" t="s">
        <v>30</v>
      </c>
      <c r="F1287" t="s">
        <v>161</v>
      </c>
      <c r="G1287" t="s">
        <v>38</v>
      </c>
      <c r="H1287" t="s">
        <v>173</v>
      </c>
      <c r="I1287" s="1" t="s">
        <v>2157</v>
      </c>
      <c r="J1287" s="1" t="s">
        <v>2158</v>
      </c>
      <c r="K1287" s="1" t="s">
        <v>1910</v>
      </c>
    </row>
    <row r="1288" spans="1:11" ht="105" x14ac:dyDescent="0.25">
      <c r="A1288" t="s">
        <v>37</v>
      </c>
      <c r="B1288" t="s">
        <v>2075</v>
      </c>
      <c r="C1288" t="s">
        <v>180</v>
      </c>
      <c r="D1288" t="s">
        <v>181</v>
      </c>
      <c r="E1288" t="s">
        <v>30</v>
      </c>
      <c r="F1288" t="s">
        <v>2159</v>
      </c>
      <c r="G1288" t="s">
        <v>32</v>
      </c>
      <c r="H1288" t="s">
        <v>173</v>
      </c>
      <c r="I1288" s="1" t="s">
        <v>2160</v>
      </c>
      <c r="J1288" s="1" t="s">
        <v>2161</v>
      </c>
      <c r="K1288" s="1" t="s">
        <v>1861</v>
      </c>
    </row>
    <row r="1289" spans="1:11" ht="75" x14ac:dyDescent="0.25">
      <c r="A1289" t="s">
        <v>26</v>
      </c>
      <c r="B1289" t="s">
        <v>2075</v>
      </c>
      <c r="C1289" t="s">
        <v>44</v>
      </c>
      <c r="D1289" t="s">
        <v>616</v>
      </c>
      <c r="E1289" t="s">
        <v>30</v>
      </c>
      <c r="F1289" t="s">
        <v>94</v>
      </c>
      <c r="G1289" t="s">
        <v>32</v>
      </c>
      <c r="H1289" t="s">
        <v>87</v>
      </c>
      <c r="I1289" s="1" t="s">
        <v>2162</v>
      </c>
      <c r="J1289" s="1" t="s">
        <v>1855</v>
      </c>
      <c r="K1289" s="1" t="s">
        <v>1963</v>
      </c>
    </row>
    <row r="1290" spans="1:11" ht="75" x14ac:dyDescent="0.25">
      <c r="A1290" t="s">
        <v>64</v>
      </c>
      <c r="B1290" t="s">
        <v>2075</v>
      </c>
      <c r="C1290" t="s">
        <v>240</v>
      </c>
      <c r="D1290" t="s">
        <v>703</v>
      </c>
      <c r="E1290" t="s">
        <v>30</v>
      </c>
      <c r="F1290" t="s">
        <v>202</v>
      </c>
      <c r="G1290" t="s">
        <v>81</v>
      </c>
      <c r="H1290" t="s">
        <v>173</v>
      </c>
      <c r="I1290" s="1" t="s">
        <v>2163</v>
      </c>
      <c r="J1290" s="1" t="s">
        <v>753</v>
      </c>
      <c r="K1290" s="1" t="s">
        <v>1992</v>
      </c>
    </row>
    <row r="1291" spans="1:11" ht="75" x14ac:dyDescent="0.25">
      <c r="A1291" t="s">
        <v>26</v>
      </c>
      <c r="B1291" t="s">
        <v>2075</v>
      </c>
      <c r="C1291" t="s">
        <v>44</v>
      </c>
      <c r="D1291" t="s">
        <v>1162</v>
      </c>
      <c r="E1291" t="s">
        <v>30</v>
      </c>
      <c r="F1291" t="s">
        <v>98</v>
      </c>
      <c r="G1291" t="s">
        <v>69</v>
      </c>
      <c r="H1291" t="s">
        <v>87</v>
      </c>
      <c r="I1291" s="1" t="s">
        <v>2164</v>
      </c>
      <c r="J1291" s="1" t="s">
        <v>877</v>
      </c>
      <c r="K1291" s="1" t="s">
        <v>1856</v>
      </c>
    </row>
    <row r="1292" spans="1:11" ht="90" x14ac:dyDescent="0.25">
      <c r="A1292" t="s">
        <v>26</v>
      </c>
      <c r="B1292" t="s">
        <v>2075</v>
      </c>
      <c r="C1292" t="s">
        <v>85</v>
      </c>
      <c r="D1292" t="s">
        <v>405</v>
      </c>
      <c r="E1292" t="s">
        <v>30</v>
      </c>
      <c r="F1292" t="s">
        <v>119</v>
      </c>
      <c r="G1292" t="s">
        <v>69</v>
      </c>
      <c r="H1292" t="s">
        <v>87</v>
      </c>
      <c r="I1292" s="1" t="s">
        <v>2165</v>
      </c>
      <c r="J1292" s="1" t="s">
        <v>697</v>
      </c>
      <c r="K1292" s="1" t="s">
        <v>2166</v>
      </c>
    </row>
    <row r="1293" spans="1:11" ht="45" x14ac:dyDescent="0.25">
      <c r="A1293" t="s">
        <v>49</v>
      </c>
      <c r="B1293" t="s">
        <v>2075</v>
      </c>
      <c r="C1293" t="s">
        <v>240</v>
      </c>
      <c r="D1293" t="s">
        <v>703</v>
      </c>
      <c r="E1293" t="s">
        <v>30</v>
      </c>
      <c r="F1293" t="s">
        <v>140</v>
      </c>
      <c r="G1293" t="s">
        <v>32</v>
      </c>
      <c r="H1293" t="s">
        <v>33</v>
      </c>
      <c r="I1293" s="1" t="s">
        <v>2167</v>
      </c>
      <c r="J1293" s="1" t="s">
        <v>481</v>
      </c>
      <c r="K1293" s="1" t="s">
        <v>1847</v>
      </c>
    </row>
    <row r="1294" spans="1:11" ht="45" x14ac:dyDescent="0.25">
      <c r="A1294" t="s">
        <v>49</v>
      </c>
      <c r="B1294" t="s">
        <v>2075</v>
      </c>
      <c r="C1294" t="s">
        <v>106</v>
      </c>
      <c r="D1294" t="s">
        <v>605</v>
      </c>
      <c r="E1294" t="s">
        <v>30</v>
      </c>
      <c r="F1294" t="s">
        <v>154</v>
      </c>
      <c r="G1294" t="s">
        <v>32</v>
      </c>
      <c r="H1294" t="s">
        <v>173</v>
      </c>
      <c r="I1294" s="1" t="s">
        <v>2168</v>
      </c>
      <c r="J1294" s="1" t="s">
        <v>16</v>
      </c>
      <c r="K1294" s="1" t="s">
        <v>2169</v>
      </c>
    </row>
    <row r="1295" spans="1:11" ht="75" x14ac:dyDescent="0.25">
      <c r="A1295" t="s">
        <v>49</v>
      </c>
      <c r="B1295" t="s">
        <v>2075</v>
      </c>
      <c r="C1295" t="s">
        <v>55</v>
      </c>
      <c r="D1295" t="s">
        <v>382</v>
      </c>
      <c r="E1295" t="s">
        <v>30</v>
      </c>
      <c r="F1295" t="s">
        <v>61</v>
      </c>
      <c r="G1295" t="s">
        <v>32</v>
      </c>
      <c r="H1295" t="s">
        <v>33</v>
      </c>
      <c r="I1295" s="1" t="s">
        <v>2170</v>
      </c>
      <c r="J1295" s="1" t="s">
        <v>104</v>
      </c>
      <c r="K1295" s="1" t="s">
        <v>1847</v>
      </c>
    </row>
    <row r="1296" spans="1:11" ht="90" x14ac:dyDescent="0.25">
      <c r="A1296" t="s">
        <v>37</v>
      </c>
      <c r="B1296" t="s">
        <v>2075</v>
      </c>
      <c r="C1296" t="s">
        <v>92</v>
      </c>
      <c r="D1296" t="s">
        <v>111</v>
      </c>
      <c r="E1296" t="s">
        <v>79</v>
      </c>
      <c r="F1296" t="s">
        <v>543</v>
      </c>
      <c r="G1296" t="s">
        <v>263</v>
      </c>
      <c r="H1296" t="s">
        <v>87</v>
      </c>
      <c r="I1296" s="1" t="s">
        <v>2171</v>
      </c>
      <c r="J1296" s="1" t="s">
        <v>1852</v>
      </c>
      <c r="K1296" s="1" t="s">
        <v>2172</v>
      </c>
    </row>
    <row r="1297" spans="1:11" ht="60" x14ac:dyDescent="0.25">
      <c r="A1297" t="s">
        <v>37</v>
      </c>
      <c r="B1297" t="s">
        <v>2075</v>
      </c>
      <c r="C1297" t="s">
        <v>44</v>
      </c>
      <c r="D1297" t="s">
        <v>146</v>
      </c>
      <c r="E1297" t="s">
        <v>30</v>
      </c>
      <c r="F1297" t="s">
        <v>112</v>
      </c>
      <c r="G1297" t="s">
        <v>32</v>
      </c>
      <c r="H1297" t="s">
        <v>87</v>
      </c>
      <c r="I1297" s="1" t="s">
        <v>2173</v>
      </c>
      <c r="J1297" s="1" t="s">
        <v>877</v>
      </c>
      <c r="K1297" s="1" t="s">
        <v>1856</v>
      </c>
    </row>
    <row r="1298" spans="1:11" ht="75" x14ac:dyDescent="0.25">
      <c r="A1298" t="s">
        <v>26</v>
      </c>
      <c r="B1298" t="s">
        <v>2174</v>
      </c>
      <c r="C1298" t="s">
        <v>472</v>
      </c>
      <c r="D1298" t="s">
        <v>839</v>
      </c>
      <c r="E1298" t="s">
        <v>30</v>
      </c>
      <c r="F1298" t="s">
        <v>223</v>
      </c>
      <c r="G1298" t="s">
        <v>69</v>
      </c>
      <c r="H1298" t="s">
        <v>87</v>
      </c>
      <c r="I1298" s="1" t="s">
        <v>2175</v>
      </c>
      <c r="J1298" s="1" t="s">
        <v>436</v>
      </c>
      <c r="K1298" s="1" t="s">
        <v>2100</v>
      </c>
    </row>
    <row r="1299" spans="1:11" ht="60" x14ac:dyDescent="0.25">
      <c r="A1299" t="s">
        <v>26</v>
      </c>
      <c r="B1299" t="s">
        <v>2174</v>
      </c>
      <c r="C1299" t="s">
        <v>249</v>
      </c>
      <c r="D1299" t="s">
        <v>657</v>
      </c>
      <c r="E1299" t="s">
        <v>30</v>
      </c>
      <c r="F1299" t="s">
        <v>186</v>
      </c>
      <c r="G1299" t="s">
        <v>69</v>
      </c>
      <c r="H1299" t="s">
        <v>173</v>
      </c>
      <c r="I1299" s="1" t="s">
        <v>2176</v>
      </c>
      <c r="J1299" s="1" t="s">
        <v>697</v>
      </c>
      <c r="K1299" s="1" t="s">
        <v>1910</v>
      </c>
    </row>
    <row r="1300" spans="1:11" ht="105" x14ac:dyDescent="0.25">
      <c r="A1300" t="s">
        <v>26</v>
      </c>
      <c r="B1300" t="s">
        <v>2174</v>
      </c>
      <c r="C1300" t="s">
        <v>106</v>
      </c>
      <c r="D1300" t="s">
        <v>475</v>
      </c>
      <c r="E1300" t="s">
        <v>30</v>
      </c>
      <c r="F1300" t="s">
        <v>119</v>
      </c>
      <c r="G1300" t="s">
        <v>38</v>
      </c>
      <c r="H1300" t="s">
        <v>87</v>
      </c>
      <c r="I1300" s="1" t="s">
        <v>2177</v>
      </c>
      <c r="J1300" s="1" t="s">
        <v>1924</v>
      </c>
      <c r="K1300" s="1" t="s">
        <v>1856</v>
      </c>
    </row>
    <row r="1301" spans="1:11" ht="105" x14ac:dyDescent="0.25">
      <c r="A1301" t="s">
        <v>26</v>
      </c>
      <c r="B1301" t="s">
        <v>2174</v>
      </c>
      <c r="C1301" t="s">
        <v>249</v>
      </c>
      <c r="D1301" t="s">
        <v>401</v>
      </c>
      <c r="E1301" t="s">
        <v>30</v>
      </c>
      <c r="F1301" t="s">
        <v>108</v>
      </c>
      <c r="G1301" t="s">
        <v>263</v>
      </c>
      <c r="H1301" t="s">
        <v>87</v>
      </c>
      <c r="I1301" s="1" t="s">
        <v>2178</v>
      </c>
      <c r="J1301" s="1" t="s">
        <v>481</v>
      </c>
      <c r="K1301" s="1" t="s">
        <v>1859</v>
      </c>
    </row>
    <row r="1302" spans="1:11" ht="120" x14ac:dyDescent="0.25">
      <c r="A1302" t="s">
        <v>26</v>
      </c>
      <c r="B1302" t="s">
        <v>2174</v>
      </c>
      <c r="C1302" t="s">
        <v>50</v>
      </c>
      <c r="D1302" t="s">
        <v>362</v>
      </c>
      <c r="E1302" t="s">
        <v>30</v>
      </c>
      <c r="F1302" t="s">
        <v>126</v>
      </c>
      <c r="G1302" t="s">
        <v>32</v>
      </c>
      <c r="H1302" t="s">
        <v>33</v>
      </c>
      <c r="I1302" s="1" t="s">
        <v>2179</v>
      </c>
      <c r="J1302" s="1" t="s">
        <v>426</v>
      </c>
      <c r="K1302" s="1" t="s">
        <v>1946</v>
      </c>
    </row>
    <row r="1303" spans="1:11" ht="90" x14ac:dyDescent="0.25">
      <c r="A1303" t="s">
        <v>26</v>
      </c>
      <c r="B1303" t="s">
        <v>2174</v>
      </c>
      <c r="C1303" t="s">
        <v>106</v>
      </c>
      <c r="D1303" t="s">
        <v>107</v>
      </c>
      <c r="E1303" t="s">
        <v>79</v>
      </c>
      <c r="F1303" t="s">
        <v>280</v>
      </c>
      <c r="G1303" t="s">
        <v>32</v>
      </c>
      <c r="H1303" t="s">
        <v>87</v>
      </c>
      <c r="I1303" s="1" t="s">
        <v>2180</v>
      </c>
      <c r="J1303" s="1" t="s">
        <v>481</v>
      </c>
      <c r="K1303" s="1" t="s">
        <v>1859</v>
      </c>
    </row>
    <row r="1304" spans="1:11" ht="45" x14ac:dyDescent="0.25">
      <c r="A1304" t="s">
        <v>26</v>
      </c>
      <c r="B1304" t="s">
        <v>2174</v>
      </c>
      <c r="C1304" t="s">
        <v>235</v>
      </c>
      <c r="D1304" t="s">
        <v>427</v>
      </c>
      <c r="E1304" t="s">
        <v>30</v>
      </c>
      <c r="F1304" t="s">
        <v>246</v>
      </c>
      <c r="G1304" t="s">
        <v>32</v>
      </c>
      <c r="H1304" t="s">
        <v>33</v>
      </c>
      <c r="I1304" s="1" t="s">
        <v>2181</v>
      </c>
      <c r="J1304" s="1" t="s">
        <v>1867</v>
      </c>
      <c r="K1304" s="1" t="s">
        <v>1847</v>
      </c>
    </row>
    <row r="1305" spans="1:11" ht="60" x14ac:dyDescent="0.25">
      <c r="A1305" t="s">
        <v>26</v>
      </c>
      <c r="B1305" t="s">
        <v>2174</v>
      </c>
      <c r="C1305" t="s">
        <v>96</v>
      </c>
      <c r="D1305" t="s">
        <v>875</v>
      </c>
      <c r="E1305" t="s">
        <v>30</v>
      </c>
      <c r="F1305" t="s">
        <v>46</v>
      </c>
      <c r="G1305" t="s">
        <v>32</v>
      </c>
      <c r="H1305" t="s">
        <v>33</v>
      </c>
      <c r="I1305" s="1" t="s">
        <v>2182</v>
      </c>
      <c r="J1305" s="1" t="s">
        <v>877</v>
      </c>
      <c r="K1305" s="1" t="s">
        <v>1856</v>
      </c>
    </row>
    <row r="1306" spans="1:11" ht="75" x14ac:dyDescent="0.25">
      <c r="A1306" t="s">
        <v>26</v>
      </c>
      <c r="B1306" t="s">
        <v>2174</v>
      </c>
      <c r="C1306" t="s">
        <v>50</v>
      </c>
      <c r="D1306" t="s">
        <v>1226</v>
      </c>
      <c r="E1306" t="s">
        <v>30</v>
      </c>
      <c r="F1306" t="s">
        <v>719</v>
      </c>
      <c r="G1306" t="s">
        <v>38</v>
      </c>
      <c r="H1306" t="s">
        <v>87</v>
      </c>
      <c r="I1306" s="1" t="s">
        <v>2183</v>
      </c>
      <c r="J1306" s="1" t="s">
        <v>481</v>
      </c>
      <c r="K1306" s="1" t="s">
        <v>1859</v>
      </c>
    </row>
    <row r="1307" spans="1:11" ht="75" x14ac:dyDescent="0.25">
      <c r="A1307" t="s">
        <v>26</v>
      </c>
      <c r="B1307" t="s">
        <v>2174</v>
      </c>
      <c r="C1307" t="s">
        <v>85</v>
      </c>
      <c r="D1307" t="s">
        <v>667</v>
      </c>
      <c r="E1307" t="s">
        <v>30</v>
      </c>
      <c r="F1307" t="s">
        <v>102</v>
      </c>
      <c r="G1307" t="s">
        <v>81</v>
      </c>
      <c r="H1307" t="s">
        <v>173</v>
      </c>
      <c r="I1307" s="1" t="s">
        <v>2184</v>
      </c>
      <c r="J1307" s="1" t="s">
        <v>17</v>
      </c>
      <c r="K1307" s="1" t="s">
        <v>2007</v>
      </c>
    </row>
    <row r="1308" spans="1:11" ht="105" x14ac:dyDescent="0.25">
      <c r="A1308" t="s">
        <v>26</v>
      </c>
      <c r="B1308" t="s">
        <v>2174</v>
      </c>
      <c r="C1308" t="s">
        <v>50</v>
      </c>
      <c r="D1308" t="s">
        <v>226</v>
      </c>
      <c r="E1308" t="s">
        <v>30</v>
      </c>
      <c r="F1308" t="s">
        <v>182</v>
      </c>
      <c r="G1308" t="s">
        <v>32</v>
      </c>
      <c r="H1308" t="s">
        <v>87</v>
      </c>
      <c r="I1308" s="1" t="s">
        <v>2185</v>
      </c>
      <c r="J1308" s="1" t="s">
        <v>436</v>
      </c>
      <c r="K1308" s="1" t="s">
        <v>2100</v>
      </c>
    </row>
    <row r="1309" spans="1:11" ht="75" x14ac:dyDescent="0.25">
      <c r="A1309" t="s">
        <v>26</v>
      </c>
      <c r="B1309" t="s">
        <v>2174</v>
      </c>
      <c r="C1309" t="s">
        <v>96</v>
      </c>
      <c r="D1309" t="s">
        <v>176</v>
      </c>
      <c r="E1309" t="s">
        <v>30</v>
      </c>
      <c r="F1309" t="s">
        <v>130</v>
      </c>
      <c r="G1309" t="s">
        <v>81</v>
      </c>
      <c r="H1309" t="s">
        <v>87</v>
      </c>
      <c r="I1309" s="1" t="s">
        <v>2186</v>
      </c>
      <c r="J1309" s="1" t="s">
        <v>823</v>
      </c>
      <c r="K1309" s="1" t="s">
        <v>2187</v>
      </c>
    </row>
    <row r="1310" spans="1:11" ht="105" x14ac:dyDescent="0.25">
      <c r="A1310" t="s">
        <v>26</v>
      </c>
      <c r="B1310" t="s">
        <v>2174</v>
      </c>
      <c r="C1310" t="s">
        <v>180</v>
      </c>
      <c r="D1310" t="s">
        <v>1331</v>
      </c>
      <c r="E1310" t="s">
        <v>30</v>
      </c>
      <c r="F1310" t="s">
        <v>205</v>
      </c>
      <c r="G1310" t="s">
        <v>69</v>
      </c>
      <c r="H1310" t="s">
        <v>87</v>
      </c>
      <c r="I1310" s="1" t="s">
        <v>2188</v>
      </c>
      <c r="J1310" s="1" t="s">
        <v>1917</v>
      </c>
      <c r="K1310" s="1" t="s">
        <v>2007</v>
      </c>
    </row>
    <row r="1311" spans="1:11" ht="105" x14ac:dyDescent="0.25">
      <c r="A1311" t="s">
        <v>49</v>
      </c>
      <c r="B1311" t="s">
        <v>2174</v>
      </c>
      <c r="C1311" t="s">
        <v>50</v>
      </c>
      <c r="D1311" t="s">
        <v>563</v>
      </c>
      <c r="E1311" t="s">
        <v>30</v>
      </c>
      <c r="F1311" t="s">
        <v>161</v>
      </c>
      <c r="G1311" t="s">
        <v>69</v>
      </c>
      <c r="H1311" t="s">
        <v>173</v>
      </c>
      <c r="I1311" s="1" t="s">
        <v>2189</v>
      </c>
      <c r="J1311" s="1" t="s">
        <v>2190</v>
      </c>
      <c r="K1311" s="1" t="s">
        <v>1861</v>
      </c>
    </row>
    <row r="1312" spans="1:11" ht="60" x14ac:dyDescent="0.25">
      <c r="A1312" t="s">
        <v>26</v>
      </c>
      <c r="B1312" t="s">
        <v>2174</v>
      </c>
      <c r="C1312" t="s">
        <v>180</v>
      </c>
      <c r="D1312" t="s">
        <v>1105</v>
      </c>
      <c r="E1312" t="s">
        <v>30</v>
      </c>
      <c r="F1312" t="s">
        <v>46</v>
      </c>
      <c r="G1312" t="s">
        <v>32</v>
      </c>
      <c r="H1312" t="s">
        <v>173</v>
      </c>
      <c r="I1312" s="1" t="s">
        <v>2191</v>
      </c>
      <c r="J1312" s="1" t="s">
        <v>877</v>
      </c>
      <c r="K1312" s="1" t="s">
        <v>1856</v>
      </c>
    </row>
    <row r="1313" spans="1:11" ht="75" x14ac:dyDescent="0.25">
      <c r="A1313" t="s">
        <v>26</v>
      </c>
      <c r="B1313" t="s">
        <v>2174</v>
      </c>
      <c r="C1313" t="s">
        <v>235</v>
      </c>
      <c r="D1313" t="s">
        <v>2192</v>
      </c>
      <c r="E1313" t="s">
        <v>30</v>
      </c>
      <c r="F1313" t="s">
        <v>307</v>
      </c>
      <c r="G1313" t="s">
        <v>81</v>
      </c>
      <c r="H1313" t="s">
        <v>173</v>
      </c>
      <c r="I1313" s="1" t="s">
        <v>2193</v>
      </c>
      <c r="J1313" s="1" t="s">
        <v>1867</v>
      </c>
      <c r="K1313" s="1" t="s">
        <v>2194</v>
      </c>
    </row>
    <row r="1314" spans="1:11" ht="60" x14ac:dyDescent="0.25">
      <c r="A1314" t="s">
        <v>26</v>
      </c>
      <c r="B1314" t="s">
        <v>2174</v>
      </c>
      <c r="C1314" t="s">
        <v>44</v>
      </c>
      <c r="D1314" t="s">
        <v>2048</v>
      </c>
      <c r="E1314" t="s">
        <v>30</v>
      </c>
      <c r="F1314" t="s">
        <v>40</v>
      </c>
      <c r="G1314" t="s">
        <v>32</v>
      </c>
      <c r="H1314" t="s">
        <v>173</v>
      </c>
      <c r="I1314" s="1" t="s">
        <v>2195</v>
      </c>
      <c r="J1314" s="1" t="s">
        <v>426</v>
      </c>
      <c r="K1314" s="1" t="s">
        <v>1847</v>
      </c>
    </row>
    <row r="1315" spans="1:11" ht="45" x14ac:dyDescent="0.25">
      <c r="A1315" t="s">
        <v>37</v>
      </c>
      <c r="B1315" t="s">
        <v>2174</v>
      </c>
      <c r="C1315" t="s">
        <v>96</v>
      </c>
      <c r="D1315" t="s">
        <v>875</v>
      </c>
      <c r="E1315" t="s">
        <v>30</v>
      </c>
      <c r="F1315" t="s">
        <v>561</v>
      </c>
      <c r="G1315" t="s">
        <v>69</v>
      </c>
      <c r="H1315" t="s">
        <v>33</v>
      </c>
      <c r="I1315" s="1" t="s">
        <v>2196</v>
      </c>
      <c r="J1315" s="1" t="s">
        <v>854</v>
      </c>
      <c r="K1315" s="1" t="s">
        <v>1847</v>
      </c>
    </row>
    <row r="1316" spans="1:11" ht="75" x14ac:dyDescent="0.25">
      <c r="A1316" t="s">
        <v>26</v>
      </c>
      <c r="B1316" t="s">
        <v>2174</v>
      </c>
      <c r="C1316" t="s">
        <v>44</v>
      </c>
      <c r="D1316" t="s">
        <v>616</v>
      </c>
      <c r="E1316" t="s">
        <v>30</v>
      </c>
      <c r="F1316" t="s">
        <v>365</v>
      </c>
      <c r="G1316" t="s">
        <v>32</v>
      </c>
      <c r="H1316" t="s">
        <v>173</v>
      </c>
      <c r="I1316" s="1" t="s">
        <v>2197</v>
      </c>
      <c r="J1316" s="1" t="s">
        <v>707</v>
      </c>
      <c r="K1316" s="1" t="s">
        <v>2198</v>
      </c>
    </row>
    <row r="1317" spans="1:11" ht="45" x14ac:dyDescent="0.25">
      <c r="A1317" t="s">
        <v>26</v>
      </c>
      <c r="B1317" t="s">
        <v>2174</v>
      </c>
      <c r="C1317" t="s">
        <v>69</v>
      </c>
      <c r="D1317" t="s">
        <v>160</v>
      </c>
      <c r="E1317" t="s">
        <v>30</v>
      </c>
      <c r="F1317" t="s">
        <v>492</v>
      </c>
      <c r="G1317" t="s">
        <v>69</v>
      </c>
      <c r="H1317" t="s">
        <v>87</v>
      </c>
      <c r="I1317" s="1" t="s">
        <v>2199</v>
      </c>
      <c r="J1317" s="1" t="s">
        <v>15</v>
      </c>
      <c r="K1317" s="1" t="s">
        <v>1910</v>
      </c>
    </row>
    <row r="1318" spans="1:11" ht="30" x14ac:dyDescent="0.25">
      <c r="A1318" t="s">
        <v>26</v>
      </c>
      <c r="B1318" t="s">
        <v>2174</v>
      </c>
      <c r="C1318" t="s">
        <v>28</v>
      </c>
      <c r="D1318" t="s">
        <v>756</v>
      </c>
      <c r="E1318" t="s">
        <v>30</v>
      </c>
      <c r="F1318" t="s">
        <v>61</v>
      </c>
      <c r="G1318" t="s">
        <v>32</v>
      </c>
      <c r="H1318" t="s">
        <v>87</v>
      </c>
      <c r="I1318" s="1" t="s">
        <v>2200</v>
      </c>
      <c r="J1318" s="1" t="s">
        <v>481</v>
      </c>
      <c r="K1318" s="1" t="s">
        <v>2061</v>
      </c>
    </row>
    <row r="1319" spans="1:11" ht="45" x14ac:dyDescent="0.25">
      <c r="A1319" t="s">
        <v>37</v>
      </c>
      <c r="B1319" t="s">
        <v>2174</v>
      </c>
      <c r="C1319" t="s">
        <v>472</v>
      </c>
      <c r="D1319" t="s">
        <v>2201</v>
      </c>
      <c r="E1319" t="s">
        <v>30</v>
      </c>
      <c r="F1319" t="s">
        <v>98</v>
      </c>
      <c r="G1319" t="s">
        <v>32</v>
      </c>
      <c r="H1319" t="s">
        <v>33</v>
      </c>
      <c r="I1319" s="1" t="s">
        <v>2202</v>
      </c>
      <c r="J1319" s="1" t="s">
        <v>2203</v>
      </c>
      <c r="K1319" s="1" t="s">
        <v>1847</v>
      </c>
    </row>
    <row r="1320" spans="1:11" ht="75" x14ac:dyDescent="0.25">
      <c r="A1320" t="s">
        <v>26</v>
      </c>
      <c r="B1320" t="s">
        <v>2174</v>
      </c>
      <c r="C1320" t="s">
        <v>44</v>
      </c>
      <c r="D1320" t="s">
        <v>622</v>
      </c>
      <c r="E1320" t="s">
        <v>30</v>
      </c>
      <c r="F1320" t="s">
        <v>94</v>
      </c>
      <c r="G1320" t="s">
        <v>69</v>
      </c>
      <c r="H1320" t="s">
        <v>87</v>
      </c>
      <c r="I1320" s="1" t="s">
        <v>2204</v>
      </c>
      <c r="J1320" s="1" t="s">
        <v>17</v>
      </c>
      <c r="K1320" s="1" t="s">
        <v>2007</v>
      </c>
    </row>
    <row r="1321" spans="1:11" ht="45" x14ac:dyDescent="0.25">
      <c r="A1321" t="s">
        <v>26</v>
      </c>
      <c r="B1321" t="s">
        <v>2174</v>
      </c>
      <c r="C1321" t="s">
        <v>69</v>
      </c>
      <c r="D1321" t="s">
        <v>68</v>
      </c>
      <c r="E1321" t="s">
        <v>79</v>
      </c>
      <c r="F1321" t="s">
        <v>80</v>
      </c>
      <c r="G1321" t="s">
        <v>69</v>
      </c>
      <c r="H1321" t="s">
        <v>87</v>
      </c>
      <c r="I1321" s="1" t="s">
        <v>2205</v>
      </c>
      <c r="J1321" s="1" t="s">
        <v>436</v>
      </c>
      <c r="K1321" s="1" t="s">
        <v>2100</v>
      </c>
    </row>
    <row r="1322" spans="1:11" ht="105" x14ac:dyDescent="0.25">
      <c r="A1322" t="s">
        <v>26</v>
      </c>
      <c r="B1322" t="s">
        <v>2174</v>
      </c>
      <c r="C1322" t="s">
        <v>55</v>
      </c>
      <c r="D1322" t="s">
        <v>965</v>
      </c>
      <c r="E1322" t="s">
        <v>30</v>
      </c>
      <c r="F1322" t="s">
        <v>587</v>
      </c>
      <c r="G1322" t="s">
        <v>38</v>
      </c>
      <c r="H1322" t="s">
        <v>87</v>
      </c>
      <c r="I1322" s="1" t="s">
        <v>2206</v>
      </c>
      <c r="J1322" s="1" t="s">
        <v>481</v>
      </c>
      <c r="K1322" s="1" t="s">
        <v>2207</v>
      </c>
    </row>
    <row r="1323" spans="1:11" ht="45" x14ac:dyDescent="0.25">
      <c r="A1323" t="s">
        <v>37</v>
      </c>
      <c r="B1323" t="s">
        <v>2174</v>
      </c>
      <c r="C1323" t="s">
        <v>85</v>
      </c>
      <c r="D1323" t="s">
        <v>2208</v>
      </c>
      <c r="E1323" t="s">
        <v>30</v>
      </c>
      <c r="F1323" t="s">
        <v>287</v>
      </c>
      <c r="G1323" t="s">
        <v>69</v>
      </c>
      <c r="H1323" t="s">
        <v>33</v>
      </c>
      <c r="I1323" s="1" t="s">
        <v>2209</v>
      </c>
      <c r="J1323" s="1" t="s">
        <v>481</v>
      </c>
      <c r="K1323" s="1" t="s">
        <v>1847</v>
      </c>
    </row>
    <row r="1324" spans="1:11" ht="75" x14ac:dyDescent="0.25">
      <c r="A1324" t="s">
        <v>26</v>
      </c>
      <c r="B1324" t="s">
        <v>2174</v>
      </c>
      <c r="C1324" t="s">
        <v>85</v>
      </c>
      <c r="D1324" t="s">
        <v>1237</v>
      </c>
      <c r="E1324" t="s">
        <v>30</v>
      </c>
      <c r="F1324" t="s">
        <v>154</v>
      </c>
      <c r="G1324" t="s">
        <v>32</v>
      </c>
      <c r="H1324" t="s">
        <v>173</v>
      </c>
      <c r="I1324" s="1" t="s">
        <v>2210</v>
      </c>
      <c r="J1324" s="1" t="s">
        <v>426</v>
      </c>
      <c r="K1324" s="1" t="s">
        <v>2013</v>
      </c>
    </row>
    <row r="1325" spans="1:11" ht="45" x14ac:dyDescent="0.25">
      <c r="A1325" t="s">
        <v>26</v>
      </c>
      <c r="B1325" t="s">
        <v>2174</v>
      </c>
      <c r="C1325" t="s">
        <v>69</v>
      </c>
      <c r="D1325" t="s">
        <v>2211</v>
      </c>
      <c r="E1325" t="s">
        <v>30</v>
      </c>
      <c r="F1325" t="s">
        <v>154</v>
      </c>
      <c r="G1325" t="s">
        <v>32</v>
      </c>
      <c r="H1325" t="s">
        <v>87</v>
      </c>
      <c r="I1325" s="1" t="s">
        <v>2212</v>
      </c>
      <c r="J1325" s="1" t="s">
        <v>697</v>
      </c>
      <c r="K1325" s="1" t="s">
        <v>1910</v>
      </c>
    </row>
    <row r="1326" spans="1:11" ht="105" x14ac:dyDescent="0.25">
      <c r="A1326" t="s">
        <v>49</v>
      </c>
      <c r="B1326" t="s">
        <v>2174</v>
      </c>
      <c r="C1326" t="s">
        <v>92</v>
      </c>
      <c r="D1326" t="s">
        <v>111</v>
      </c>
      <c r="E1326" t="s">
        <v>30</v>
      </c>
      <c r="F1326" t="s">
        <v>543</v>
      </c>
      <c r="G1326" t="s">
        <v>32</v>
      </c>
      <c r="H1326" t="s">
        <v>33</v>
      </c>
      <c r="I1326" s="1" t="s">
        <v>2213</v>
      </c>
      <c r="J1326" s="1" t="s">
        <v>426</v>
      </c>
      <c r="K1326" s="1" t="s">
        <v>2013</v>
      </c>
    </row>
    <row r="1327" spans="1:11" ht="90" x14ac:dyDescent="0.25">
      <c r="A1327" t="s">
        <v>26</v>
      </c>
      <c r="B1327" t="s">
        <v>2174</v>
      </c>
      <c r="C1327" t="s">
        <v>44</v>
      </c>
      <c r="D1327" t="s">
        <v>616</v>
      </c>
      <c r="E1327" t="s">
        <v>30</v>
      </c>
      <c r="F1327" t="s">
        <v>307</v>
      </c>
      <c r="G1327" t="s">
        <v>32</v>
      </c>
      <c r="H1327" t="s">
        <v>173</v>
      </c>
      <c r="I1327" s="1" t="s">
        <v>2214</v>
      </c>
      <c r="J1327" s="1" t="s">
        <v>1924</v>
      </c>
      <c r="K1327" s="1" t="s">
        <v>1856</v>
      </c>
    </row>
    <row r="1328" spans="1:11" ht="135" x14ac:dyDescent="0.25">
      <c r="A1328" t="s">
        <v>49</v>
      </c>
      <c r="B1328" t="s">
        <v>2174</v>
      </c>
      <c r="C1328" t="s">
        <v>263</v>
      </c>
      <c r="D1328" t="s">
        <v>1128</v>
      </c>
      <c r="E1328" t="s">
        <v>79</v>
      </c>
      <c r="F1328" t="s">
        <v>446</v>
      </c>
      <c r="G1328" t="s">
        <v>32</v>
      </c>
      <c r="H1328" t="s">
        <v>173</v>
      </c>
      <c r="I1328" s="1" t="s">
        <v>2215</v>
      </c>
      <c r="J1328" s="1" t="s">
        <v>2124</v>
      </c>
      <c r="K1328" s="1" t="s">
        <v>2111</v>
      </c>
    </row>
    <row r="1329" spans="1:11" ht="60" x14ac:dyDescent="0.25">
      <c r="A1329" t="s">
        <v>26</v>
      </c>
      <c r="B1329" t="s">
        <v>2174</v>
      </c>
      <c r="C1329" t="s">
        <v>28</v>
      </c>
      <c r="D1329" t="s">
        <v>388</v>
      </c>
      <c r="E1329" t="s">
        <v>30</v>
      </c>
      <c r="F1329" t="s">
        <v>126</v>
      </c>
      <c r="G1329" t="s">
        <v>32</v>
      </c>
      <c r="H1329" t="s">
        <v>173</v>
      </c>
      <c r="I1329" s="1" t="s">
        <v>2216</v>
      </c>
      <c r="J1329" s="1" t="s">
        <v>2217</v>
      </c>
      <c r="K1329" s="1" t="s">
        <v>1986</v>
      </c>
    </row>
    <row r="1330" spans="1:11" ht="105" x14ac:dyDescent="0.25">
      <c r="A1330" t="s">
        <v>91</v>
      </c>
      <c r="B1330" t="s">
        <v>2174</v>
      </c>
      <c r="C1330" t="s">
        <v>32</v>
      </c>
      <c r="D1330" t="s">
        <v>1116</v>
      </c>
      <c r="E1330" t="s">
        <v>30</v>
      </c>
      <c r="F1330" t="s">
        <v>223</v>
      </c>
      <c r="G1330" t="s">
        <v>32</v>
      </c>
      <c r="H1330" t="s">
        <v>173</v>
      </c>
      <c r="I1330" s="1" t="s">
        <v>2218</v>
      </c>
      <c r="J1330" s="1" t="s">
        <v>17</v>
      </c>
      <c r="K1330" s="1" t="s">
        <v>2007</v>
      </c>
    </row>
    <row r="1331" spans="1:11" ht="60" x14ac:dyDescent="0.25">
      <c r="A1331" t="s">
        <v>49</v>
      </c>
      <c r="B1331" t="s">
        <v>2174</v>
      </c>
      <c r="C1331" t="s">
        <v>235</v>
      </c>
      <c r="D1331" t="s">
        <v>1002</v>
      </c>
      <c r="E1331" t="s">
        <v>30</v>
      </c>
      <c r="F1331" t="s">
        <v>205</v>
      </c>
      <c r="G1331" t="s">
        <v>32</v>
      </c>
      <c r="H1331" t="s">
        <v>33</v>
      </c>
      <c r="I1331" s="1" t="s">
        <v>2219</v>
      </c>
      <c r="J1331" s="1" t="s">
        <v>2110</v>
      </c>
      <c r="K1331" s="1" t="s">
        <v>1847</v>
      </c>
    </row>
    <row r="1332" spans="1:11" ht="105" x14ac:dyDescent="0.25">
      <c r="A1332" t="s">
        <v>49</v>
      </c>
      <c r="B1332" t="s">
        <v>2174</v>
      </c>
      <c r="C1332" t="s">
        <v>263</v>
      </c>
      <c r="D1332" t="s">
        <v>1128</v>
      </c>
      <c r="E1332" t="s">
        <v>30</v>
      </c>
      <c r="F1332" t="s">
        <v>633</v>
      </c>
      <c r="G1332" t="s">
        <v>32</v>
      </c>
      <c r="H1332" t="s">
        <v>173</v>
      </c>
      <c r="I1332" s="1" t="s">
        <v>2220</v>
      </c>
      <c r="J1332" s="1" t="s">
        <v>2128</v>
      </c>
      <c r="K1332" s="1" t="s">
        <v>2221</v>
      </c>
    </row>
    <row r="1333" spans="1:11" ht="75" x14ac:dyDescent="0.25">
      <c r="A1333" t="s">
        <v>37</v>
      </c>
      <c r="B1333" t="s">
        <v>2174</v>
      </c>
      <c r="C1333" t="s">
        <v>240</v>
      </c>
      <c r="D1333" t="s">
        <v>767</v>
      </c>
      <c r="E1333" t="s">
        <v>30</v>
      </c>
      <c r="F1333" t="s">
        <v>658</v>
      </c>
      <c r="G1333" t="s">
        <v>38</v>
      </c>
      <c r="H1333" t="s">
        <v>87</v>
      </c>
      <c r="I1333" s="1" t="s">
        <v>2222</v>
      </c>
      <c r="J1333" s="1" t="s">
        <v>2223</v>
      </c>
      <c r="K1333" s="1" t="s">
        <v>1992</v>
      </c>
    </row>
    <row r="1334" spans="1:11" ht="60" x14ac:dyDescent="0.25">
      <c r="A1334" t="s">
        <v>37</v>
      </c>
      <c r="B1334" t="s">
        <v>2174</v>
      </c>
      <c r="C1334" t="s">
        <v>235</v>
      </c>
      <c r="D1334" t="s">
        <v>1002</v>
      </c>
      <c r="E1334" t="s">
        <v>30</v>
      </c>
      <c r="F1334" t="s">
        <v>1807</v>
      </c>
      <c r="G1334" t="s">
        <v>38</v>
      </c>
      <c r="H1334" t="s">
        <v>87</v>
      </c>
      <c r="I1334" s="1" t="s">
        <v>2224</v>
      </c>
      <c r="J1334" s="1" t="s">
        <v>2110</v>
      </c>
      <c r="K1334" s="1" t="s">
        <v>2111</v>
      </c>
    </row>
    <row r="1335" spans="1:11" ht="90" x14ac:dyDescent="0.25">
      <c r="A1335" t="s">
        <v>37</v>
      </c>
      <c r="B1335" t="s">
        <v>2174</v>
      </c>
      <c r="C1335" t="s">
        <v>69</v>
      </c>
      <c r="D1335" t="s">
        <v>507</v>
      </c>
      <c r="E1335" t="s">
        <v>79</v>
      </c>
      <c r="F1335" t="s">
        <v>102</v>
      </c>
      <c r="G1335" t="s">
        <v>32</v>
      </c>
      <c r="H1335" t="s">
        <v>173</v>
      </c>
      <c r="I1335" s="1" t="s">
        <v>2225</v>
      </c>
      <c r="J1335" s="1" t="s">
        <v>17</v>
      </c>
      <c r="K1335" s="1" t="s">
        <v>2007</v>
      </c>
    </row>
    <row r="1336" spans="1:11" ht="90" x14ac:dyDescent="0.25">
      <c r="A1336" t="s">
        <v>64</v>
      </c>
      <c r="B1336" t="s">
        <v>2174</v>
      </c>
      <c r="C1336" t="s">
        <v>50</v>
      </c>
      <c r="D1336" t="s">
        <v>843</v>
      </c>
      <c r="E1336" t="s">
        <v>30</v>
      </c>
      <c r="F1336" t="s">
        <v>140</v>
      </c>
      <c r="G1336" t="s">
        <v>81</v>
      </c>
      <c r="H1336" t="s">
        <v>87</v>
      </c>
      <c r="I1336" s="1" t="s">
        <v>2226</v>
      </c>
      <c r="J1336" s="1" t="s">
        <v>436</v>
      </c>
      <c r="K1336" s="1" t="s">
        <v>2100</v>
      </c>
    </row>
    <row r="1337" spans="1:11" ht="75" x14ac:dyDescent="0.25">
      <c r="A1337" t="s">
        <v>37</v>
      </c>
      <c r="B1337" t="s">
        <v>2227</v>
      </c>
      <c r="C1337" t="s">
        <v>180</v>
      </c>
      <c r="D1337" t="s">
        <v>1105</v>
      </c>
      <c r="E1337" t="s">
        <v>30</v>
      </c>
      <c r="F1337" t="s">
        <v>112</v>
      </c>
      <c r="G1337" t="s">
        <v>32</v>
      </c>
      <c r="H1337" t="s">
        <v>87</v>
      </c>
      <c r="I1337" s="1" t="s">
        <v>2228</v>
      </c>
      <c r="J1337" s="1" t="s">
        <v>104</v>
      </c>
      <c r="K1337" s="1" t="s">
        <v>1980</v>
      </c>
    </row>
    <row r="1338" spans="1:11" ht="45" x14ac:dyDescent="0.25">
      <c r="A1338" t="s">
        <v>26</v>
      </c>
      <c r="B1338" t="s">
        <v>2227</v>
      </c>
      <c r="C1338" t="s">
        <v>50</v>
      </c>
      <c r="D1338" t="s">
        <v>1226</v>
      </c>
      <c r="E1338" t="s">
        <v>30</v>
      </c>
      <c r="F1338" t="s">
        <v>119</v>
      </c>
      <c r="G1338" t="s">
        <v>69</v>
      </c>
      <c r="H1338" t="s">
        <v>87</v>
      </c>
      <c r="I1338" s="1" t="s">
        <v>2229</v>
      </c>
      <c r="J1338" s="1" t="s">
        <v>436</v>
      </c>
      <c r="K1338" s="1" t="s">
        <v>2100</v>
      </c>
    </row>
    <row r="1339" spans="1:11" ht="90" x14ac:dyDescent="0.25">
      <c r="A1339" t="s">
        <v>49</v>
      </c>
      <c r="B1339" t="s">
        <v>2227</v>
      </c>
      <c r="C1339" t="s">
        <v>32</v>
      </c>
      <c r="D1339" t="s">
        <v>1915</v>
      </c>
      <c r="E1339" t="s">
        <v>30</v>
      </c>
      <c r="F1339" t="s">
        <v>108</v>
      </c>
      <c r="G1339" t="s">
        <v>69</v>
      </c>
      <c r="H1339" t="s">
        <v>87</v>
      </c>
      <c r="I1339" s="1" t="s">
        <v>2230</v>
      </c>
      <c r="J1339" s="1" t="s">
        <v>717</v>
      </c>
      <c r="K1339" s="1" t="s">
        <v>1859</v>
      </c>
    </row>
    <row r="1340" spans="1:11" ht="45" x14ac:dyDescent="0.25">
      <c r="A1340" t="s">
        <v>91</v>
      </c>
      <c r="B1340" t="s">
        <v>2227</v>
      </c>
      <c r="C1340" t="s">
        <v>180</v>
      </c>
      <c r="D1340" t="s">
        <v>439</v>
      </c>
      <c r="E1340" t="s">
        <v>30</v>
      </c>
      <c r="F1340" t="s">
        <v>98</v>
      </c>
      <c r="G1340" t="s">
        <v>81</v>
      </c>
      <c r="H1340" t="s">
        <v>87</v>
      </c>
      <c r="I1340" s="1" t="s">
        <v>2231</v>
      </c>
      <c r="J1340" s="1" t="s">
        <v>104</v>
      </c>
      <c r="K1340" s="1" t="s">
        <v>1931</v>
      </c>
    </row>
    <row r="1341" spans="1:11" ht="105" x14ac:dyDescent="0.25">
      <c r="A1341" t="s">
        <v>37</v>
      </c>
      <c r="B1341" t="s">
        <v>2227</v>
      </c>
      <c r="C1341" t="s">
        <v>44</v>
      </c>
      <c r="D1341" t="s">
        <v>2232</v>
      </c>
      <c r="E1341" t="s">
        <v>79</v>
      </c>
      <c r="F1341" t="s">
        <v>108</v>
      </c>
      <c r="G1341" t="s">
        <v>81</v>
      </c>
      <c r="H1341" t="s">
        <v>87</v>
      </c>
      <c r="I1341" s="1" t="s">
        <v>2233</v>
      </c>
      <c r="J1341" s="1" t="s">
        <v>2234</v>
      </c>
      <c r="K1341" s="1" t="s">
        <v>1986</v>
      </c>
    </row>
    <row r="1342" spans="1:11" ht="30" x14ac:dyDescent="0.25">
      <c r="A1342" t="s">
        <v>49</v>
      </c>
      <c r="B1342" t="s">
        <v>2227</v>
      </c>
      <c r="C1342" t="s">
        <v>106</v>
      </c>
      <c r="D1342" t="s">
        <v>169</v>
      </c>
      <c r="E1342" t="s">
        <v>30</v>
      </c>
      <c r="F1342" t="s">
        <v>294</v>
      </c>
      <c r="G1342" t="s">
        <v>32</v>
      </c>
      <c r="H1342" t="s">
        <v>173</v>
      </c>
      <c r="I1342" s="1" t="s">
        <v>2235</v>
      </c>
      <c r="J1342" s="1" t="s">
        <v>697</v>
      </c>
      <c r="K1342" s="1" t="s">
        <v>2236</v>
      </c>
    </row>
    <row r="1343" spans="1:11" ht="105" x14ac:dyDescent="0.25">
      <c r="A1343" t="s">
        <v>37</v>
      </c>
      <c r="B1343" t="s">
        <v>2227</v>
      </c>
      <c r="C1343" t="s">
        <v>85</v>
      </c>
      <c r="D1343" t="s">
        <v>405</v>
      </c>
      <c r="E1343" t="s">
        <v>79</v>
      </c>
      <c r="F1343" t="s">
        <v>98</v>
      </c>
      <c r="G1343" t="s">
        <v>81</v>
      </c>
      <c r="H1343" t="s">
        <v>33</v>
      </c>
      <c r="I1343" s="1" t="s">
        <v>2237</v>
      </c>
      <c r="J1343" s="1" t="s">
        <v>2238</v>
      </c>
      <c r="K1343" s="1" t="s">
        <v>2239</v>
      </c>
    </row>
    <row r="1344" spans="1:11" ht="45" x14ac:dyDescent="0.25">
      <c r="A1344" t="s">
        <v>49</v>
      </c>
      <c r="B1344" t="s">
        <v>2227</v>
      </c>
      <c r="C1344" t="s">
        <v>28</v>
      </c>
      <c r="D1344" t="s">
        <v>846</v>
      </c>
      <c r="E1344" t="s">
        <v>30</v>
      </c>
      <c r="F1344" t="s">
        <v>1014</v>
      </c>
      <c r="G1344" t="s">
        <v>69</v>
      </c>
      <c r="H1344" t="s">
        <v>87</v>
      </c>
      <c r="I1344" s="1" t="s">
        <v>2240</v>
      </c>
      <c r="J1344" s="1" t="s">
        <v>697</v>
      </c>
      <c r="K1344" s="1" t="s">
        <v>1910</v>
      </c>
    </row>
    <row r="1345" spans="1:11" ht="105" x14ac:dyDescent="0.25">
      <c r="A1345" t="s">
        <v>37</v>
      </c>
      <c r="B1345" t="s">
        <v>2227</v>
      </c>
      <c r="C1345" t="s">
        <v>50</v>
      </c>
      <c r="D1345" t="s">
        <v>60</v>
      </c>
      <c r="E1345" t="s">
        <v>30</v>
      </c>
      <c r="F1345" t="s">
        <v>246</v>
      </c>
      <c r="G1345" t="s">
        <v>81</v>
      </c>
      <c r="H1345" t="s">
        <v>33</v>
      </c>
      <c r="I1345" s="1" t="s">
        <v>2241</v>
      </c>
      <c r="J1345" s="1" t="s">
        <v>2242</v>
      </c>
      <c r="K1345" s="1" t="s">
        <v>2243</v>
      </c>
    </row>
    <row r="1346" spans="1:11" ht="60" x14ac:dyDescent="0.25">
      <c r="A1346" t="s">
        <v>26</v>
      </c>
      <c r="B1346" t="s">
        <v>2244</v>
      </c>
      <c r="C1346" t="s">
        <v>44</v>
      </c>
      <c r="D1346" t="s">
        <v>655</v>
      </c>
      <c r="E1346" t="s">
        <v>30</v>
      </c>
      <c r="F1346" t="s">
        <v>161</v>
      </c>
      <c r="G1346" t="s">
        <v>32</v>
      </c>
      <c r="H1346" t="s">
        <v>173</v>
      </c>
      <c r="I1346" s="1" t="s">
        <v>2245</v>
      </c>
      <c r="J1346" s="1" t="s">
        <v>877</v>
      </c>
      <c r="K1346" s="1" t="s">
        <v>1856</v>
      </c>
    </row>
    <row r="1347" spans="1:11" ht="90" x14ac:dyDescent="0.25">
      <c r="A1347" t="s">
        <v>49</v>
      </c>
      <c r="B1347" t="s">
        <v>2244</v>
      </c>
      <c r="C1347" t="s">
        <v>28</v>
      </c>
      <c r="D1347" t="s">
        <v>715</v>
      </c>
      <c r="E1347" t="s">
        <v>30</v>
      </c>
      <c r="F1347" t="s">
        <v>307</v>
      </c>
      <c r="G1347" t="s">
        <v>32</v>
      </c>
      <c r="H1347" t="s">
        <v>33</v>
      </c>
      <c r="I1347" s="1" t="s">
        <v>2246</v>
      </c>
      <c r="J1347" s="1" t="s">
        <v>864</v>
      </c>
      <c r="K1347" s="1" t="s">
        <v>2247</v>
      </c>
    </row>
    <row r="1348" spans="1:11" ht="105" x14ac:dyDescent="0.25">
      <c r="A1348" t="s">
        <v>26</v>
      </c>
      <c r="B1348" t="s">
        <v>2244</v>
      </c>
      <c r="C1348" t="s">
        <v>106</v>
      </c>
      <c r="D1348" t="s">
        <v>370</v>
      </c>
      <c r="E1348" t="s">
        <v>30</v>
      </c>
      <c r="F1348" t="s">
        <v>389</v>
      </c>
      <c r="G1348" t="s">
        <v>263</v>
      </c>
      <c r="H1348" t="s">
        <v>87</v>
      </c>
      <c r="I1348" s="1" t="s">
        <v>2248</v>
      </c>
      <c r="J1348" s="1" t="s">
        <v>436</v>
      </c>
      <c r="K1348" s="1" t="s">
        <v>2100</v>
      </c>
    </row>
    <row r="1349" spans="1:11" ht="105" x14ac:dyDescent="0.25">
      <c r="A1349" t="s">
        <v>37</v>
      </c>
      <c r="B1349" t="s">
        <v>2244</v>
      </c>
      <c r="C1349" t="s">
        <v>180</v>
      </c>
      <c r="D1349" t="s">
        <v>2249</v>
      </c>
      <c r="E1349" t="s">
        <v>30</v>
      </c>
      <c r="F1349" t="s">
        <v>166</v>
      </c>
      <c r="G1349" t="s">
        <v>81</v>
      </c>
      <c r="H1349" t="s">
        <v>87</v>
      </c>
      <c r="I1349" s="1" t="s">
        <v>2250</v>
      </c>
      <c r="J1349" s="1" t="s">
        <v>2251</v>
      </c>
      <c r="K1349" s="1" t="s">
        <v>2252</v>
      </c>
    </row>
    <row r="1350" spans="1:11" ht="105" x14ac:dyDescent="0.25">
      <c r="A1350" t="s">
        <v>26</v>
      </c>
      <c r="B1350" t="s">
        <v>2244</v>
      </c>
      <c r="C1350" t="s">
        <v>106</v>
      </c>
      <c r="D1350" t="s">
        <v>616</v>
      </c>
      <c r="E1350" t="s">
        <v>30</v>
      </c>
      <c r="F1350" t="s">
        <v>94</v>
      </c>
      <c r="G1350" t="s">
        <v>32</v>
      </c>
      <c r="H1350" t="s">
        <v>33</v>
      </c>
      <c r="I1350" s="1" t="s">
        <v>2253</v>
      </c>
      <c r="J1350" s="1" t="s">
        <v>1867</v>
      </c>
      <c r="K1350" s="1" t="s">
        <v>1946</v>
      </c>
    </row>
    <row r="1351" spans="1:11" ht="105" x14ac:dyDescent="0.25">
      <c r="A1351" t="s">
        <v>26</v>
      </c>
      <c r="B1351" t="s">
        <v>2254</v>
      </c>
      <c r="C1351" t="s">
        <v>249</v>
      </c>
      <c r="D1351" t="s">
        <v>657</v>
      </c>
      <c r="E1351" t="s">
        <v>30</v>
      </c>
      <c r="F1351" t="s">
        <v>182</v>
      </c>
      <c r="G1351" t="s">
        <v>32</v>
      </c>
      <c r="H1351" t="s">
        <v>87</v>
      </c>
      <c r="I1351" s="1" t="s">
        <v>2255</v>
      </c>
      <c r="J1351" s="1" t="s">
        <v>17</v>
      </c>
      <c r="K1351" s="1" t="s">
        <v>1856</v>
      </c>
    </row>
    <row r="1352" spans="1:11" ht="75" x14ac:dyDescent="0.25">
      <c r="A1352" t="s">
        <v>26</v>
      </c>
      <c r="B1352" t="s">
        <v>2254</v>
      </c>
      <c r="C1352" t="s">
        <v>92</v>
      </c>
      <c r="D1352" t="s">
        <v>111</v>
      </c>
      <c r="E1352" t="s">
        <v>30</v>
      </c>
      <c r="F1352" t="s">
        <v>446</v>
      </c>
      <c r="G1352" t="s">
        <v>81</v>
      </c>
      <c r="H1352" t="s">
        <v>87</v>
      </c>
      <c r="I1352" s="1" t="s">
        <v>2256</v>
      </c>
      <c r="J1352" s="1" t="s">
        <v>684</v>
      </c>
      <c r="K1352" s="1" t="s">
        <v>1980</v>
      </c>
    </row>
    <row r="1353" spans="1:11" ht="45" x14ac:dyDescent="0.25">
      <c r="A1353" t="s">
        <v>26</v>
      </c>
      <c r="B1353" t="s">
        <v>2254</v>
      </c>
      <c r="C1353" t="s">
        <v>96</v>
      </c>
      <c r="D1353" t="s">
        <v>1659</v>
      </c>
      <c r="E1353" t="s">
        <v>30</v>
      </c>
      <c r="F1353" t="s">
        <v>209</v>
      </c>
      <c r="G1353" t="s">
        <v>81</v>
      </c>
      <c r="H1353" t="s">
        <v>87</v>
      </c>
      <c r="I1353" s="1" t="s">
        <v>2257</v>
      </c>
      <c r="J1353" s="1" t="s">
        <v>2086</v>
      </c>
      <c r="K1353" s="1" t="s">
        <v>2258</v>
      </c>
    </row>
    <row r="1354" spans="1:11" ht="90" x14ac:dyDescent="0.25">
      <c r="A1354" t="s">
        <v>26</v>
      </c>
      <c r="B1354" t="s">
        <v>2254</v>
      </c>
      <c r="C1354" t="s">
        <v>235</v>
      </c>
      <c r="D1354" t="s">
        <v>920</v>
      </c>
      <c r="E1354" t="s">
        <v>30</v>
      </c>
      <c r="F1354" t="s">
        <v>719</v>
      </c>
      <c r="G1354" t="s">
        <v>38</v>
      </c>
      <c r="H1354" t="s">
        <v>87</v>
      </c>
      <c r="I1354" s="1" t="s">
        <v>2259</v>
      </c>
      <c r="J1354" s="1" t="s">
        <v>436</v>
      </c>
      <c r="K1354" s="1" t="s">
        <v>2100</v>
      </c>
    </row>
    <row r="1355" spans="1:11" ht="90" x14ac:dyDescent="0.25">
      <c r="A1355" t="s">
        <v>26</v>
      </c>
      <c r="B1355" t="s">
        <v>2254</v>
      </c>
      <c r="C1355" t="s">
        <v>180</v>
      </c>
      <c r="D1355" t="s">
        <v>181</v>
      </c>
      <c r="E1355" t="s">
        <v>30</v>
      </c>
      <c r="F1355" t="s">
        <v>112</v>
      </c>
      <c r="G1355" t="s">
        <v>32</v>
      </c>
      <c r="H1355" t="s">
        <v>173</v>
      </c>
      <c r="I1355" s="1" t="s">
        <v>2260</v>
      </c>
      <c r="J1355" s="1" t="s">
        <v>16</v>
      </c>
      <c r="K1355" s="1" t="s">
        <v>1861</v>
      </c>
    </row>
    <row r="1356" spans="1:11" ht="45" x14ac:dyDescent="0.25">
      <c r="A1356" t="s">
        <v>26</v>
      </c>
      <c r="B1356" t="s">
        <v>2254</v>
      </c>
      <c r="C1356" t="s">
        <v>235</v>
      </c>
      <c r="D1356" t="s">
        <v>270</v>
      </c>
      <c r="E1356" t="s">
        <v>30</v>
      </c>
      <c r="F1356" t="s">
        <v>633</v>
      </c>
      <c r="G1356" t="s">
        <v>69</v>
      </c>
      <c r="H1356" t="s">
        <v>173</v>
      </c>
      <c r="I1356" s="1" t="s">
        <v>2261</v>
      </c>
      <c r="J1356" s="1" t="s">
        <v>15</v>
      </c>
      <c r="K1356" s="1" t="s">
        <v>2061</v>
      </c>
    </row>
    <row r="1357" spans="1:11" ht="75" x14ac:dyDescent="0.25">
      <c r="A1357" t="s">
        <v>59</v>
      </c>
      <c r="B1357" t="s">
        <v>2254</v>
      </c>
      <c r="C1357" t="s">
        <v>55</v>
      </c>
      <c r="D1357" t="s">
        <v>965</v>
      </c>
      <c r="E1357" t="s">
        <v>30</v>
      </c>
      <c r="F1357" t="s">
        <v>46</v>
      </c>
      <c r="G1357" t="s">
        <v>69</v>
      </c>
      <c r="H1357" t="s">
        <v>173</v>
      </c>
      <c r="I1357" s="1" t="s">
        <v>2262</v>
      </c>
      <c r="J1357" s="1" t="s">
        <v>481</v>
      </c>
      <c r="K1357" s="1" t="s">
        <v>1872</v>
      </c>
    </row>
    <row r="1358" spans="1:11" ht="105" x14ac:dyDescent="0.25">
      <c r="A1358" t="s">
        <v>26</v>
      </c>
      <c r="B1358" t="s">
        <v>2254</v>
      </c>
      <c r="C1358" t="s">
        <v>50</v>
      </c>
      <c r="D1358" t="s">
        <v>226</v>
      </c>
      <c r="E1358" t="s">
        <v>30</v>
      </c>
      <c r="F1358" t="s">
        <v>140</v>
      </c>
      <c r="G1358" t="s">
        <v>38</v>
      </c>
      <c r="H1358" t="s">
        <v>87</v>
      </c>
      <c r="I1358" s="1" t="s">
        <v>2263</v>
      </c>
      <c r="J1358" s="1" t="s">
        <v>481</v>
      </c>
      <c r="K1358" s="1" t="s">
        <v>1859</v>
      </c>
    </row>
    <row r="1359" spans="1:11" ht="30" x14ac:dyDescent="0.25">
      <c r="A1359" t="s">
        <v>37</v>
      </c>
      <c r="B1359" t="s">
        <v>2254</v>
      </c>
      <c r="C1359" t="s">
        <v>180</v>
      </c>
      <c r="D1359" t="s">
        <v>439</v>
      </c>
      <c r="E1359" t="s">
        <v>30</v>
      </c>
      <c r="F1359" t="s">
        <v>154</v>
      </c>
      <c r="G1359" t="s">
        <v>32</v>
      </c>
      <c r="H1359" t="s">
        <v>33</v>
      </c>
      <c r="I1359" s="1" t="s">
        <v>2264</v>
      </c>
      <c r="J1359" s="1" t="s">
        <v>481</v>
      </c>
      <c r="K1359" s="1" t="s">
        <v>2037</v>
      </c>
    </row>
    <row r="1360" spans="1:11" ht="105" x14ac:dyDescent="0.25">
      <c r="A1360" t="s">
        <v>26</v>
      </c>
      <c r="B1360" t="s">
        <v>2254</v>
      </c>
      <c r="C1360" t="s">
        <v>44</v>
      </c>
      <c r="D1360" t="s">
        <v>146</v>
      </c>
      <c r="E1360" t="s">
        <v>79</v>
      </c>
      <c r="F1360" t="s">
        <v>446</v>
      </c>
      <c r="G1360" t="s">
        <v>81</v>
      </c>
      <c r="H1360" t="s">
        <v>87</v>
      </c>
      <c r="I1360" s="1" t="s">
        <v>2265</v>
      </c>
      <c r="J1360" s="1" t="s">
        <v>436</v>
      </c>
      <c r="K1360" s="1" t="s">
        <v>2100</v>
      </c>
    </row>
    <row r="1361" spans="1:11" ht="75" x14ac:dyDescent="0.25">
      <c r="A1361" t="s">
        <v>49</v>
      </c>
      <c r="B1361" t="s">
        <v>2254</v>
      </c>
      <c r="C1361" t="s">
        <v>96</v>
      </c>
      <c r="D1361" t="s">
        <v>1898</v>
      </c>
      <c r="E1361" t="s">
        <v>79</v>
      </c>
      <c r="F1361" t="s">
        <v>112</v>
      </c>
      <c r="G1361" t="s">
        <v>69</v>
      </c>
      <c r="H1361" t="s">
        <v>87</v>
      </c>
      <c r="I1361" s="1" t="s">
        <v>2266</v>
      </c>
      <c r="J1361" s="1" t="s">
        <v>2158</v>
      </c>
      <c r="K1361" s="1" t="s">
        <v>2267</v>
      </c>
    </row>
    <row r="1362" spans="1:11" ht="45" x14ac:dyDescent="0.25">
      <c r="A1362" t="s">
        <v>26</v>
      </c>
      <c r="B1362" t="s">
        <v>2268</v>
      </c>
      <c r="C1362" t="s">
        <v>69</v>
      </c>
      <c r="D1362" t="s">
        <v>443</v>
      </c>
      <c r="E1362" t="s">
        <v>30</v>
      </c>
      <c r="F1362" t="s">
        <v>246</v>
      </c>
      <c r="G1362" t="s">
        <v>32</v>
      </c>
      <c r="H1362" t="s">
        <v>33</v>
      </c>
      <c r="I1362" s="1" t="s">
        <v>2269</v>
      </c>
      <c r="J1362" s="1" t="s">
        <v>1867</v>
      </c>
      <c r="K1362" s="1" t="s">
        <v>1847</v>
      </c>
    </row>
    <row r="1363" spans="1:11" ht="120" x14ac:dyDescent="0.25">
      <c r="A1363" t="s">
        <v>26</v>
      </c>
      <c r="B1363" t="s">
        <v>2268</v>
      </c>
      <c r="C1363" t="s">
        <v>235</v>
      </c>
      <c r="D1363" t="s">
        <v>537</v>
      </c>
      <c r="E1363" t="s">
        <v>30</v>
      </c>
      <c r="F1363" t="s">
        <v>61</v>
      </c>
      <c r="G1363" t="s">
        <v>69</v>
      </c>
      <c r="H1363" t="s">
        <v>87</v>
      </c>
      <c r="I1363" s="1" t="s">
        <v>2270</v>
      </c>
      <c r="J1363" s="1" t="s">
        <v>2149</v>
      </c>
      <c r="K1363" s="1" t="s">
        <v>1992</v>
      </c>
    </row>
    <row r="1364" spans="1:11" ht="60" x14ac:dyDescent="0.25">
      <c r="A1364" t="s">
        <v>26</v>
      </c>
      <c r="B1364" t="s">
        <v>2268</v>
      </c>
      <c r="C1364" t="s">
        <v>69</v>
      </c>
      <c r="D1364" t="s">
        <v>2271</v>
      </c>
      <c r="E1364" t="s">
        <v>30</v>
      </c>
      <c r="F1364" t="s">
        <v>98</v>
      </c>
      <c r="G1364" t="s">
        <v>32</v>
      </c>
      <c r="H1364" t="s">
        <v>173</v>
      </c>
      <c r="I1364" s="1" t="s">
        <v>2272</v>
      </c>
      <c r="J1364" s="1" t="s">
        <v>697</v>
      </c>
      <c r="K1364" s="1" t="s">
        <v>2273</v>
      </c>
    </row>
    <row r="1365" spans="1:11" ht="75" x14ac:dyDescent="0.25">
      <c r="A1365" t="s">
        <v>26</v>
      </c>
      <c r="B1365" t="s">
        <v>2268</v>
      </c>
      <c r="C1365" t="s">
        <v>28</v>
      </c>
      <c r="D1365" t="s">
        <v>613</v>
      </c>
      <c r="E1365" t="s">
        <v>30</v>
      </c>
      <c r="F1365" t="s">
        <v>46</v>
      </c>
      <c r="G1365" t="s">
        <v>32</v>
      </c>
      <c r="H1365" t="s">
        <v>173</v>
      </c>
      <c r="I1365" s="1" t="s">
        <v>2274</v>
      </c>
      <c r="J1365" s="1" t="s">
        <v>738</v>
      </c>
      <c r="K1365" s="1" t="s">
        <v>2275</v>
      </c>
    </row>
    <row r="1366" spans="1:11" ht="75" x14ac:dyDescent="0.25">
      <c r="A1366" t="s">
        <v>26</v>
      </c>
      <c r="B1366" t="s">
        <v>2268</v>
      </c>
      <c r="C1366" t="s">
        <v>44</v>
      </c>
      <c r="D1366" t="s">
        <v>68</v>
      </c>
      <c r="E1366" t="s">
        <v>79</v>
      </c>
      <c r="F1366" t="s">
        <v>446</v>
      </c>
      <c r="G1366" t="s">
        <v>32</v>
      </c>
      <c r="H1366" t="s">
        <v>33</v>
      </c>
      <c r="I1366" s="1" t="s">
        <v>2276</v>
      </c>
      <c r="J1366" s="1" t="s">
        <v>426</v>
      </c>
      <c r="K1366" s="1" t="s">
        <v>1946</v>
      </c>
    </row>
    <row r="1367" spans="1:11" ht="75" x14ac:dyDescent="0.25">
      <c r="A1367" t="s">
        <v>26</v>
      </c>
      <c r="B1367" t="s">
        <v>2268</v>
      </c>
      <c r="C1367" t="s">
        <v>44</v>
      </c>
      <c r="D1367" t="s">
        <v>68</v>
      </c>
      <c r="E1367" t="s">
        <v>79</v>
      </c>
      <c r="F1367" t="s">
        <v>119</v>
      </c>
      <c r="G1367" t="s">
        <v>32</v>
      </c>
      <c r="H1367" t="s">
        <v>173</v>
      </c>
      <c r="I1367" s="1" t="s">
        <v>2277</v>
      </c>
      <c r="J1367" s="1" t="s">
        <v>16</v>
      </c>
      <c r="K1367" s="1" t="s">
        <v>1872</v>
      </c>
    </row>
    <row r="1368" spans="1:11" ht="45" x14ac:dyDescent="0.25">
      <c r="A1368" t="s">
        <v>26</v>
      </c>
      <c r="B1368" t="s">
        <v>2268</v>
      </c>
      <c r="C1368" t="s">
        <v>44</v>
      </c>
      <c r="D1368" t="s">
        <v>655</v>
      </c>
      <c r="E1368" t="s">
        <v>79</v>
      </c>
      <c r="F1368" t="s">
        <v>136</v>
      </c>
      <c r="G1368" t="s">
        <v>32</v>
      </c>
      <c r="H1368" t="s">
        <v>87</v>
      </c>
      <c r="I1368" s="1" t="s">
        <v>2278</v>
      </c>
      <c r="J1368" s="1" t="s">
        <v>697</v>
      </c>
      <c r="K1368" s="1" t="s">
        <v>1910</v>
      </c>
    </row>
    <row r="1369" spans="1:11" ht="60" x14ac:dyDescent="0.25">
      <c r="A1369" t="s">
        <v>49</v>
      </c>
      <c r="B1369" t="s">
        <v>2268</v>
      </c>
      <c r="C1369" t="s">
        <v>240</v>
      </c>
      <c r="D1369" t="s">
        <v>2279</v>
      </c>
      <c r="E1369" t="s">
        <v>30</v>
      </c>
      <c r="F1369" t="s">
        <v>182</v>
      </c>
      <c r="G1369" t="s">
        <v>32</v>
      </c>
      <c r="H1369" t="s">
        <v>87</v>
      </c>
      <c r="I1369" s="1" t="s">
        <v>2280</v>
      </c>
      <c r="J1369" s="1" t="s">
        <v>481</v>
      </c>
      <c r="K1369" s="1" t="s">
        <v>1856</v>
      </c>
    </row>
    <row r="1370" spans="1:11" ht="45" x14ac:dyDescent="0.25">
      <c r="A1370" t="s">
        <v>49</v>
      </c>
      <c r="B1370" t="s">
        <v>2268</v>
      </c>
      <c r="C1370" t="s">
        <v>28</v>
      </c>
      <c r="D1370" t="s">
        <v>352</v>
      </c>
      <c r="E1370" t="s">
        <v>30</v>
      </c>
      <c r="F1370" t="s">
        <v>161</v>
      </c>
      <c r="G1370" t="s">
        <v>32</v>
      </c>
      <c r="H1370" t="s">
        <v>33</v>
      </c>
      <c r="I1370" s="1" t="s">
        <v>2281</v>
      </c>
      <c r="J1370" s="1" t="s">
        <v>1867</v>
      </c>
      <c r="K1370" s="1" t="s">
        <v>1847</v>
      </c>
    </row>
    <row r="1371" spans="1:11" ht="75" x14ac:dyDescent="0.25">
      <c r="A1371" t="s">
        <v>26</v>
      </c>
      <c r="B1371" t="s">
        <v>2282</v>
      </c>
      <c r="C1371" t="s">
        <v>106</v>
      </c>
      <c r="D1371" t="s">
        <v>539</v>
      </c>
      <c r="E1371" t="s">
        <v>30</v>
      </c>
      <c r="F1371" t="s">
        <v>260</v>
      </c>
      <c r="G1371" t="s">
        <v>81</v>
      </c>
      <c r="H1371" t="s">
        <v>87</v>
      </c>
      <c r="I1371" s="1" t="s">
        <v>2283</v>
      </c>
      <c r="J1371" s="1" t="s">
        <v>2284</v>
      </c>
      <c r="K1371" s="1" t="s">
        <v>2285</v>
      </c>
    </row>
    <row r="1372" spans="1:11" ht="45" x14ac:dyDescent="0.25">
      <c r="A1372" t="s">
        <v>26</v>
      </c>
      <c r="B1372" t="s">
        <v>2282</v>
      </c>
      <c r="C1372" t="s">
        <v>96</v>
      </c>
      <c r="D1372" t="s">
        <v>1659</v>
      </c>
      <c r="E1372" t="s">
        <v>30</v>
      </c>
      <c r="F1372" t="s">
        <v>136</v>
      </c>
      <c r="G1372" t="s">
        <v>69</v>
      </c>
      <c r="H1372" t="s">
        <v>87</v>
      </c>
      <c r="I1372" s="1" t="s">
        <v>2286</v>
      </c>
      <c r="J1372" s="1" t="s">
        <v>481</v>
      </c>
      <c r="K1372" s="1" t="s">
        <v>1910</v>
      </c>
    </row>
    <row r="1373" spans="1:11" ht="60" x14ac:dyDescent="0.25">
      <c r="A1373" t="s">
        <v>26</v>
      </c>
      <c r="B1373" t="s">
        <v>2282</v>
      </c>
      <c r="C1373" t="s">
        <v>92</v>
      </c>
      <c r="D1373" t="s">
        <v>1505</v>
      </c>
      <c r="E1373" t="s">
        <v>30</v>
      </c>
      <c r="F1373" t="s">
        <v>587</v>
      </c>
      <c r="G1373" t="s">
        <v>81</v>
      </c>
      <c r="H1373" t="s">
        <v>87</v>
      </c>
      <c r="I1373" s="1" t="s">
        <v>2287</v>
      </c>
      <c r="J1373" s="1" t="s">
        <v>481</v>
      </c>
      <c r="K1373" s="1" t="s">
        <v>1910</v>
      </c>
    </row>
    <row r="1374" spans="1:11" ht="45" x14ac:dyDescent="0.25">
      <c r="A1374" t="s">
        <v>26</v>
      </c>
      <c r="B1374" t="s">
        <v>2282</v>
      </c>
      <c r="C1374" t="s">
        <v>249</v>
      </c>
      <c r="D1374" t="s">
        <v>411</v>
      </c>
      <c r="E1374" t="s">
        <v>30</v>
      </c>
      <c r="F1374" t="s">
        <v>246</v>
      </c>
      <c r="G1374" t="s">
        <v>69</v>
      </c>
      <c r="H1374" t="s">
        <v>87</v>
      </c>
      <c r="I1374" s="1" t="s">
        <v>2288</v>
      </c>
      <c r="J1374" s="1" t="s">
        <v>481</v>
      </c>
      <c r="K1374" s="1" t="s">
        <v>1872</v>
      </c>
    </row>
    <row r="1375" spans="1:11" ht="60" x14ac:dyDescent="0.25">
      <c r="A1375" t="s">
        <v>26</v>
      </c>
      <c r="B1375" t="s">
        <v>2282</v>
      </c>
      <c r="C1375" t="s">
        <v>96</v>
      </c>
      <c r="D1375" t="s">
        <v>97</v>
      </c>
      <c r="E1375" t="s">
        <v>79</v>
      </c>
      <c r="F1375" t="s">
        <v>119</v>
      </c>
      <c r="G1375" t="s">
        <v>32</v>
      </c>
      <c r="H1375" t="s">
        <v>33</v>
      </c>
      <c r="I1375" s="1" t="s">
        <v>2289</v>
      </c>
      <c r="J1375" s="1" t="s">
        <v>2203</v>
      </c>
    </row>
    <row r="1376" spans="1:11" ht="60" x14ac:dyDescent="0.25">
      <c r="A1376" t="s">
        <v>26</v>
      </c>
      <c r="B1376" t="s">
        <v>2282</v>
      </c>
      <c r="C1376" t="s">
        <v>55</v>
      </c>
      <c r="D1376" t="s">
        <v>279</v>
      </c>
      <c r="E1376" t="s">
        <v>30</v>
      </c>
      <c r="F1376" t="s">
        <v>189</v>
      </c>
      <c r="G1376" t="s">
        <v>32</v>
      </c>
      <c r="H1376" t="s">
        <v>87</v>
      </c>
      <c r="I1376" s="1" t="s">
        <v>2290</v>
      </c>
      <c r="J1376" s="1" t="s">
        <v>15</v>
      </c>
      <c r="K1376" s="1" t="s">
        <v>2291</v>
      </c>
    </row>
    <row r="1377" spans="1:11" ht="45" x14ac:dyDescent="0.25">
      <c r="A1377" t="s">
        <v>26</v>
      </c>
      <c r="B1377" t="s">
        <v>2282</v>
      </c>
      <c r="C1377" t="s">
        <v>69</v>
      </c>
      <c r="D1377" t="s">
        <v>557</v>
      </c>
      <c r="E1377" t="s">
        <v>30</v>
      </c>
      <c r="F1377" t="s">
        <v>61</v>
      </c>
      <c r="G1377" t="s">
        <v>81</v>
      </c>
      <c r="H1377" t="s">
        <v>173</v>
      </c>
      <c r="I1377" s="1" t="s">
        <v>2292</v>
      </c>
      <c r="J1377" s="1" t="s">
        <v>16</v>
      </c>
      <c r="K1377" s="1" t="s">
        <v>1952</v>
      </c>
    </row>
    <row r="1378" spans="1:11" ht="105" x14ac:dyDescent="0.25">
      <c r="A1378" t="s">
        <v>26</v>
      </c>
      <c r="B1378" t="s">
        <v>2282</v>
      </c>
      <c r="C1378" t="s">
        <v>69</v>
      </c>
      <c r="D1378" t="s">
        <v>819</v>
      </c>
      <c r="E1378" t="s">
        <v>30</v>
      </c>
      <c r="F1378" t="s">
        <v>154</v>
      </c>
      <c r="G1378" t="s">
        <v>81</v>
      </c>
      <c r="H1378" t="s">
        <v>33</v>
      </c>
      <c r="I1378" s="1" t="s">
        <v>2293</v>
      </c>
      <c r="J1378" s="1" t="s">
        <v>481</v>
      </c>
      <c r="K1378" s="1" t="s">
        <v>2294</v>
      </c>
    </row>
    <row r="1379" spans="1:11" ht="120" x14ac:dyDescent="0.25">
      <c r="A1379" t="s">
        <v>26</v>
      </c>
      <c r="B1379" t="s">
        <v>2282</v>
      </c>
      <c r="C1379" t="s">
        <v>50</v>
      </c>
      <c r="D1379" t="s">
        <v>2295</v>
      </c>
      <c r="E1379" t="s">
        <v>30</v>
      </c>
      <c r="F1379" t="s">
        <v>112</v>
      </c>
      <c r="G1379" t="s">
        <v>69</v>
      </c>
      <c r="H1379" t="s">
        <v>87</v>
      </c>
      <c r="I1379" s="1" t="s">
        <v>2296</v>
      </c>
      <c r="J1379" s="1" t="s">
        <v>2124</v>
      </c>
      <c r="K1379" s="1" t="s">
        <v>2297</v>
      </c>
    </row>
    <row r="1380" spans="1:11" ht="105" x14ac:dyDescent="0.25">
      <c r="A1380" t="s">
        <v>37</v>
      </c>
      <c r="B1380" t="s">
        <v>2282</v>
      </c>
      <c r="C1380" t="s">
        <v>44</v>
      </c>
      <c r="D1380" t="s">
        <v>215</v>
      </c>
      <c r="E1380" t="s">
        <v>79</v>
      </c>
      <c r="F1380" t="s">
        <v>446</v>
      </c>
      <c r="G1380" t="s">
        <v>32</v>
      </c>
      <c r="H1380" t="s">
        <v>87</v>
      </c>
      <c r="I1380" s="1" t="s">
        <v>2298</v>
      </c>
      <c r="J1380" s="1" t="s">
        <v>21</v>
      </c>
      <c r="K1380" s="1" t="s">
        <v>2299</v>
      </c>
    </row>
    <row r="1381" spans="1:11" ht="75" x14ac:dyDescent="0.25">
      <c r="A1381" t="s">
        <v>49</v>
      </c>
      <c r="B1381" t="s">
        <v>2282</v>
      </c>
      <c r="C1381" t="s">
        <v>249</v>
      </c>
      <c r="D1381" t="s">
        <v>306</v>
      </c>
      <c r="E1381" t="s">
        <v>30</v>
      </c>
      <c r="F1381" t="s">
        <v>492</v>
      </c>
      <c r="G1381" t="s">
        <v>81</v>
      </c>
      <c r="H1381" t="s">
        <v>173</v>
      </c>
      <c r="I1381" s="1" t="s">
        <v>2300</v>
      </c>
      <c r="J1381" s="1" t="s">
        <v>436</v>
      </c>
      <c r="K1381" s="1" t="s">
        <v>2301</v>
      </c>
    </row>
    <row r="1382" spans="1:11" ht="75" x14ac:dyDescent="0.25">
      <c r="A1382" t="s">
        <v>26</v>
      </c>
      <c r="B1382" t="s">
        <v>2282</v>
      </c>
      <c r="C1382" t="s">
        <v>44</v>
      </c>
      <c r="D1382" t="s">
        <v>655</v>
      </c>
      <c r="E1382" t="s">
        <v>30</v>
      </c>
      <c r="F1382" t="s">
        <v>61</v>
      </c>
      <c r="G1382" t="s">
        <v>69</v>
      </c>
      <c r="H1382" t="s">
        <v>173</v>
      </c>
      <c r="I1382" s="1" t="s">
        <v>2302</v>
      </c>
      <c r="J1382" s="1" t="s">
        <v>872</v>
      </c>
      <c r="K1382" s="1" t="s">
        <v>1963</v>
      </c>
    </row>
    <row r="1383" spans="1:11" ht="60" x14ac:dyDescent="0.25">
      <c r="A1383" t="s">
        <v>91</v>
      </c>
      <c r="B1383" t="s">
        <v>2282</v>
      </c>
      <c r="C1383" t="s">
        <v>263</v>
      </c>
      <c r="D1383" t="s">
        <v>2303</v>
      </c>
      <c r="E1383" t="s">
        <v>30</v>
      </c>
      <c r="F1383" t="s">
        <v>1103</v>
      </c>
      <c r="G1383" t="s">
        <v>81</v>
      </c>
      <c r="H1383" t="s">
        <v>173</v>
      </c>
      <c r="I1383" s="1" t="s">
        <v>2304</v>
      </c>
      <c r="J1383" s="1" t="s">
        <v>1852</v>
      </c>
      <c r="K1383" s="1" t="s">
        <v>2305</v>
      </c>
    </row>
    <row r="1384" spans="1:11" ht="60" x14ac:dyDescent="0.25">
      <c r="A1384" t="s">
        <v>49</v>
      </c>
      <c r="B1384" t="s">
        <v>2282</v>
      </c>
      <c r="C1384" t="s">
        <v>50</v>
      </c>
      <c r="D1384" t="s">
        <v>843</v>
      </c>
      <c r="E1384" t="s">
        <v>30</v>
      </c>
      <c r="F1384" t="s">
        <v>94</v>
      </c>
      <c r="G1384" t="s">
        <v>32</v>
      </c>
      <c r="H1384" t="s">
        <v>33</v>
      </c>
      <c r="I1384" s="1" t="s">
        <v>2306</v>
      </c>
      <c r="J1384" s="1" t="s">
        <v>426</v>
      </c>
      <c r="K1384" s="1" t="s">
        <v>1946</v>
      </c>
    </row>
    <row r="1385" spans="1:11" ht="90" x14ac:dyDescent="0.25">
      <c r="A1385" t="s">
        <v>37</v>
      </c>
      <c r="B1385" t="s">
        <v>2282</v>
      </c>
      <c r="C1385" t="s">
        <v>50</v>
      </c>
      <c r="D1385" t="s">
        <v>836</v>
      </c>
      <c r="E1385" t="s">
        <v>30</v>
      </c>
      <c r="F1385" t="s">
        <v>136</v>
      </c>
      <c r="G1385" t="s">
        <v>32</v>
      </c>
      <c r="H1385" t="s">
        <v>33</v>
      </c>
      <c r="I1385" s="1" t="s">
        <v>2307</v>
      </c>
      <c r="J1385" s="1" t="s">
        <v>426</v>
      </c>
      <c r="K1385" s="1" t="s">
        <v>2013</v>
      </c>
    </row>
    <row r="1386" spans="1:11" ht="45" x14ac:dyDescent="0.25">
      <c r="A1386" t="s">
        <v>49</v>
      </c>
      <c r="B1386" t="s">
        <v>2282</v>
      </c>
      <c r="C1386" t="s">
        <v>85</v>
      </c>
      <c r="D1386" t="s">
        <v>2308</v>
      </c>
      <c r="E1386" t="s">
        <v>30</v>
      </c>
      <c r="F1386" t="s">
        <v>161</v>
      </c>
      <c r="G1386" t="s">
        <v>32</v>
      </c>
      <c r="H1386" t="s">
        <v>33</v>
      </c>
      <c r="I1386" s="1" t="s">
        <v>2309</v>
      </c>
      <c r="J1386" s="1" t="s">
        <v>426</v>
      </c>
      <c r="K1386" s="1" t="s">
        <v>1847</v>
      </c>
    </row>
    <row r="1387" spans="1:11" ht="30" x14ac:dyDescent="0.25">
      <c r="A1387" t="s">
        <v>37</v>
      </c>
      <c r="B1387" t="s">
        <v>2282</v>
      </c>
      <c r="C1387" t="s">
        <v>180</v>
      </c>
      <c r="D1387" t="s">
        <v>439</v>
      </c>
      <c r="E1387" t="s">
        <v>30</v>
      </c>
      <c r="F1387" t="s">
        <v>492</v>
      </c>
      <c r="G1387" t="s">
        <v>69</v>
      </c>
      <c r="H1387" t="s">
        <v>87</v>
      </c>
      <c r="I1387" s="1" t="s">
        <v>2310</v>
      </c>
      <c r="J1387" s="1" t="s">
        <v>689</v>
      </c>
      <c r="K1387" s="1" t="s">
        <v>2043</v>
      </c>
    </row>
    <row r="1388" spans="1:11" ht="90" x14ac:dyDescent="0.25">
      <c r="A1388" t="s">
        <v>37</v>
      </c>
      <c r="B1388" t="s">
        <v>2282</v>
      </c>
      <c r="C1388" t="s">
        <v>28</v>
      </c>
      <c r="D1388" t="s">
        <v>763</v>
      </c>
      <c r="E1388" t="s">
        <v>30</v>
      </c>
      <c r="F1388" t="s">
        <v>205</v>
      </c>
      <c r="G1388" t="s">
        <v>32</v>
      </c>
      <c r="H1388" t="s">
        <v>33</v>
      </c>
      <c r="I1388" s="1" t="s">
        <v>2311</v>
      </c>
      <c r="J1388" s="1" t="s">
        <v>426</v>
      </c>
      <c r="K1388" s="1" t="s">
        <v>1946</v>
      </c>
    </row>
    <row r="1389" spans="1:11" ht="90" x14ac:dyDescent="0.25">
      <c r="A1389" t="s">
        <v>26</v>
      </c>
      <c r="B1389" t="s">
        <v>2312</v>
      </c>
      <c r="C1389" t="s">
        <v>69</v>
      </c>
      <c r="D1389" t="s">
        <v>2313</v>
      </c>
      <c r="E1389" t="s">
        <v>30</v>
      </c>
      <c r="F1389" t="s">
        <v>205</v>
      </c>
      <c r="G1389" t="s">
        <v>69</v>
      </c>
      <c r="H1389" t="s">
        <v>173</v>
      </c>
      <c r="I1389" s="1" t="s">
        <v>2314</v>
      </c>
      <c r="J1389" s="1" t="s">
        <v>2161</v>
      </c>
      <c r="K1389" s="1" t="s">
        <v>2315</v>
      </c>
    </row>
    <row r="1390" spans="1:11" ht="105" x14ac:dyDescent="0.25">
      <c r="A1390" t="s">
        <v>26</v>
      </c>
      <c r="B1390" t="s">
        <v>2312</v>
      </c>
      <c r="C1390" t="s">
        <v>106</v>
      </c>
      <c r="D1390" t="s">
        <v>370</v>
      </c>
      <c r="E1390" t="s">
        <v>30</v>
      </c>
      <c r="F1390" t="s">
        <v>61</v>
      </c>
      <c r="G1390" t="s">
        <v>32</v>
      </c>
      <c r="H1390" t="s">
        <v>33</v>
      </c>
      <c r="I1390" s="1" t="s">
        <v>2316</v>
      </c>
      <c r="J1390" s="1" t="s">
        <v>1867</v>
      </c>
      <c r="K1390" s="1" t="s">
        <v>1847</v>
      </c>
    </row>
    <row r="1391" spans="1:11" ht="60" x14ac:dyDescent="0.25">
      <c r="A1391" t="s">
        <v>59</v>
      </c>
      <c r="B1391" t="s">
        <v>2312</v>
      </c>
      <c r="C1391" t="s">
        <v>249</v>
      </c>
      <c r="D1391" t="s">
        <v>657</v>
      </c>
      <c r="E1391" t="s">
        <v>79</v>
      </c>
      <c r="F1391" t="s">
        <v>46</v>
      </c>
      <c r="G1391" t="s">
        <v>32</v>
      </c>
      <c r="H1391" t="s">
        <v>87</v>
      </c>
      <c r="I1391" s="1" t="s">
        <v>2317</v>
      </c>
      <c r="J1391" s="1" t="s">
        <v>16</v>
      </c>
      <c r="K1391" s="1" t="s">
        <v>1861</v>
      </c>
    </row>
    <row r="1392" spans="1:11" ht="90" x14ac:dyDescent="0.25">
      <c r="A1392" t="s">
        <v>26</v>
      </c>
      <c r="B1392" t="s">
        <v>2312</v>
      </c>
      <c r="C1392" t="s">
        <v>32</v>
      </c>
      <c r="D1392" t="s">
        <v>101</v>
      </c>
      <c r="E1392" t="s">
        <v>30</v>
      </c>
      <c r="F1392" t="s">
        <v>161</v>
      </c>
      <c r="G1392" t="s">
        <v>32</v>
      </c>
      <c r="H1392" t="s">
        <v>87</v>
      </c>
      <c r="I1392" s="1" t="s">
        <v>2318</v>
      </c>
      <c r="J1392" s="1" t="s">
        <v>684</v>
      </c>
      <c r="K1392" s="1" t="s">
        <v>1980</v>
      </c>
    </row>
    <row r="1393" spans="1:11" ht="60" x14ac:dyDescent="0.25">
      <c r="A1393" t="s">
        <v>26</v>
      </c>
      <c r="B1393" t="s">
        <v>2312</v>
      </c>
      <c r="C1393" t="s">
        <v>85</v>
      </c>
      <c r="D1393" t="s">
        <v>667</v>
      </c>
      <c r="E1393" t="s">
        <v>30</v>
      </c>
      <c r="F1393" t="s">
        <v>216</v>
      </c>
      <c r="G1393" t="s">
        <v>32</v>
      </c>
      <c r="H1393" t="s">
        <v>33</v>
      </c>
      <c r="I1393" s="1" t="s">
        <v>2319</v>
      </c>
      <c r="J1393" s="1" t="s">
        <v>14</v>
      </c>
      <c r="K1393" s="1" t="s">
        <v>1847</v>
      </c>
    </row>
    <row r="1394" spans="1:11" ht="60" x14ac:dyDescent="0.25">
      <c r="A1394" t="s">
        <v>49</v>
      </c>
      <c r="B1394" t="s">
        <v>2312</v>
      </c>
      <c r="C1394" t="s">
        <v>44</v>
      </c>
      <c r="D1394" t="s">
        <v>267</v>
      </c>
      <c r="E1394" t="s">
        <v>79</v>
      </c>
      <c r="F1394" t="s">
        <v>290</v>
      </c>
      <c r="G1394" t="s">
        <v>32</v>
      </c>
      <c r="H1394" t="s">
        <v>33</v>
      </c>
      <c r="I1394" s="1" t="s">
        <v>2320</v>
      </c>
      <c r="J1394" s="1" t="s">
        <v>1867</v>
      </c>
      <c r="K1394" s="1" t="s">
        <v>1847</v>
      </c>
    </row>
    <row r="1395" spans="1:11" ht="90" x14ac:dyDescent="0.25">
      <c r="A1395" t="s">
        <v>37</v>
      </c>
      <c r="B1395" t="s">
        <v>2312</v>
      </c>
      <c r="C1395" t="s">
        <v>85</v>
      </c>
      <c r="D1395" t="s">
        <v>2126</v>
      </c>
      <c r="E1395" t="s">
        <v>30</v>
      </c>
      <c r="F1395" t="s">
        <v>108</v>
      </c>
      <c r="G1395" t="s">
        <v>69</v>
      </c>
      <c r="H1395" t="s">
        <v>173</v>
      </c>
      <c r="I1395" s="1" t="s">
        <v>2321</v>
      </c>
      <c r="J1395" s="1" t="s">
        <v>17</v>
      </c>
      <c r="K1395" s="1" t="s">
        <v>2322</v>
      </c>
    </row>
    <row r="1396" spans="1:11" ht="105" x14ac:dyDescent="0.25">
      <c r="A1396" t="s">
        <v>1243</v>
      </c>
      <c r="B1396" t="s">
        <v>2268</v>
      </c>
      <c r="C1396" t="s">
        <v>30</v>
      </c>
      <c r="D1396" t="s">
        <v>719</v>
      </c>
      <c r="E1396">
        <v>10</v>
      </c>
      <c r="F1396" t="s">
        <v>2323</v>
      </c>
      <c r="G1396" t="s">
        <v>38</v>
      </c>
      <c r="H1396" t="s">
        <v>87</v>
      </c>
      <c r="I1396" s="1" t="s">
        <v>2324</v>
      </c>
      <c r="J1396" s="1" t="s">
        <v>481</v>
      </c>
      <c r="K1396" s="1" t="s">
        <v>1872</v>
      </c>
    </row>
    <row r="1397" spans="1:11" ht="105" x14ac:dyDescent="0.25">
      <c r="A1397" t="s">
        <v>1243</v>
      </c>
      <c r="B1397" t="s">
        <v>2282</v>
      </c>
      <c r="C1397" t="s">
        <v>79</v>
      </c>
      <c r="D1397" t="s">
        <v>492</v>
      </c>
      <c r="E1397">
        <v>17</v>
      </c>
      <c r="F1397" t="s">
        <v>2325</v>
      </c>
      <c r="G1397" t="s">
        <v>81</v>
      </c>
      <c r="H1397" t="s">
        <v>87</v>
      </c>
      <c r="I1397" s="1" t="s">
        <v>2326</v>
      </c>
      <c r="J1397" s="1" t="s">
        <v>481</v>
      </c>
      <c r="K1397" s="1" t="s">
        <v>2327</v>
      </c>
    </row>
    <row r="1398" spans="1:11" ht="30" x14ac:dyDescent="0.25">
      <c r="A1398" t="s">
        <v>26</v>
      </c>
      <c r="B1398" t="s">
        <v>2328</v>
      </c>
      <c r="C1398" t="s">
        <v>249</v>
      </c>
      <c r="D1398" t="s">
        <v>880</v>
      </c>
      <c r="E1398" t="s">
        <v>30</v>
      </c>
      <c r="F1398" t="s">
        <v>154</v>
      </c>
      <c r="G1398" t="s">
        <v>32</v>
      </c>
      <c r="H1398" t="s">
        <v>33</v>
      </c>
      <c r="I1398" s="1" t="s">
        <v>2329</v>
      </c>
      <c r="J1398" s="1" t="s">
        <v>854</v>
      </c>
      <c r="K1398" s="1" t="s">
        <v>2330</v>
      </c>
    </row>
    <row r="1399" spans="1:11" ht="105" x14ac:dyDescent="0.25">
      <c r="A1399" t="s">
        <v>26</v>
      </c>
      <c r="B1399" t="s">
        <v>2328</v>
      </c>
      <c r="C1399" t="s">
        <v>263</v>
      </c>
      <c r="D1399" t="s">
        <v>264</v>
      </c>
      <c r="E1399" t="s">
        <v>79</v>
      </c>
      <c r="F1399" t="s">
        <v>147</v>
      </c>
      <c r="G1399" t="s">
        <v>69</v>
      </c>
      <c r="H1399" t="s">
        <v>173</v>
      </c>
      <c r="I1399" s="1" t="s">
        <v>2331</v>
      </c>
      <c r="J1399" s="1" t="s">
        <v>436</v>
      </c>
      <c r="K1399" s="1" t="s">
        <v>2332</v>
      </c>
    </row>
    <row r="1400" spans="1:11" ht="30" x14ac:dyDescent="0.25">
      <c r="A1400" t="s">
        <v>26</v>
      </c>
      <c r="B1400" t="s">
        <v>2328</v>
      </c>
      <c r="C1400" t="s">
        <v>249</v>
      </c>
      <c r="D1400" t="s">
        <v>657</v>
      </c>
      <c r="E1400" t="s">
        <v>30</v>
      </c>
      <c r="F1400" t="s">
        <v>61</v>
      </c>
      <c r="G1400" t="s">
        <v>32</v>
      </c>
      <c r="H1400" t="s">
        <v>87</v>
      </c>
      <c r="I1400" s="1" t="s">
        <v>2333</v>
      </c>
      <c r="J1400" s="1" t="s">
        <v>697</v>
      </c>
      <c r="K1400" s="1" t="s">
        <v>2334</v>
      </c>
    </row>
    <row r="1401" spans="1:11" ht="120" x14ac:dyDescent="0.25">
      <c r="A1401" t="s">
        <v>26</v>
      </c>
      <c r="B1401" t="s">
        <v>2328</v>
      </c>
      <c r="C1401" t="s">
        <v>249</v>
      </c>
      <c r="D1401" t="s">
        <v>2335</v>
      </c>
      <c r="E1401" t="s">
        <v>79</v>
      </c>
      <c r="F1401" t="s">
        <v>182</v>
      </c>
      <c r="G1401" t="s">
        <v>32</v>
      </c>
      <c r="H1401" t="s">
        <v>173</v>
      </c>
      <c r="I1401" s="1" t="s">
        <v>2336</v>
      </c>
      <c r="J1401" s="1" t="s">
        <v>1924</v>
      </c>
      <c r="K1401" s="1" t="s">
        <v>2337</v>
      </c>
    </row>
    <row r="1402" spans="1:11" x14ac:dyDescent="0.25">
      <c r="A1402" t="s">
        <v>26</v>
      </c>
      <c r="B1402" t="s">
        <v>2328</v>
      </c>
      <c r="C1402" t="s">
        <v>106</v>
      </c>
      <c r="D1402" t="s">
        <v>803</v>
      </c>
      <c r="E1402" t="s">
        <v>30</v>
      </c>
      <c r="F1402" t="s">
        <v>389</v>
      </c>
      <c r="G1402" t="s">
        <v>69</v>
      </c>
      <c r="H1402" t="s">
        <v>87</v>
      </c>
      <c r="I1402" s="1" t="s">
        <v>2338</v>
      </c>
      <c r="J1402" s="1" t="s">
        <v>697</v>
      </c>
      <c r="K1402" s="1" t="s">
        <v>2339</v>
      </c>
    </row>
    <row r="1403" spans="1:11" ht="105" x14ac:dyDescent="0.25">
      <c r="A1403" t="s">
        <v>26</v>
      </c>
      <c r="B1403" t="s">
        <v>2328</v>
      </c>
      <c r="C1403" t="s">
        <v>106</v>
      </c>
      <c r="D1403" t="s">
        <v>1076</v>
      </c>
      <c r="E1403" t="s">
        <v>30</v>
      </c>
      <c r="F1403" t="s">
        <v>602</v>
      </c>
      <c r="G1403" t="s">
        <v>32</v>
      </c>
      <c r="H1403" t="s">
        <v>87</v>
      </c>
      <c r="I1403" s="1" t="s">
        <v>2340</v>
      </c>
      <c r="J1403" s="1" t="s">
        <v>753</v>
      </c>
      <c r="K1403" s="1" t="s">
        <v>2341</v>
      </c>
    </row>
    <row r="1404" spans="1:11" ht="45" x14ac:dyDescent="0.25">
      <c r="A1404" t="s">
        <v>26</v>
      </c>
      <c r="B1404" t="s">
        <v>2328</v>
      </c>
      <c r="C1404" t="s">
        <v>249</v>
      </c>
      <c r="D1404" t="s">
        <v>355</v>
      </c>
      <c r="E1404" t="s">
        <v>30</v>
      </c>
      <c r="F1404" t="s">
        <v>202</v>
      </c>
      <c r="G1404" t="s">
        <v>32</v>
      </c>
      <c r="H1404" t="s">
        <v>33</v>
      </c>
      <c r="I1404" s="1" t="s">
        <v>2342</v>
      </c>
      <c r="J1404" s="1" t="s">
        <v>2343</v>
      </c>
      <c r="K1404" s="1" t="s">
        <v>2344</v>
      </c>
    </row>
    <row r="1405" spans="1:11" ht="45" x14ac:dyDescent="0.25">
      <c r="A1405" t="s">
        <v>26</v>
      </c>
      <c r="B1405" t="s">
        <v>2328</v>
      </c>
      <c r="C1405" t="s">
        <v>240</v>
      </c>
      <c r="D1405" t="s">
        <v>504</v>
      </c>
      <c r="E1405" t="s">
        <v>30</v>
      </c>
      <c r="F1405" t="s">
        <v>136</v>
      </c>
      <c r="G1405" t="s">
        <v>32</v>
      </c>
      <c r="H1405" t="s">
        <v>33</v>
      </c>
      <c r="I1405" s="1" t="s">
        <v>2345</v>
      </c>
      <c r="J1405" s="1" t="s">
        <v>1867</v>
      </c>
      <c r="K1405" s="1" t="s">
        <v>2346</v>
      </c>
    </row>
    <row r="1406" spans="1:11" x14ac:dyDescent="0.25">
      <c r="A1406" t="s">
        <v>26</v>
      </c>
      <c r="B1406" t="s">
        <v>2328</v>
      </c>
      <c r="C1406" t="s">
        <v>44</v>
      </c>
      <c r="D1406" t="s">
        <v>616</v>
      </c>
      <c r="E1406" t="s">
        <v>30</v>
      </c>
      <c r="F1406" t="s">
        <v>186</v>
      </c>
      <c r="G1406" t="s">
        <v>69</v>
      </c>
      <c r="H1406" t="s">
        <v>87</v>
      </c>
      <c r="I1406" s="1" t="s">
        <v>2347</v>
      </c>
      <c r="J1406" s="1" t="s">
        <v>16</v>
      </c>
      <c r="K1406" s="1" t="s">
        <v>2348</v>
      </c>
    </row>
    <row r="1407" spans="1:11" ht="120" x14ac:dyDescent="0.25">
      <c r="A1407" t="s">
        <v>26</v>
      </c>
      <c r="B1407" t="s">
        <v>2328</v>
      </c>
      <c r="C1407" t="s">
        <v>96</v>
      </c>
      <c r="D1407" t="s">
        <v>2349</v>
      </c>
      <c r="E1407" t="s">
        <v>30</v>
      </c>
      <c r="F1407" t="s">
        <v>94</v>
      </c>
      <c r="G1407" t="s">
        <v>32</v>
      </c>
      <c r="H1407" t="s">
        <v>87</v>
      </c>
      <c r="I1407" s="1" t="s">
        <v>2350</v>
      </c>
      <c r="J1407" s="1" t="s">
        <v>436</v>
      </c>
      <c r="K1407" s="1" t="s">
        <v>2351</v>
      </c>
    </row>
    <row r="1408" spans="1:11" ht="60" x14ac:dyDescent="0.25">
      <c r="A1408" t="s">
        <v>26</v>
      </c>
      <c r="B1408" t="s">
        <v>2328</v>
      </c>
      <c r="C1408" t="s">
        <v>73</v>
      </c>
      <c r="D1408" t="s">
        <v>862</v>
      </c>
      <c r="E1408" t="s">
        <v>30</v>
      </c>
      <c r="F1408" t="s">
        <v>209</v>
      </c>
      <c r="G1408" t="s">
        <v>69</v>
      </c>
      <c r="H1408" t="s">
        <v>33</v>
      </c>
      <c r="I1408" s="1" t="s">
        <v>2352</v>
      </c>
      <c r="J1408" s="1" t="s">
        <v>2353</v>
      </c>
      <c r="K1408" s="1" t="s">
        <v>2354</v>
      </c>
    </row>
    <row r="1409" spans="1:11" ht="120" x14ac:dyDescent="0.25">
      <c r="A1409" t="s">
        <v>26</v>
      </c>
      <c r="B1409" t="s">
        <v>2328</v>
      </c>
      <c r="C1409" t="s">
        <v>240</v>
      </c>
      <c r="D1409" t="s">
        <v>1309</v>
      </c>
      <c r="E1409" t="s">
        <v>30</v>
      </c>
      <c r="F1409" t="s">
        <v>119</v>
      </c>
      <c r="G1409" t="s">
        <v>69</v>
      </c>
      <c r="H1409" t="s">
        <v>87</v>
      </c>
      <c r="I1409" s="1" t="s">
        <v>2355</v>
      </c>
      <c r="J1409" s="1" t="s">
        <v>2343</v>
      </c>
      <c r="K1409" s="1" t="s">
        <v>2356</v>
      </c>
    </row>
    <row r="1410" spans="1:11" ht="30" x14ac:dyDescent="0.25">
      <c r="A1410" t="s">
        <v>26</v>
      </c>
      <c r="B1410" t="s">
        <v>2328</v>
      </c>
      <c r="C1410" t="s">
        <v>85</v>
      </c>
      <c r="D1410" t="s">
        <v>510</v>
      </c>
      <c r="E1410" t="s">
        <v>30</v>
      </c>
      <c r="F1410" t="s">
        <v>246</v>
      </c>
      <c r="G1410" t="s">
        <v>32</v>
      </c>
      <c r="H1410" t="s">
        <v>33</v>
      </c>
      <c r="I1410" s="1" t="s">
        <v>2357</v>
      </c>
      <c r="J1410" s="1" t="s">
        <v>481</v>
      </c>
      <c r="K1410" s="1" t="s">
        <v>2358</v>
      </c>
    </row>
    <row r="1411" spans="1:11" ht="60" x14ac:dyDescent="0.25">
      <c r="A1411" t="s">
        <v>26</v>
      </c>
      <c r="B1411" t="s">
        <v>2328</v>
      </c>
      <c r="C1411" t="s">
        <v>96</v>
      </c>
      <c r="D1411" t="s">
        <v>1898</v>
      </c>
      <c r="E1411" t="s">
        <v>30</v>
      </c>
      <c r="F1411" t="s">
        <v>112</v>
      </c>
      <c r="G1411" t="s">
        <v>69</v>
      </c>
      <c r="H1411" t="s">
        <v>87</v>
      </c>
      <c r="I1411" s="1" t="s">
        <v>2359</v>
      </c>
      <c r="J1411" s="1" t="s">
        <v>697</v>
      </c>
      <c r="K1411" s="1" t="s">
        <v>2360</v>
      </c>
    </row>
    <row r="1412" spans="1:11" ht="105" x14ac:dyDescent="0.25">
      <c r="A1412" t="s">
        <v>26</v>
      </c>
      <c r="B1412" t="s">
        <v>2328</v>
      </c>
      <c r="C1412" t="s">
        <v>96</v>
      </c>
      <c r="D1412" t="s">
        <v>860</v>
      </c>
      <c r="E1412" t="s">
        <v>30</v>
      </c>
      <c r="F1412" t="s">
        <v>154</v>
      </c>
      <c r="G1412" t="s">
        <v>32</v>
      </c>
      <c r="H1412" t="s">
        <v>33</v>
      </c>
      <c r="I1412" s="1" t="s">
        <v>2361</v>
      </c>
      <c r="J1412" s="1" t="s">
        <v>481</v>
      </c>
      <c r="K1412" s="1" t="s">
        <v>2362</v>
      </c>
    </row>
    <row r="1413" spans="1:11" ht="150" x14ac:dyDescent="0.25">
      <c r="A1413" t="s">
        <v>26</v>
      </c>
      <c r="B1413" t="s">
        <v>2328</v>
      </c>
      <c r="C1413" t="s">
        <v>106</v>
      </c>
      <c r="D1413" t="s">
        <v>1958</v>
      </c>
      <c r="E1413" t="s">
        <v>79</v>
      </c>
      <c r="F1413" t="s">
        <v>186</v>
      </c>
      <c r="G1413" t="s">
        <v>69</v>
      </c>
      <c r="H1413" t="s">
        <v>87</v>
      </c>
      <c r="I1413" s="1" t="s">
        <v>2363</v>
      </c>
      <c r="J1413" s="1" t="s">
        <v>2223</v>
      </c>
      <c r="K1413" s="1" t="s">
        <v>2364</v>
      </c>
    </row>
    <row r="1414" spans="1:11" ht="30" x14ac:dyDescent="0.25">
      <c r="A1414" t="s">
        <v>26</v>
      </c>
      <c r="B1414" t="s">
        <v>2328</v>
      </c>
      <c r="C1414" t="s">
        <v>28</v>
      </c>
      <c r="D1414" t="s">
        <v>153</v>
      </c>
      <c r="E1414" t="s">
        <v>30</v>
      </c>
      <c r="F1414" t="s">
        <v>112</v>
      </c>
      <c r="G1414" t="s">
        <v>32</v>
      </c>
      <c r="H1414" t="s">
        <v>33</v>
      </c>
      <c r="I1414" s="1" t="s">
        <v>2365</v>
      </c>
      <c r="J1414" s="1" t="s">
        <v>481</v>
      </c>
      <c r="K1414" s="1" t="s">
        <v>2366</v>
      </c>
    </row>
    <row r="1415" spans="1:11" ht="90" x14ac:dyDescent="0.25">
      <c r="A1415" t="s">
        <v>26</v>
      </c>
      <c r="B1415" t="s">
        <v>2328</v>
      </c>
      <c r="C1415" t="s">
        <v>96</v>
      </c>
      <c r="D1415" t="s">
        <v>176</v>
      </c>
      <c r="E1415" t="s">
        <v>30</v>
      </c>
      <c r="F1415" t="s">
        <v>126</v>
      </c>
      <c r="G1415" t="s">
        <v>69</v>
      </c>
      <c r="H1415" t="s">
        <v>87</v>
      </c>
      <c r="I1415" s="1" t="s">
        <v>2367</v>
      </c>
      <c r="J1415" s="1" t="s">
        <v>823</v>
      </c>
      <c r="K1415" s="1" t="s">
        <v>2368</v>
      </c>
    </row>
    <row r="1416" spans="1:11" ht="105" x14ac:dyDescent="0.25">
      <c r="A1416" t="s">
        <v>26</v>
      </c>
      <c r="B1416" t="s">
        <v>2328</v>
      </c>
      <c r="C1416" t="s">
        <v>235</v>
      </c>
      <c r="D1416" t="s">
        <v>537</v>
      </c>
      <c r="E1416" t="s">
        <v>30</v>
      </c>
      <c r="F1416" t="s">
        <v>186</v>
      </c>
      <c r="G1416" t="s">
        <v>81</v>
      </c>
      <c r="H1416" t="s">
        <v>87</v>
      </c>
      <c r="I1416" s="1" t="s">
        <v>2369</v>
      </c>
      <c r="J1416" s="1" t="s">
        <v>436</v>
      </c>
      <c r="K1416" s="1" t="s">
        <v>2370</v>
      </c>
    </row>
    <row r="1417" spans="1:11" ht="90" x14ac:dyDescent="0.25">
      <c r="A1417" t="s">
        <v>26</v>
      </c>
      <c r="B1417" t="s">
        <v>2328</v>
      </c>
      <c r="C1417" t="s">
        <v>96</v>
      </c>
      <c r="D1417" t="s">
        <v>676</v>
      </c>
      <c r="E1417" t="s">
        <v>30</v>
      </c>
      <c r="F1417" t="s">
        <v>543</v>
      </c>
      <c r="G1417" t="s">
        <v>81</v>
      </c>
      <c r="H1417" t="s">
        <v>173</v>
      </c>
      <c r="I1417" s="1" t="s">
        <v>2371</v>
      </c>
      <c r="J1417" s="1" t="s">
        <v>2372</v>
      </c>
      <c r="K1417" s="1" t="s">
        <v>2373</v>
      </c>
    </row>
    <row r="1418" spans="1:11" ht="75" x14ac:dyDescent="0.25">
      <c r="A1418" t="s">
        <v>26</v>
      </c>
      <c r="B1418" t="s">
        <v>2328</v>
      </c>
      <c r="C1418" t="s">
        <v>28</v>
      </c>
      <c r="D1418" t="s">
        <v>571</v>
      </c>
      <c r="E1418" t="s">
        <v>30</v>
      </c>
      <c r="F1418" t="s">
        <v>365</v>
      </c>
      <c r="G1418" t="s">
        <v>69</v>
      </c>
      <c r="H1418" t="s">
        <v>87</v>
      </c>
      <c r="I1418" s="1" t="s">
        <v>2374</v>
      </c>
      <c r="J1418" s="1" t="s">
        <v>436</v>
      </c>
      <c r="K1418" s="1" t="s">
        <v>2375</v>
      </c>
    </row>
    <row r="1419" spans="1:11" ht="30" x14ac:dyDescent="0.25">
      <c r="A1419" t="s">
        <v>26</v>
      </c>
      <c r="B1419" t="s">
        <v>2328</v>
      </c>
      <c r="C1419" t="s">
        <v>69</v>
      </c>
      <c r="D1419" t="s">
        <v>819</v>
      </c>
      <c r="E1419" t="s">
        <v>30</v>
      </c>
      <c r="F1419" t="s">
        <v>446</v>
      </c>
      <c r="G1419" t="s">
        <v>32</v>
      </c>
      <c r="H1419" t="s">
        <v>33</v>
      </c>
      <c r="I1419" s="1" t="s">
        <v>2376</v>
      </c>
      <c r="J1419" s="1" t="s">
        <v>1874</v>
      </c>
      <c r="K1419" s="1" t="s">
        <v>2366</v>
      </c>
    </row>
    <row r="1420" spans="1:11" ht="105" x14ac:dyDescent="0.25">
      <c r="A1420" t="s">
        <v>26</v>
      </c>
      <c r="B1420" t="s">
        <v>2328</v>
      </c>
      <c r="C1420" t="s">
        <v>50</v>
      </c>
      <c r="D1420" t="s">
        <v>2377</v>
      </c>
      <c r="E1420" t="s">
        <v>30</v>
      </c>
      <c r="F1420" t="s">
        <v>1014</v>
      </c>
      <c r="G1420" t="s">
        <v>81</v>
      </c>
      <c r="H1420" t="s">
        <v>173</v>
      </c>
      <c r="I1420" s="1" t="s">
        <v>2378</v>
      </c>
      <c r="J1420" s="1" t="s">
        <v>436</v>
      </c>
      <c r="K1420" s="1" t="s">
        <v>2379</v>
      </c>
    </row>
    <row r="1421" spans="1:11" ht="90" x14ac:dyDescent="0.25">
      <c r="A1421" t="s">
        <v>26</v>
      </c>
      <c r="B1421" t="s">
        <v>2328</v>
      </c>
      <c r="C1421" t="s">
        <v>38</v>
      </c>
      <c r="D1421" t="s">
        <v>2380</v>
      </c>
      <c r="E1421" t="s">
        <v>30</v>
      </c>
      <c r="F1421" t="s">
        <v>520</v>
      </c>
      <c r="G1421" t="s">
        <v>32</v>
      </c>
      <c r="H1421" t="s">
        <v>33</v>
      </c>
      <c r="I1421" s="1" t="s">
        <v>2381</v>
      </c>
      <c r="J1421" s="1" t="s">
        <v>481</v>
      </c>
      <c r="K1421" s="1" t="s">
        <v>2382</v>
      </c>
    </row>
    <row r="1422" spans="1:11" ht="105" x14ac:dyDescent="0.25">
      <c r="A1422" t="s">
        <v>26</v>
      </c>
      <c r="B1422" t="s">
        <v>2328</v>
      </c>
      <c r="C1422" t="s">
        <v>55</v>
      </c>
      <c r="D1422" t="s">
        <v>965</v>
      </c>
      <c r="E1422" t="s">
        <v>30</v>
      </c>
      <c r="F1422" t="s">
        <v>166</v>
      </c>
      <c r="G1422" t="s">
        <v>81</v>
      </c>
      <c r="H1422" t="s">
        <v>173</v>
      </c>
      <c r="I1422" s="1" t="s">
        <v>2383</v>
      </c>
      <c r="J1422" s="1" t="s">
        <v>15</v>
      </c>
      <c r="K1422" s="1" t="s">
        <v>2384</v>
      </c>
    </row>
    <row r="1423" spans="1:11" ht="75" x14ac:dyDescent="0.25">
      <c r="A1423" t="s">
        <v>26</v>
      </c>
      <c r="B1423" t="s">
        <v>2328</v>
      </c>
      <c r="C1423" t="s">
        <v>28</v>
      </c>
      <c r="D1423" t="s">
        <v>946</v>
      </c>
      <c r="E1423" t="s">
        <v>30</v>
      </c>
      <c r="F1423" t="s">
        <v>98</v>
      </c>
      <c r="G1423" t="s">
        <v>32</v>
      </c>
      <c r="H1423" t="s">
        <v>87</v>
      </c>
      <c r="I1423" s="1" t="s">
        <v>2385</v>
      </c>
      <c r="J1423" s="1" t="s">
        <v>15</v>
      </c>
      <c r="K1423" s="1" t="s">
        <v>2386</v>
      </c>
    </row>
    <row r="1424" spans="1:11" ht="60" x14ac:dyDescent="0.25">
      <c r="A1424" t="s">
        <v>26</v>
      </c>
      <c r="B1424" t="s">
        <v>2328</v>
      </c>
      <c r="C1424" t="s">
        <v>180</v>
      </c>
      <c r="D1424" t="s">
        <v>723</v>
      </c>
      <c r="E1424" t="s">
        <v>30</v>
      </c>
      <c r="F1424" t="s">
        <v>112</v>
      </c>
      <c r="G1424" t="s">
        <v>32</v>
      </c>
      <c r="H1424" t="s">
        <v>33</v>
      </c>
      <c r="I1424" s="1" t="s">
        <v>2387</v>
      </c>
      <c r="J1424" s="1" t="s">
        <v>481</v>
      </c>
      <c r="K1424" s="1" t="s">
        <v>2388</v>
      </c>
    </row>
    <row r="1425" spans="1:11" ht="105" x14ac:dyDescent="0.25">
      <c r="A1425" t="s">
        <v>26</v>
      </c>
      <c r="B1425" t="s">
        <v>2328</v>
      </c>
      <c r="C1425" t="s">
        <v>235</v>
      </c>
      <c r="D1425" t="s">
        <v>1256</v>
      </c>
      <c r="E1425" t="s">
        <v>30</v>
      </c>
      <c r="F1425" t="s">
        <v>140</v>
      </c>
      <c r="G1425" t="s">
        <v>32</v>
      </c>
      <c r="H1425" t="s">
        <v>33</v>
      </c>
      <c r="I1425" s="1" t="s">
        <v>2389</v>
      </c>
      <c r="J1425" s="1" t="s">
        <v>481</v>
      </c>
      <c r="K1425" s="1" t="s">
        <v>2388</v>
      </c>
    </row>
    <row r="1426" spans="1:11" ht="105" x14ac:dyDescent="0.25">
      <c r="A1426" t="s">
        <v>26</v>
      </c>
      <c r="B1426" t="s">
        <v>2328</v>
      </c>
      <c r="C1426" t="s">
        <v>55</v>
      </c>
      <c r="D1426" t="s">
        <v>2390</v>
      </c>
      <c r="E1426" t="s">
        <v>30</v>
      </c>
      <c r="F1426" t="s">
        <v>154</v>
      </c>
      <c r="G1426" t="s">
        <v>69</v>
      </c>
      <c r="H1426" t="s">
        <v>173</v>
      </c>
      <c r="I1426" s="1" t="s">
        <v>2391</v>
      </c>
      <c r="J1426" s="1" t="s">
        <v>481</v>
      </c>
      <c r="K1426" s="1" t="s">
        <v>2392</v>
      </c>
    </row>
    <row r="1427" spans="1:11" ht="60" x14ac:dyDescent="0.25">
      <c r="A1427" t="s">
        <v>26</v>
      </c>
      <c r="B1427" t="s">
        <v>2328</v>
      </c>
      <c r="C1427" t="s">
        <v>55</v>
      </c>
      <c r="D1427" t="s">
        <v>2393</v>
      </c>
      <c r="E1427" t="s">
        <v>30</v>
      </c>
      <c r="F1427" t="s">
        <v>61</v>
      </c>
      <c r="G1427" t="s">
        <v>32</v>
      </c>
      <c r="H1427" t="s">
        <v>33</v>
      </c>
      <c r="I1427" s="1" t="s">
        <v>2394</v>
      </c>
      <c r="J1427" s="1" t="s">
        <v>1876</v>
      </c>
      <c r="K1427" s="1" t="s">
        <v>2395</v>
      </c>
    </row>
    <row r="1428" spans="1:11" ht="45" x14ac:dyDescent="0.25">
      <c r="A1428" t="s">
        <v>26</v>
      </c>
      <c r="B1428" t="s">
        <v>2328</v>
      </c>
      <c r="C1428" t="s">
        <v>85</v>
      </c>
      <c r="D1428" t="s">
        <v>2126</v>
      </c>
      <c r="E1428" t="s">
        <v>79</v>
      </c>
      <c r="F1428" t="s">
        <v>136</v>
      </c>
      <c r="G1428" t="s">
        <v>81</v>
      </c>
      <c r="H1428" t="s">
        <v>33</v>
      </c>
      <c r="I1428" s="1" t="s">
        <v>2396</v>
      </c>
      <c r="J1428" s="1" t="s">
        <v>426</v>
      </c>
      <c r="K1428" s="1" t="s">
        <v>2397</v>
      </c>
    </row>
    <row r="1429" spans="1:11" ht="75" x14ac:dyDescent="0.25">
      <c r="A1429" t="s">
        <v>26</v>
      </c>
      <c r="B1429" t="s">
        <v>2328</v>
      </c>
      <c r="C1429" t="s">
        <v>44</v>
      </c>
      <c r="D1429" t="s">
        <v>2398</v>
      </c>
      <c r="E1429" t="s">
        <v>30</v>
      </c>
      <c r="F1429" t="s">
        <v>154</v>
      </c>
      <c r="G1429" t="s">
        <v>32</v>
      </c>
      <c r="H1429" t="s">
        <v>33</v>
      </c>
      <c r="I1429" s="1" t="s">
        <v>2399</v>
      </c>
      <c r="J1429" s="1" t="s">
        <v>17</v>
      </c>
      <c r="K1429" s="1" t="s">
        <v>2400</v>
      </c>
    </row>
    <row r="1430" spans="1:11" ht="105" x14ac:dyDescent="0.25">
      <c r="A1430" t="s">
        <v>49</v>
      </c>
      <c r="B1430" t="s">
        <v>2328</v>
      </c>
      <c r="C1430" t="s">
        <v>472</v>
      </c>
      <c r="D1430" t="s">
        <v>839</v>
      </c>
      <c r="E1430" t="s">
        <v>79</v>
      </c>
      <c r="F1430" t="s">
        <v>52</v>
      </c>
      <c r="G1430" t="s">
        <v>81</v>
      </c>
      <c r="H1430" t="s">
        <v>87</v>
      </c>
      <c r="I1430" s="1" t="s">
        <v>2401</v>
      </c>
      <c r="J1430" s="1" t="s">
        <v>15</v>
      </c>
      <c r="K1430" s="1" t="s">
        <v>2402</v>
      </c>
    </row>
    <row r="1431" spans="1:11" ht="45" x14ac:dyDescent="0.25">
      <c r="A1431" t="s">
        <v>49</v>
      </c>
      <c r="B1431" t="s">
        <v>2328</v>
      </c>
      <c r="C1431" t="s">
        <v>50</v>
      </c>
      <c r="D1431" t="s">
        <v>1013</v>
      </c>
      <c r="E1431" t="s">
        <v>30</v>
      </c>
      <c r="F1431" t="s">
        <v>94</v>
      </c>
      <c r="G1431" t="s">
        <v>32</v>
      </c>
      <c r="H1431" t="s">
        <v>33</v>
      </c>
      <c r="I1431" s="1" t="s">
        <v>2403</v>
      </c>
      <c r="J1431" s="1" t="s">
        <v>864</v>
      </c>
      <c r="K1431" s="1" t="s">
        <v>2404</v>
      </c>
    </row>
    <row r="1432" spans="1:11" ht="105" x14ac:dyDescent="0.25">
      <c r="A1432" t="s">
        <v>49</v>
      </c>
      <c r="B1432" t="s">
        <v>2328</v>
      </c>
      <c r="C1432" t="s">
        <v>263</v>
      </c>
      <c r="D1432" t="s">
        <v>1925</v>
      </c>
      <c r="E1432" t="s">
        <v>30</v>
      </c>
      <c r="F1432" t="s">
        <v>154</v>
      </c>
      <c r="G1432" t="s">
        <v>38</v>
      </c>
      <c r="H1432" t="s">
        <v>87</v>
      </c>
      <c r="I1432" s="1" t="s">
        <v>2405</v>
      </c>
      <c r="J1432" s="1" t="s">
        <v>481</v>
      </c>
      <c r="K1432" s="1" t="s">
        <v>2406</v>
      </c>
    </row>
    <row r="1433" spans="1:11" ht="45" x14ac:dyDescent="0.25">
      <c r="A1433" t="s">
        <v>26</v>
      </c>
      <c r="B1433" t="s">
        <v>2328</v>
      </c>
      <c r="C1433" t="s">
        <v>44</v>
      </c>
      <c r="D1433" t="s">
        <v>616</v>
      </c>
      <c r="E1433" t="s">
        <v>30</v>
      </c>
      <c r="F1433" t="s">
        <v>205</v>
      </c>
      <c r="G1433" t="s">
        <v>32</v>
      </c>
      <c r="H1433" t="s">
        <v>173</v>
      </c>
      <c r="I1433" s="1" t="s">
        <v>2407</v>
      </c>
      <c r="J1433" s="1" t="s">
        <v>707</v>
      </c>
      <c r="K1433" s="1" t="s">
        <v>2408</v>
      </c>
    </row>
    <row r="1434" spans="1:11" ht="60" x14ac:dyDescent="0.25">
      <c r="A1434" t="s">
        <v>49</v>
      </c>
      <c r="B1434" t="s">
        <v>2328</v>
      </c>
      <c r="C1434" t="s">
        <v>85</v>
      </c>
      <c r="D1434" t="s">
        <v>2409</v>
      </c>
      <c r="E1434" t="s">
        <v>79</v>
      </c>
      <c r="F1434" t="s">
        <v>136</v>
      </c>
      <c r="G1434" t="s">
        <v>32</v>
      </c>
      <c r="H1434" t="s">
        <v>33</v>
      </c>
      <c r="I1434" s="1" t="s">
        <v>2410</v>
      </c>
      <c r="J1434" s="1" t="s">
        <v>426</v>
      </c>
      <c r="K1434" s="1" t="s">
        <v>2411</v>
      </c>
    </row>
    <row r="1435" spans="1:11" ht="105" x14ac:dyDescent="0.25">
      <c r="A1435" t="s">
        <v>49</v>
      </c>
      <c r="B1435" t="s">
        <v>2328</v>
      </c>
      <c r="C1435" t="s">
        <v>32</v>
      </c>
      <c r="D1435" t="s">
        <v>1116</v>
      </c>
      <c r="E1435" t="s">
        <v>30</v>
      </c>
      <c r="F1435" t="s">
        <v>161</v>
      </c>
      <c r="G1435" t="s">
        <v>69</v>
      </c>
      <c r="H1435" t="s">
        <v>173</v>
      </c>
      <c r="I1435" s="1" t="s">
        <v>2412</v>
      </c>
      <c r="J1435" s="1" t="s">
        <v>481</v>
      </c>
      <c r="K1435" s="1" t="s">
        <v>2413</v>
      </c>
    </row>
    <row r="1436" spans="1:11" ht="45" x14ac:dyDescent="0.25">
      <c r="A1436" t="s">
        <v>49</v>
      </c>
      <c r="B1436" t="s">
        <v>2328</v>
      </c>
      <c r="C1436" t="s">
        <v>240</v>
      </c>
      <c r="D1436" t="s">
        <v>882</v>
      </c>
      <c r="E1436" t="s">
        <v>79</v>
      </c>
      <c r="F1436" t="s">
        <v>280</v>
      </c>
      <c r="G1436" t="s">
        <v>69</v>
      </c>
      <c r="H1436" t="s">
        <v>33</v>
      </c>
      <c r="I1436" s="1" t="s">
        <v>2414</v>
      </c>
      <c r="J1436" s="1" t="s">
        <v>426</v>
      </c>
      <c r="K1436" s="1" t="s">
        <v>2415</v>
      </c>
    </row>
    <row r="1437" spans="1:11" ht="30" x14ac:dyDescent="0.25">
      <c r="A1437" t="s">
        <v>26</v>
      </c>
      <c r="B1437" t="s">
        <v>2328</v>
      </c>
      <c r="C1437" t="s">
        <v>55</v>
      </c>
      <c r="D1437" t="s">
        <v>729</v>
      </c>
      <c r="E1437" t="s">
        <v>30</v>
      </c>
      <c r="F1437" t="s">
        <v>290</v>
      </c>
      <c r="G1437" t="s">
        <v>32</v>
      </c>
      <c r="H1437" t="s">
        <v>33</v>
      </c>
      <c r="I1437" s="1" t="s">
        <v>2416</v>
      </c>
      <c r="J1437" s="1" t="s">
        <v>1867</v>
      </c>
      <c r="K1437" s="1" t="s">
        <v>2417</v>
      </c>
    </row>
    <row r="1438" spans="1:11" ht="45" x14ac:dyDescent="0.25">
      <c r="A1438" t="s">
        <v>49</v>
      </c>
      <c r="B1438" t="s">
        <v>2328</v>
      </c>
      <c r="C1438" t="s">
        <v>55</v>
      </c>
      <c r="D1438" t="s">
        <v>579</v>
      </c>
      <c r="E1438" t="s">
        <v>30</v>
      </c>
      <c r="F1438" t="s">
        <v>130</v>
      </c>
      <c r="G1438" t="s">
        <v>32</v>
      </c>
      <c r="H1438" t="s">
        <v>33</v>
      </c>
      <c r="I1438" s="1" t="s">
        <v>2418</v>
      </c>
      <c r="J1438" s="1" t="s">
        <v>426</v>
      </c>
      <c r="K1438" s="1" t="s">
        <v>2419</v>
      </c>
    </row>
    <row r="1439" spans="1:11" ht="75" x14ac:dyDescent="0.25">
      <c r="A1439" t="s">
        <v>49</v>
      </c>
      <c r="B1439" t="s">
        <v>2328</v>
      </c>
      <c r="C1439" t="s">
        <v>28</v>
      </c>
      <c r="D1439" t="s">
        <v>1621</v>
      </c>
      <c r="E1439" t="s">
        <v>30</v>
      </c>
      <c r="F1439" t="s">
        <v>94</v>
      </c>
      <c r="G1439" t="s">
        <v>32</v>
      </c>
      <c r="H1439" t="s">
        <v>33</v>
      </c>
      <c r="I1439" s="1" t="s">
        <v>2420</v>
      </c>
      <c r="J1439" s="1" t="s">
        <v>2093</v>
      </c>
      <c r="K1439" s="1" t="s">
        <v>2421</v>
      </c>
    </row>
    <row r="1440" spans="1:11" ht="60" x14ac:dyDescent="0.25">
      <c r="A1440" t="s">
        <v>49</v>
      </c>
      <c r="B1440" t="s">
        <v>2328</v>
      </c>
      <c r="C1440" t="s">
        <v>106</v>
      </c>
      <c r="D1440" t="s">
        <v>1275</v>
      </c>
      <c r="E1440" t="s">
        <v>30</v>
      </c>
      <c r="F1440" t="s">
        <v>166</v>
      </c>
      <c r="G1440" t="s">
        <v>32</v>
      </c>
      <c r="H1440" t="s">
        <v>33</v>
      </c>
      <c r="I1440" s="1" t="s">
        <v>2422</v>
      </c>
      <c r="J1440" s="1" t="s">
        <v>426</v>
      </c>
      <c r="K1440" s="1" t="s">
        <v>2423</v>
      </c>
    </row>
    <row r="1441" spans="1:11" ht="30" x14ac:dyDescent="0.25">
      <c r="A1441" t="s">
        <v>26</v>
      </c>
      <c r="B1441" t="s">
        <v>2328</v>
      </c>
      <c r="C1441" t="s">
        <v>55</v>
      </c>
      <c r="D1441" t="s">
        <v>953</v>
      </c>
      <c r="E1441" t="s">
        <v>30</v>
      </c>
      <c r="F1441" t="s">
        <v>189</v>
      </c>
      <c r="G1441" t="s">
        <v>32</v>
      </c>
      <c r="H1441" t="s">
        <v>33</v>
      </c>
      <c r="I1441" s="1" t="s">
        <v>2424</v>
      </c>
      <c r="J1441" s="1" t="s">
        <v>481</v>
      </c>
      <c r="K1441" s="1" t="s">
        <v>2388</v>
      </c>
    </row>
    <row r="1442" spans="1:11" ht="60" x14ac:dyDescent="0.25">
      <c r="A1442" t="s">
        <v>91</v>
      </c>
      <c r="B1442" t="s">
        <v>2328</v>
      </c>
      <c r="C1442" t="s">
        <v>50</v>
      </c>
      <c r="D1442" t="s">
        <v>569</v>
      </c>
      <c r="E1442" t="s">
        <v>30</v>
      </c>
      <c r="F1442" t="s">
        <v>94</v>
      </c>
      <c r="G1442" t="s">
        <v>32</v>
      </c>
      <c r="H1442" t="s">
        <v>33</v>
      </c>
      <c r="I1442" s="1" t="s">
        <v>2425</v>
      </c>
      <c r="J1442" s="1" t="s">
        <v>705</v>
      </c>
      <c r="K1442" s="1" t="s">
        <v>2426</v>
      </c>
    </row>
    <row r="1443" spans="1:11" ht="45" x14ac:dyDescent="0.25">
      <c r="A1443" t="s">
        <v>37</v>
      </c>
      <c r="B1443" t="s">
        <v>2328</v>
      </c>
      <c r="C1443" t="s">
        <v>472</v>
      </c>
      <c r="D1443" t="s">
        <v>2427</v>
      </c>
      <c r="E1443" t="s">
        <v>30</v>
      </c>
      <c r="F1443" t="s">
        <v>166</v>
      </c>
      <c r="G1443" t="s">
        <v>32</v>
      </c>
      <c r="H1443" t="s">
        <v>33</v>
      </c>
      <c r="I1443" s="1" t="s">
        <v>2428</v>
      </c>
      <c r="J1443" s="1" t="s">
        <v>2343</v>
      </c>
      <c r="K1443" s="1" t="s">
        <v>2429</v>
      </c>
    </row>
    <row r="1444" spans="1:11" ht="60" x14ac:dyDescent="0.25">
      <c r="A1444" t="s">
        <v>49</v>
      </c>
      <c r="B1444" t="s">
        <v>2328</v>
      </c>
      <c r="C1444" t="s">
        <v>44</v>
      </c>
      <c r="D1444" t="s">
        <v>514</v>
      </c>
      <c r="E1444" t="s">
        <v>30</v>
      </c>
      <c r="F1444" t="s">
        <v>119</v>
      </c>
      <c r="G1444" t="s">
        <v>32</v>
      </c>
      <c r="H1444" t="s">
        <v>173</v>
      </c>
      <c r="I1444" s="1" t="s">
        <v>2430</v>
      </c>
      <c r="J1444" s="1" t="s">
        <v>823</v>
      </c>
      <c r="K1444" s="1" t="s">
        <v>2431</v>
      </c>
    </row>
    <row r="1445" spans="1:11" ht="75" x14ac:dyDescent="0.25">
      <c r="A1445" t="s">
        <v>49</v>
      </c>
      <c r="B1445" t="s">
        <v>2328</v>
      </c>
      <c r="C1445" t="s">
        <v>106</v>
      </c>
      <c r="D1445" t="s">
        <v>2432</v>
      </c>
      <c r="E1445" t="s">
        <v>30</v>
      </c>
      <c r="F1445" t="s">
        <v>154</v>
      </c>
      <c r="G1445" t="s">
        <v>69</v>
      </c>
      <c r="H1445" t="s">
        <v>173</v>
      </c>
      <c r="I1445" s="1" t="s">
        <v>2433</v>
      </c>
      <c r="J1445" s="1" t="s">
        <v>2203</v>
      </c>
      <c r="K1445" s="1" t="s">
        <v>2434</v>
      </c>
    </row>
    <row r="1446" spans="1:11" ht="90" x14ac:dyDescent="0.25">
      <c r="A1446" t="s">
        <v>59</v>
      </c>
      <c r="B1446" t="s">
        <v>2328</v>
      </c>
      <c r="C1446" t="s">
        <v>263</v>
      </c>
      <c r="D1446" t="s">
        <v>1280</v>
      </c>
      <c r="E1446" t="s">
        <v>30</v>
      </c>
      <c r="F1446" t="s">
        <v>61</v>
      </c>
      <c r="G1446" t="s">
        <v>32</v>
      </c>
      <c r="H1446" t="s">
        <v>87</v>
      </c>
      <c r="I1446" s="1" t="s">
        <v>2435</v>
      </c>
      <c r="J1446" s="1" t="s">
        <v>877</v>
      </c>
      <c r="K1446" s="1" t="s">
        <v>2436</v>
      </c>
    </row>
    <row r="1447" spans="1:11" ht="60" x14ac:dyDescent="0.25">
      <c r="A1447" t="s">
        <v>37</v>
      </c>
      <c r="B1447" t="s">
        <v>2328</v>
      </c>
      <c r="C1447" t="s">
        <v>85</v>
      </c>
      <c r="D1447" t="s">
        <v>86</v>
      </c>
      <c r="E1447" t="s">
        <v>30</v>
      </c>
      <c r="F1447" t="s">
        <v>126</v>
      </c>
      <c r="G1447" t="s">
        <v>69</v>
      </c>
      <c r="H1447" t="s">
        <v>87</v>
      </c>
      <c r="I1447" s="1" t="s">
        <v>2437</v>
      </c>
      <c r="J1447" s="1" t="s">
        <v>104</v>
      </c>
      <c r="K1447" s="1" t="s">
        <v>2438</v>
      </c>
    </row>
    <row r="1448" spans="1:11" ht="120" x14ac:dyDescent="0.25">
      <c r="A1448" t="s">
        <v>91</v>
      </c>
      <c r="B1448" t="s">
        <v>2328</v>
      </c>
      <c r="C1448" t="s">
        <v>263</v>
      </c>
      <c r="D1448" t="s">
        <v>1280</v>
      </c>
      <c r="E1448" t="s">
        <v>30</v>
      </c>
      <c r="F1448" t="s">
        <v>154</v>
      </c>
      <c r="G1448" t="s">
        <v>32</v>
      </c>
      <c r="H1448" t="s">
        <v>173</v>
      </c>
      <c r="I1448" s="1" t="s">
        <v>2439</v>
      </c>
      <c r="J1448" s="1" t="s">
        <v>15</v>
      </c>
      <c r="K1448" s="1" t="s">
        <v>2440</v>
      </c>
    </row>
    <row r="1449" spans="1:11" ht="105" x14ac:dyDescent="0.25">
      <c r="A1449" t="s">
        <v>49</v>
      </c>
      <c r="B1449" t="s">
        <v>2328</v>
      </c>
      <c r="C1449" t="s">
        <v>96</v>
      </c>
      <c r="D1449" t="s">
        <v>176</v>
      </c>
      <c r="E1449" t="s">
        <v>79</v>
      </c>
      <c r="F1449" t="s">
        <v>52</v>
      </c>
      <c r="G1449" t="s">
        <v>32</v>
      </c>
      <c r="H1449" t="s">
        <v>33</v>
      </c>
      <c r="I1449" s="1" t="s">
        <v>2441</v>
      </c>
      <c r="J1449" s="1" t="s">
        <v>481</v>
      </c>
      <c r="K1449" s="1" t="s">
        <v>2417</v>
      </c>
    </row>
    <row r="1450" spans="1:11" ht="150" x14ac:dyDescent="0.25">
      <c r="A1450" t="s">
        <v>59</v>
      </c>
      <c r="B1450" t="s">
        <v>2328</v>
      </c>
      <c r="C1450" t="s">
        <v>249</v>
      </c>
      <c r="D1450" t="s">
        <v>639</v>
      </c>
      <c r="E1450" t="s">
        <v>30</v>
      </c>
      <c r="F1450" t="s">
        <v>98</v>
      </c>
      <c r="G1450" t="s">
        <v>32</v>
      </c>
      <c r="H1450" t="s">
        <v>173</v>
      </c>
      <c r="I1450" s="1" t="s">
        <v>2442</v>
      </c>
      <c r="J1450" s="1" t="s">
        <v>697</v>
      </c>
      <c r="K1450" s="1" t="s">
        <v>2443</v>
      </c>
    </row>
    <row r="1451" spans="1:11" x14ac:dyDescent="0.25">
      <c r="A1451" t="s">
        <v>37</v>
      </c>
      <c r="B1451" t="s">
        <v>2328</v>
      </c>
      <c r="C1451" t="s">
        <v>85</v>
      </c>
      <c r="D1451" t="s">
        <v>510</v>
      </c>
      <c r="E1451" t="s">
        <v>30</v>
      </c>
      <c r="F1451" t="s">
        <v>246</v>
      </c>
      <c r="G1451" t="s">
        <v>69</v>
      </c>
      <c r="H1451" t="s">
        <v>33</v>
      </c>
      <c r="I1451" s="1" t="s">
        <v>2444</v>
      </c>
      <c r="J1451" s="1" t="s">
        <v>104</v>
      </c>
      <c r="K1451" s="1" t="s">
        <v>2445</v>
      </c>
    </row>
    <row r="1452" spans="1:11" ht="105" x14ac:dyDescent="0.25">
      <c r="A1452" t="s">
        <v>91</v>
      </c>
      <c r="B1452" t="s">
        <v>2328</v>
      </c>
      <c r="C1452" t="s">
        <v>50</v>
      </c>
      <c r="D1452" t="s">
        <v>1013</v>
      </c>
      <c r="E1452" t="s">
        <v>79</v>
      </c>
      <c r="F1452" t="s">
        <v>112</v>
      </c>
      <c r="G1452" t="s">
        <v>32</v>
      </c>
      <c r="H1452" t="s">
        <v>33</v>
      </c>
      <c r="I1452" s="1" t="s">
        <v>2446</v>
      </c>
      <c r="J1452" s="1" t="s">
        <v>14</v>
      </c>
      <c r="K1452" s="1" t="s">
        <v>2447</v>
      </c>
    </row>
    <row r="1453" spans="1:11" ht="45" x14ac:dyDescent="0.25">
      <c r="A1453" t="s">
        <v>49</v>
      </c>
      <c r="B1453" t="s">
        <v>2328</v>
      </c>
      <c r="C1453" t="s">
        <v>38</v>
      </c>
      <c r="D1453" t="s">
        <v>39</v>
      </c>
      <c r="E1453" t="s">
        <v>30</v>
      </c>
      <c r="F1453" t="s">
        <v>61</v>
      </c>
      <c r="G1453" t="s">
        <v>32</v>
      </c>
      <c r="H1453" t="s">
        <v>33</v>
      </c>
      <c r="I1453" s="1" t="s">
        <v>2448</v>
      </c>
      <c r="J1453" s="1" t="s">
        <v>14</v>
      </c>
      <c r="K1453" s="1" t="s">
        <v>2449</v>
      </c>
    </row>
    <row r="1454" spans="1:11" ht="60" x14ac:dyDescent="0.25">
      <c r="A1454" t="s">
        <v>37</v>
      </c>
      <c r="B1454" t="s">
        <v>2328</v>
      </c>
      <c r="C1454" t="s">
        <v>249</v>
      </c>
      <c r="D1454" t="s">
        <v>2450</v>
      </c>
      <c r="E1454" t="s">
        <v>30</v>
      </c>
      <c r="F1454" t="s">
        <v>166</v>
      </c>
      <c r="G1454" t="s">
        <v>32</v>
      </c>
      <c r="H1454" t="s">
        <v>33</v>
      </c>
      <c r="I1454" s="1" t="s">
        <v>2451</v>
      </c>
      <c r="J1454" s="1" t="s">
        <v>426</v>
      </c>
      <c r="K1454" s="1" t="s">
        <v>2452</v>
      </c>
    </row>
    <row r="1455" spans="1:11" ht="75" x14ac:dyDescent="0.25">
      <c r="A1455" t="s">
        <v>37</v>
      </c>
      <c r="B1455" t="s">
        <v>2328</v>
      </c>
      <c r="C1455" t="s">
        <v>28</v>
      </c>
      <c r="D1455" t="s">
        <v>2453</v>
      </c>
      <c r="E1455" t="s">
        <v>30</v>
      </c>
      <c r="F1455" t="s">
        <v>98</v>
      </c>
      <c r="G1455" t="s">
        <v>69</v>
      </c>
      <c r="H1455" t="s">
        <v>173</v>
      </c>
      <c r="I1455" s="1" t="s">
        <v>2454</v>
      </c>
      <c r="J1455" s="1" t="s">
        <v>686</v>
      </c>
      <c r="K1455" s="1" t="s">
        <v>2455</v>
      </c>
    </row>
    <row r="1456" spans="1:11" ht="135" x14ac:dyDescent="0.25">
      <c r="A1456" t="s">
        <v>37</v>
      </c>
      <c r="B1456" t="s">
        <v>2328</v>
      </c>
      <c r="C1456" t="s">
        <v>73</v>
      </c>
      <c r="D1456" t="s">
        <v>653</v>
      </c>
      <c r="E1456" t="s">
        <v>30</v>
      </c>
      <c r="F1456" t="s">
        <v>602</v>
      </c>
      <c r="G1456" t="s">
        <v>32</v>
      </c>
      <c r="H1456" t="s">
        <v>33</v>
      </c>
      <c r="I1456" s="1" t="s">
        <v>2456</v>
      </c>
      <c r="J1456" s="1" t="s">
        <v>705</v>
      </c>
      <c r="K1456" s="1" t="s">
        <v>2457</v>
      </c>
    </row>
    <row r="1457" spans="1:11" ht="90" x14ac:dyDescent="0.25">
      <c r="A1457" t="s">
        <v>49</v>
      </c>
      <c r="B1457" t="s">
        <v>2328</v>
      </c>
      <c r="C1457" t="s">
        <v>50</v>
      </c>
      <c r="D1457" t="s">
        <v>1013</v>
      </c>
      <c r="E1457" t="s">
        <v>30</v>
      </c>
      <c r="F1457" t="s">
        <v>102</v>
      </c>
      <c r="G1457" t="s">
        <v>32</v>
      </c>
      <c r="H1457" t="s">
        <v>33</v>
      </c>
      <c r="I1457" s="1" t="s">
        <v>2458</v>
      </c>
      <c r="J1457" s="1" t="s">
        <v>2459</v>
      </c>
      <c r="K1457" s="1" t="s">
        <v>2460</v>
      </c>
    </row>
    <row r="1458" spans="1:11" ht="120" x14ac:dyDescent="0.25">
      <c r="A1458" t="s">
        <v>37</v>
      </c>
      <c r="B1458" t="s">
        <v>2328</v>
      </c>
      <c r="C1458" t="s">
        <v>249</v>
      </c>
      <c r="D1458" t="s">
        <v>1317</v>
      </c>
      <c r="E1458" t="s">
        <v>30</v>
      </c>
      <c r="F1458" t="s">
        <v>94</v>
      </c>
      <c r="G1458" t="s">
        <v>32</v>
      </c>
      <c r="H1458" t="s">
        <v>33</v>
      </c>
      <c r="I1458" s="1" t="s">
        <v>2461</v>
      </c>
      <c r="J1458" s="1" t="s">
        <v>2190</v>
      </c>
      <c r="K1458" s="1" t="s">
        <v>2462</v>
      </c>
    </row>
    <row r="1459" spans="1:11" x14ac:dyDescent="0.25">
      <c r="A1459" t="s">
        <v>64</v>
      </c>
      <c r="B1459" t="s">
        <v>2328</v>
      </c>
      <c r="C1459" t="s">
        <v>28</v>
      </c>
      <c r="D1459" t="s">
        <v>273</v>
      </c>
      <c r="E1459" t="s">
        <v>30</v>
      </c>
      <c r="F1459" t="s">
        <v>102</v>
      </c>
      <c r="G1459" t="s">
        <v>32</v>
      </c>
      <c r="H1459" t="s">
        <v>173</v>
      </c>
      <c r="I1459" s="1" t="s">
        <v>2463</v>
      </c>
      <c r="J1459" s="1" t="s">
        <v>17</v>
      </c>
      <c r="K1459" s="1" t="s">
        <v>2464</v>
      </c>
    </row>
    <row r="1460" spans="1:11" ht="90" x14ac:dyDescent="0.25">
      <c r="A1460" t="s">
        <v>37</v>
      </c>
      <c r="B1460" t="s">
        <v>2328</v>
      </c>
      <c r="C1460" t="s">
        <v>235</v>
      </c>
      <c r="D1460" t="s">
        <v>1002</v>
      </c>
      <c r="E1460" t="s">
        <v>79</v>
      </c>
      <c r="F1460" t="s">
        <v>520</v>
      </c>
      <c r="G1460" t="s">
        <v>32</v>
      </c>
      <c r="H1460" t="s">
        <v>33</v>
      </c>
      <c r="I1460" s="1" t="s">
        <v>2465</v>
      </c>
      <c r="J1460" s="1" t="s">
        <v>426</v>
      </c>
      <c r="K1460" s="1" t="s">
        <v>2466</v>
      </c>
    </row>
    <row r="1461" spans="1:11" ht="150" x14ac:dyDescent="0.25">
      <c r="A1461" t="s">
        <v>91</v>
      </c>
      <c r="B1461" t="s">
        <v>2328</v>
      </c>
      <c r="C1461" t="s">
        <v>106</v>
      </c>
      <c r="D1461" t="s">
        <v>107</v>
      </c>
      <c r="E1461" t="s">
        <v>79</v>
      </c>
      <c r="F1461" t="s">
        <v>223</v>
      </c>
      <c r="G1461" t="s">
        <v>81</v>
      </c>
      <c r="H1461" t="s">
        <v>173</v>
      </c>
      <c r="I1461" s="1" t="s">
        <v>2467</v>
      </c>
      <c r="J1461" s="1" t="s">
        <v>436</v>
      </c>
      <c r="K1461" s="1" t="s">
        <v>2468</v>
      </c>
    </row>
    <row r="1462" spans="1:11" ht="120" x14ac:dyDescent="0.25">
      <c r="A1462" t="s">
        <v>37</v>
      </c>
      <c r="B1462" t="s">
        <v>2328</v>
      </c>
      <c r="C1462" t="s">
        <v>249</v>
      </c>
      <c r="D1462" t="s">
        <v>420</v>
      </c>
      <c r="E1462" t="s">
        <v>30</v>
      </c>
      <c r="F1462" t="s">
        <v>307</v>
      </c>
      <c r="G1462" t="s">
        <v>32</v>
      </c>
      <c r="H1462" t="s">
        <v>33</v>
      </c>
      <c r="I1462" s="1" t="s">
        <v>2469</v>
      </c>
      <c r="J1462" s="1" t="s">
        <v>1867</v>
      </c>
      <c r="K1462" s="1" t="s">
        <v>2470</v>
      </c>
    </row>
    <row r="1463" spans="1:11" ht="45" x14ac:dyDescent="0.25">
      <c r="A1463" t="s">
        <v>59</v>
      </c>
      <c r="B1463" t="s">
        <v>2328</v>
      </c>
      <c r="C1463" t="s">
        <v>69</v>
      </c>
      <c r="D1463" t="s">
        <v>283</v>
      </c>
      <c r="E1463" t="s">
        <v>79</v>
      </c>
      <c r="F1463" t="s">
        <v>130</v>
      </c>
      <c r="G1463" t="s">
        <v>32</v>
      </c>
      <c r="H1463" t="s">
        <v>33</v>
      </c>
      <c r="I1463" s="1" t="s">
        <v>2471</v>
      </c>
      <c r="J1463" s="1" t="s">
        <v>426</v>
      </c>
      <c r="K1463" s="1" t="s">
        <v>2472</v>
      </c>
    </row>
    <row r="1464" spans="1:11" ht="30" x14ac:dyDescent="0.25">
      <c r="A1464" t="s">
        <v>64</v>
      </c>
      <c r="B1464" t="s">
        <v>2328</v>
      </c>
      <c r="C1464" t="s">
        <v>106</v>
      </c>
      <c r="D1464" t="s">
        <v>1076</v>
      </c>
      <c r="E1464" t="s">
        <v>79</v>
      </c>
      <c r="F1464" t="s">
        <v>140</v>
      </c>
      <c r="G1464" t="s">
        <v>32</v>
      </c>
      <c r="H1464" t="s">
        <v>33</v>
      </c>
      <c r="I1464" s="1" t="s">
        <v>2473</v>
      </c>
      <c r="J1464" s="1" t="s">
        <v>426</v>
      </c>
      <c r="K1464" s="1" t="s">
        <v>2474</v>
      </c>
    </row>
    <row r="1465" spans="1:11" ht="60" x14ac:dyDescent="0.25">
      <c r="A1465" t="s">
        <v>37</v>
      </c>
      <c r="B1465" t="s">
        <v>2328</v>
      </c>
      <c r="C1465" t="s">
        <v>50</v>
      </c>
      <c r="D1465" t="s">
        <v>226</v>
      </c>
      <c r="E1465" t="s">
        <v>30</v>
      </c>
      <c r="F1465" t="s">
        <v>1926</v>
      </c>
      <c r="G1465" t="s">
        <v>69</v>
      </c>
      <c r="H1465" t="s">
        <v>33</v>
      </c>
      <c r="I1465" s="1" t="s">
        <v>2475</v>
      </c>
      <c r="J1465" s="1" t="s">
        <v>426</v>
      </c>
      <c r="K1465" s="1" t="s">
        <v>2476</v>
      </c>
    </row>
    <row r="1466" spans="1:11" ht="75" x14ac:dyDescent="0.25">
      <c r="A1466" t="s">
        <v>37</v>
      </c>
      <c r="B1466" t="s">
        <v>2328</v>
      </c>
      <c r="C1466" t="s">
        <v>73</v>
      </c>
      <c r="D1466" t="s">
        <v>253</v>
      </c>
      <c r="E1466" t="s">
        <v>30</v>
      </c>
      <c r="F1466" t="s">
        <v>189</v>
      </c>
      <c r="G1466" t="s">
        <v>32</v>
      </c>
      <c r="H1466" t="s">
        <v>173</v>
      </c>
      <c r="I1466" s="1" t="s">
        <v>2477</v>
      </c>
      <c r="J1466" s="1" t="s">
        <v>738</v>
      </c>
      <c r="K1466" s="1" t="s">
        <v>2478</v>
      </c>
    </row>
    <row r="1467" spans="1:11" ht="60" x14ac:dyDescent="0.25">
      <c r="A1467" t="s">
        <v>37</v>
      </c>
      <c r="B1467" t="s">
        <v>2328</v>
      </c>
      <c r="C1467" t="s">
        <v>69</v>
      </c>
      <c r="D1467" t="s">
        <v>283</v>
      </c>
      <c r="E1467" t="s">
        <v>30</v>
      </c>
      <c r="F1467" t="s">
        <v>290</v>
      </c>
      <c r="G1467" t="s">
        <v>32</v>
      </c>
      <c r="H1467" t="s">
        <v>33</v>
      </c>
      <c r="I1467" s="1" t="s">
        <v>2479</v>
      </c>
      <c r="J1467" s="1" t="s">
        <v>426</v>
      </c>
      <c r="K1467" s="1" t="s">
        <v>2480</v>
      </c>
    </row>
    <row r="1468" spans="1:11" ht="105" x14ac:dyDescent="0.25">
      <c r="A1468" t="s">
        <v>64</v>
      </c>
      <c r="B1468" t="s">
        <v>2328</v>
      </c>
      <c r="C1468" t="s">
        <v>96</v>
      </c>
      <c r="D1468" t="s">
        <v>1898</v>
      </c>
      <c r="E1468" t="s">
        <v>79</v>
      </c>
      <c r="F1468" t="s">
        <v>112</v>
      </c>
      <c r="G1468" t="s">
        <v>69</v>
      </c>
      <c r="H1468" t="s">
        <v>87</v>
      </c>
      <c r="I1468" s="1" t="s">
        <v>2481</v>
      </c>
      <c r="J1468" s="1" t="s">
        <v>2482</v>
      </c>
      <c r="K1468" s="1" t="s">
        <v>2483</v>
      </c>
    </row>
    <row r="1469" spans="1:11" ht="120" x14ac:dyDescent="0.25">
      <c r="A1469" t="s">
        <v>37</v>
      </c>
      <c r="B1469" t="s">
        <v>2328</v>
      </c>
      <c r="C1469" t="s">
        <v>106</v>
      </c>
      <c r="D1469" t="s">
        <v>605</v>
      </c>
      <c r="E1469" t="s">
        <v>30</v>
      </c>
      <c r="F1469" t="s">
        <v>446</v>
      </c>
      <c r="G1469" t="s">
        <v>32</v>
      </c>
      <c r="H1469" t="s">
        <v>173</v>
      </c>
      <c r="I1469" s="1" t="s">
        <v>2484</v>
      </c>
      <c r="J1469" s="1" t="s">
        <v>17</v>
      </c>
      <c r="K1469" s="1" t="s">
        <v>2485</v>
      </c>
    </row>
    <row r="1470" spans="1:11" ht="105" x14ac:dyDescent="0.25">
      <c r="A1470" t="s">
        <v>64</v>
      </c>
      <c r="B1470" t="s">
        <v>2328</v>
      </c>
      <c r="C1470" t="s">
        <v>472</v>
      </c>
      <c r="D1470" t="s">
        <v>690</v>
      </c>
      <c r="E1470" t="s">
        <v>30</v>
      </c>
      <c r="F1470" t="s">
        <v>602</v>
      </c>
      <c r="G1470" t="s">
        <v>69</v>
      </c>
      <c r="H1470" t="s">
        <v>33</v>
      </c>
      <c r="I1470" s="1" t="s">
        <v>2486</v>
      </c>
      <c r="J1470" s="1" t="s">
        <v>673</v>
      </c>
      <c r="K1470" s="1" t="s">
        <v>2487</v>
      </c>
    </row>
    <row r="1471" spans="1:11" ht="60" x14ac:dyDescent="0.25">
      <c r="A1471" t="s">
        <v>37</v>
      </c>
      <c r="B1471" t="s">
        <v>2328</v>
      </c>
      <c r="C1471" t="s">
        <v>472</v>
      </c>
      <c r="D1471" t="s">
        <v>1000</v>
      </c>
      <c r="E1471" t="s">
        <v>30</v>
      </c>
      <c r="F1471" t="s">
        <v>130</v>
      </c>
      <c r="G1471" t="s">
        <v>32</v>
      </c>
      <c r="H1471" t="s">
        <v>33</v>
      </c>
      <c r="I1471" s="1" t="s">
        <v>2488</v>
      </c>
      <c r="J1471" s="1" t="s">
        <v>481</v>
      </c>
      <c r="K1471" s="1" t="s">
        <v>2489</v>
      </c>
    </row>
    <row r="1472" spans="1:11" ht="45" x14ac:dyDescent="0.25">
      <c r="A1472" t="s">
        <v>64</v>
      </c>
      <c r="B1472" t="s">
        <v>2328</v>
      </c>
      <c r="C1472" t="s">
        <v>69</v>
      </c>
      <c r="D1472" t="s">
        <v>2211</v>
      </c>
      <c r="E1472" t="s">
        <v>79</v>
      </c>
      <c r="F1472" t="s">
        <v>196</v>
      </c>
      <c r="G1472" t="s">
        <v>32</v>
      </c>
      <c r="H1472" t="s">
        <v>33</v>
      </c>
      <c r="I1472" s="1" t="s">
        <v>2490</v>
      </c>
      <c r="J1472" s="1" t="s">
        <v>697</v>
      </c>
      <c r="K1472" s="1" t="s">
        <v>2491</v>
      </c>
    </row>
    <row r="1473" spans="1:11" ht="75" x14ac:dyDescent="0.25">
      <c r="A1473" t="s">
        <v>37</v>
      </c>
      <c r="B1473" t="s">
        <v>2328</v>
      </c>
      <c r="C1473" t="s">
        <v>472</v>
      </c>
      <c r="D1473" t="s">
        <v>690</v>
      </c>
      <c r="E1473" t="s">
        <v>30</v>
      </c>
      <c r="F1473" t="s">
        <v>154</v>
      </c>
      <c r="G1473" t="s">
        <v>81</v>
      </c>
      <c r="H1473" t="s">
        <v>173</v>
      </c>
      <c r="I1473" s="1" t="s">
        <v>2492</v>
      </c>
      <c r="J1473" s="1" t="s">
        <v>15</v>
      </c>
      <c r="K1473" s="1" t="s">
        <v>2493</v>
      </c>
    </row>
    <row r="1474" spans="1:11" ht="90" x14ac:dyDescent="0.25">
      <c r="A1474" t="s">
        <v>37</v>
      </c>
      <c r="B1474" t="s">
        <v>2328</v>
      </c>
      <c r="C1474" t="s">
        <v>235</v>
      </c>
      <c r="D1474" t="s">
        <v>1467</v>
      </c>
      <c r="E1474" t="s">
        <v>30</v>
      </c>
      <c r="F1474" t="s">
        <v>189</v>
      </c>
      <c r="G1474" t="s">
        <v>69</v>
      </c>
      <c r="H1474" t="s">
        <v>173</v>
      </c>
      <c r="I1474" s="1" t="s">
        <v>2494</v>
      </c>
      <c r="J1474" s="1" t="s">
        <v>17</v>
      </c>
      <c r="K1474" s="1" t="s">
        <v>2495</v>
      </c>
    </row>
    <row r="1475" spans="1:11" ht="60" x14ac:dyDescent="0.25">
      <c r="A1475" t="s">
        <v>37</v>
      </c>
      <c r="B1475" t="s">
        <v>2328</v>
      </c>
      <c r="C1475" t="s">
        <v>69</v>
      </c>
      <c r="D1475" t="s">
        <v>664</v>
      </c>
      <c r="E1475" t="s">
        <v>30</v>
      </c>
      <c r="F1475" t="s">
        <v>94</v>
      </c>
      <c r="G1475" t="s">
        <v>32</v>
      </c>
      <c r="H1475" t="s">
        <v>33</v>
      </c>
      <c r="I1475" s="1" t="s">
        <v>2496</v>
      </c>
      <c r="J1475" s="1" t="s">
        <v>2343</v>
      </c>
      <c r="K1475" s="1" t="s">
        <v>2497</v>
      </c>
    </row>
    <row r="1476" spans="1:11" ht="90" x14ac:dyDescent="0.25">
      <c r="A1476" t="s">
        <v>64</v>
      </c>
      <c r="B1476" t="s">
        <v>2328</v>
      </c>
      <c r="C1476" t="s">
        <v>96</v>
      </c>
      <c r="D1476" t="s">
        <v>201</v>
      </c>
      <c r="E1476" t="s">
        <v>30</v>
      </c>
      <c r="F1476" t="s">
        <v>246</v>
      </c>
      <c r="G1476" t="s">
        <v>32</v>
      </c>
      <c r="H1476" t="s">
        <v>33</v>
      </c>
      <c r="I1476" s="1" t="s">
        <v>2498</v>
      </c>
      <c r="J1476" s="1" t="s">
        <v>2499</v>
      </c>
      <c r="K1476" s="1" t="s">
        <v>2498</v>
      </c>
    </row>
    <row r="1477" spans="1:11" ht="45" x14ac:dyDescent="0.25">
      <c r="A1477" t="s">
        <v>26</v>
      </c>
      <c r="B1477" t="s">
        <v>2500</v>
      </c>
      <c r="C1477" t="s">
        <v>249</v>
      </c>
      <c r="D1477" t="s">
        <v>1700</v>
      </c>
      <c r="E1477" t="s">
        <v>30</v>
      </c>
      <c r="F1477" t="s">
        <v>1103</v>
      </c>
      <c r="G1477" t="s">
        <v>69</v>
      </c>
      <c r="H1477" t="s">
        <v>173</v>
      </c>
      <c r="I1477" s="1" t="s">
        <v>2501</v>
      </c>
      <c r="J1477" s="1" t="s">
        <v>17</v>
      </c>
      <c r="K1477" s="1" t="s">
        <v>2502</v>
      </c>
    </row>
    <row r="1478" spans="1:11" ht="120" x14ac:dyDescent="0.25">
      <c r="A1478" t="s">
        <v>26</v>
      </c>
      <c r="B1478" t="s">
        <v>2500</v>
      </c>
      <c r="C1478" t="s">
        <v>249</v>
      </c>
      <c r="D1478" t="s">
        <v>250</v>
      </c>
      <c r="E1478" t="s">
        <v>30</v>
      </c>
      <c r="F1478" t="s">
        <v>161</v>
      </c>
      <c r="G1478" t="s">
        <v>32</v>
      </c>
      <c r="H1478" t="s">
        <v>173</v>
      </c>
      <c r="I1478" s="1" t="s">
        <v>2503</v>
      </c>
      <c r="J1478" s="1" t="s">
        <v>697</v>
      </c>
      <c r="K1478" s="1" t="s">
        <v>2504</v>
      </c>
    </row>
    <row r="1479" spans="1:11" ht="120" x14ac:dyDescent="0.25">
      <c r="A1479" t="s">
        <v>26</v>
      </c>
      <c r="B1479" t="s">
        <v>2500</v>
      </c>
      <c r="C1479" t="s">
        <v>249</v>
      </c>
      <c r="D1479" t="s">
        <v>355</v>
      </c>
      <c r="E1479" t="s">
        <v>30</v>
      </c>
      <c r="F1479" t="s">
        <v>287</v>
      </c>
      <c r="G1479" t="s">
        <v>32</v>
      </c>
      <c r="H1479" t="s">
        <v>33</v>
      </c>
      <c r="I1479" s="1" t="s">
        <v>2505</v>
      </c>
      <c r="J1479" s="1" t="s">
        <v>2506</v>
      </c>
      <c r="K1479" s="1" t="s">
        <v>2507</v>
      </c>
    </row>
    <row r="1480" spans="1:11" ht="120" x14ac:dyDescent="0.25">
      <c r="A1480" t="s">
        <v>26</v>
      </c>
      <c r="B1480" t="s">
        <v>2500</v>
      </c>
      <c r="C1480" t="s">
        <v>106</v>
      </c>
      <c r="D1480" t="s">
        <v>803</v>
      </c>
      <c r="E1480" t="s">
        <v>30</v>
      </c>
      <c r="F1480" t="s">
        <v>294</v>
      </c>
      <c r="G1480" t="s">
        <v>263</v>
      </c>
      <c r="H1480" t="s">
        <v>87</v>
      </c>
      <c r="I1480" s="1" t="s">
        <v>2508</v>
      </c>
      <c r="J1480" s="1" t="s">
        <v>15</v>
      </c>
      <c r="K1480" s="1" t="s">
        <v>2509</v>
      </c>
    </row>
    <row r="1481" spans="1:11" ht="75" x14ac:dyDescent="0.25">
      <c r="A1481" t="s">
        <v>26</v>
      </c>
      <c r="B1481" t="s">
        <v>2500</v>
      </c>
      <c r="C1481" t="s">
        <v>106</v>
      </c>
      <c r="D1481" t="s">
        <v>150</v>
      </c>
      <c r="E1481" t="s">
        <v>79</v>
      </c>
      <c r="F1481" t="s">
        <v>161</v>
      </c>
      <c r="G1481" t="s">
        <v>32</v>
      </c>
      <c r="H1481" t="s">
        <v>33</v>
      </c>
      <c r="I1481" s="1" t="s">
        <v>2510</v>
      </c>
      <c r="J1481" s="1" t="s">
        <v>426</v>
      </c>
      <c r="K1481" s="1" t="s">
        <v>2511</v>
      </c>
    </row>
    <row r="1482" spans="1:11" ht="90" x14ac:dyDescent="0.25">
      <c r="A1482" t="s">
        <v>26</v>
      </c>
      <c r="B1482" t="s">
        <v>2500</v>
      </c>
      <c r="C1482" t="s">
        <v>235</v>
      </c>
      <c r="D1482" t="s">
        <v>1026</v>
      </c>
      <c r="E1482" t="s">
        <v>30</v>
      </c>
      <c r="F1482" t="s">
        <v>287</v>
      </c>
      <c r="G1482" t="s">
        <v>32</v>
      </c>
      <c r="H1482" t="s">
        <v>33</v>
      </c>
      <c r="I1482" s="1" t="s">
        <v>2512</v>
      </c>
      <c r="J1482" s="1" t="s">
        <v>689</v>
      </c>
      <c r="K1482" s="1" t="s">
        <v>2513</v>
      </c>
    </row>
    <row r="1483" spans="1:11" ht="30" x14ac:dyDescent="0.25">
      <c r="A1483" t="s">
        <v>26</v>
      </c>
      <c r="B1483" t="s">
        <v>2500</v>
      </c>
      <c r="C1483" t="s">
        <v>240</v>
      </c>
      <c r="D1483" t="s">
        <v>882</v>
      </c>
      <c r="E1483" t="s">
        <v>30</v>
      </c>
      <c r="F1483" t="s">
        <v>186</v>
      </c>
      <c r="G1483" t="s">
        <v>32</v>
      </c>
      <c r="H1483" t="s">
        <v>33</v>
      </c>
      <c r="I1483" s="1" t="s">
        <v>2514</v>
      </c>
      <c r="J1483" s="1" t="s">
        <v>481</v>
      </c>
      <c r="K1483" s="1" t="s">
        <v>2515</v>
      </c>
    </row>
    <row r="1484" spans="1:11" ht="105" x14ac:dyDescent="0.25">
      <c r="A1484" t="s">
        <v>49</v>
      </c>
      <c r="B1484" t="s">
        <v>2500</v>
      </c>
      <c r="C1484" t="s">
        <v>472</v>
      </c>
      <c r="D1484" t="s">
        <v>839</v>
      </c>
      <c r="E1484" t="s">
        <v>30</v>
      </c>
      <c r="F1484" t="s">
        <v>40</v>
      </c>
      <c r="G1484" t="s">
        <v>69</v>
      </c>
      <c r="H1484" t="s">
        <v>87</v>
      </c>
      <c r="I1484" s="1" t="s">
        <v>2516</v>
      </c>
      <c r="J1484" s="1" t="s">
        <v>104</v>
      </c>
      <c r="K1484" s="1" t="s">
        <v>2438</v>
      </c>
    </row>
    <row r="1485" spans="1:11" ht="120" x14ac:dyDescent="0.25">
      <c r="A1485" t="s">
        <v>26</v>
      </c>
      <c r="B1485" t="s">
        <v>2500</v>
      </c>
      <c r="C1485" t="s">
        <v>235</v>
      </c>
      <c r="D1485" t="s">
        <v>1002</v>
      </c>
      <c r="E1485" t="s">
        <v>30</v>
      </c>
      <c r="F1485" t="s">
        <v>246</v>
      </c>
      <c r="G1485" t="s">
        <v>32</v>
      </c>
      <c r="H1485" t="s">
        <v>173</v>
      </c>
      <c r="I1485" s="1" t="s">
        <v>2517</v>
      </c>
      <c r="J1485" s="1" t="s">
        <v>1917</v>
      </c>
      <c r="K1485" s="1" t="s">
        <v>2518</v>
      </c>
    </row>
    <row r="1486" spans="1:11" ht="30" x14ac:dyDescent="0.25">
      <c r="A1486" t="s">
        <v>26</v>
      </c>
      <c r="B1486" t="s">
        <v>2500</v>
      </c>
      <c r="C1486" t="s">
        <v>180</v>
      </c>
      <c r="D1486" t="s">
        <v>1331</v>
      </c>
      <c r="E1486" t="s">
        <v>79</v>
      </c>
      <c r="F1486" t="s">
        <v>1103</v>
      </c>
      <c r="G1486" t="s">
        <v>32</v>
      </c>
      <c r="H1486" t="s">
        <v>87</v>
      </c>
      <c r="I1486" s="1" t="s">
        <v>2519</v>
      </c>
      <c r="J1486" s="1" t="s">
        <v>481</v>
      </c>
    </row>
    <row r="1487" spans="1:11" ht="30" x14ac:dyDescent="0.25">
      <c r="A1487" t="s">
        <v>26</v>
      </c>
      <c r="B1487" t="s">
        <v>2500</v>
      </c>
      <c r="C1487" t="s">
        <v>106</v>
      </c>
      <c r="D1487" t="s">
        <v>1958</v>
      </c>
      <c r="E1487" t="s">
        <v>30</v>
      </c>
      <c r="F1487" t="s">
        <v>166</v>
      </c>
      <c r="G1487" t="s">
        <v>32</v>
      </c>
      <c r="H1487" t="s">
        <v>33</v>
      </c>
      <c r="I1487" s="1" t="s">
        <v>2520</v>
      </c>
      <c r="J1487" s="1" t="s">
        <v>481</v>
      </c>
      <c r="K1487" s="1" t="s">
        <v>2521</v>
      </c>
    </row>
    <row r="1488" spans="1:11" ht="90" x14ac:dyDescent="0.25">
      <c r="A1488" t="s">
        <v>91</v>
      </c>
      <c r="B1488" t="s">
        <v>2500</v>
      </c>
      <c r="C1488" t="s">
        <v>96</v>
      </c>
      <c r="D1488" t="s">
        <v>97</v>
      </c>
      <c r="E1488" t="s">
        <v>30</v>
      </c>
      <c r="F1488" t="s">
        <v>196</v>
      </c>
      <c r="G1488" t="s">
        <v>32</v>
      </c>
      <c r="H1488" t="s">
        <v>173</v>
      </c>
      <c r="I1488" s="1" t="s">
        <v>2522</v>
      </c>
      <c r="J1488" s="1" t="s">
        <v>481</v>
      </c>
      <c r="K1488" s="1" t="s">
        <v>2523</v>
      </c>
    </row>
    <row r="1489" spans="1:11" ht="105" x14ac:dyDescent="0.25">
      <c r="A1489" t="s">
        <v>26</v>
      </c>
      <c r="B1489" t="s">
        <v>2500</v>
      </c>
      <c r="C1489" t="s">
        <v>69</v>
      </c>
      <c r="D1489" t="s">
        <v>229</v>
      </c>
      <c r="E1489" t="s">
        <v>79</v>
      </c>
      <c r="F1489" t="s">
        <v>154</v>
      </c>
      <c r="G1489" t="s">
        <v>32</v>
      </c>
      <c r="H1489" t="s">
        <v>87</v>
      </c>
      <c r="I1489" s="1" t="s">
        <v>2524</v>
      </c>
      <c r="J1489" s="1" t="s">
        <v>15</v>
      </c>
      <c r="K1489" s="1" t="s">
        <v>2525</v>
      </c>
    </row>
    <row r="1490" spans="1:11" ht="105" x14ac:dyDescent="0.25">
      <c r="A1490" t="s">
        <v>26</v>
      </c>
      <c r="B1490" t="s">
        <v>2500</v>
      </c>
      <c r="C1490" t="s">
        <v>28</v>
      </c>
      <c r="D1490" t="s">
        <v>1223</v>
      </c>
      <c r="E1490" t="s">
        <v>30</v>
      </c>
      <c r="F1490" t="s">
        <v>161</v>
      </c>
      <c r="G1490" t="s">
        <v>81</v>
      </c>
      <c r="H1490" t="s">
        <v>87</v>
      </c>
      <c r="I1490" s="1" t="s">
        <v>2526</v>
      </c>
      <c r="J1490" s="1" t="s">
        <v>104</v>
      </c>
      <c r="K1490" s="1" t="s">
        <v>1931</v>
      </c>
    </row>
    <row r="1491" spans="1:11" ht="105" x14ac:dyDescent="0.25">
      <c r="A1491" t="s">
        <v>26</v>
      </c>
      <c r="B1491" t="s">
        <v>2500</v>
      </c>
      <c r="C1491" t="s">
        <v>69</v>
      </c>
      <c r="D1491" t="s">
        <v>68</v>
      </c>
      <c r="E1491" t="s">
        <v>30</v>
      </c>
      <c r="F1491" t="s">
        <v>196</v>
      </c>
      <c r="G1491" t="s">
        <v>69</v>
      </c>
      <c r="H1491" t="s">
        <v>87</v>
      </c>
      <c r="I1491" s="1" t="s">
        <v>2527</v>
      </c>
      <c r="J1491" s="1" t="s">
        <v>2528</v>
      </c>
      <c r="K1491" s="1" t="s">
        <v>2529</v>
      </c>
    </row>
    <row r="1492" spans="1:11" ht="30" x14ac:dyDescent="0.25">
      <c r="A1492" t="s">
        <v>37</v>
      </c>
      <c r="B1492" t="s">
        <v>2500</v>
      </c>
      <c r="C1492" t="s">
        <v>235</v>
      </c>
      <c r="D1492" t="s">
        <v>1256</v>
      </c>
      <c r="E1492" t="s">
        <v>30</v>
      </c>
      <c r="F1492" t="s">
        <v>61</v>
      </c>
      <c r="G1492" t="s">
        <v>32</v>
      </c>
      <c r="H1492" t="s">
        <v>173</v>
      </c>
      <c r="I1492" s="1" t="s">
        <v>2530</v>
      </c>
      <c r="J1492" s="1" t="s">
        <v>481</v>
      </c>
    </row>
    <row r="1493" spans="1:11" ht="165" x14ac:dyDescent="0.25">
      <c r="A1493" t="s">
        <v>26</v>
      </c>
      <c r="B1493" t="s">
        <v>2500</v>
      </c>
      <c r="C1493" t="s">
        <v>32</v>
      </c>
      <c r="D1493" t="s">
        <v>208</v>
      </c>
      <c r="E1493" t="s">
        <v>30</v>
      </c>
      <c r="F1493" t="s">
        <v>108</v>
      </c>
      <c r="G1493" t="s">
        <v>69</v>
      </c>
      <c r="H1493" t="s">
        <v>173</v>
      </c>
      <c r="I1493" s="1" t="s">
        <v>2531</v>
      </c>
      <c r="J1493" s="1" t="s">
        <v>2506</v>
      </c>
      <c r="K1493" s="1" t="s">
        <v>2532</v>
      </c>
    </row>
    <row r="1494" spans="1:11" ht="120" x14ac:dyDescent="0.25">
      <c r="A1494" t="s">
        <v>49</v>
      </c>
      <c r="B1494" t="s">
        <v>2500</v>
      </c>
      <c r="C1494" t="s">
        <v>106</v>
      </c>
      <c r="D1494" t="s">
        <v>2018</v>
      </c>
      <c r="E1494" t="s">
        <v>30</v>
      </c>
      <c r="F1494" t="s">
        <v>61</v>
      </c>
      <c r="G1494" t="s">
        <v>81</v>
      </c>
      <c r="H1494" t="s">
        <v>33</v>
      </c>
      <c r="I1494" s="1" t="s">
        <v>2533</v>
      </c>
      <c r="J1494" s="1" t="s">
        <v>481</v>
      </c>
      <c r="K1494" s="1" t="s">
        <v>2534</v>
      </c>
    </row>
    <row r="1495" spans="1:11" ht="60" x14ac:dyDescent="0.25">
      <c r="A1495" t="s">
        <v>26</v>
      </c>
      <c r="B1495" t="s">
        <v>2500</v>
      </c>
      <c r="C1495" t="s">
        <v>28</v>
      </c>
      <c r="D1495" t="s">
        <v>1340</v>
      </c>
      <c r="E1495" t="s">
        <v>30</v>
      </c>
      <c r="F1495" t="s">
        <v>61</v>
      </c>
      <c r="G1495" t="s">
        <v>32</v>
      </c>
      <c r="H1495" t="s">
        <v>33</v>
      </c>
      <c r="I1495" s="1" t="s">
        <v>2535</v>
      </c>
      <c r="J1495" s="1" t="s">
        <v>426</v>
      </c>
      <c r="K1495" s="1" t="s">
        <v>2536</v>
      </c>
    </row>
    <row r="1496" spans="1:11" ht="105" x14ac:dyDescent="0.25">
      <c r="A1496" t="s">
        <v>37</v>
      </c>
      <c r="B1496" t="s">
        <v>2500</v>
      </c>
      <c r="C1496" t="s">
        <v>55</v>
      </c>
      <c r="D1496" t="s">
        <v>965</v>
      </c>
      <c r="E1496" t="s">
        <v>30</v>
      </c>
      <c r="F1496" t="s">
        <v>246</v>
      </c>
      <c r="G1496" t="s">
        <v>81</v>
      </c>
      <c r="H1496" t="s">
        <v>87</v>
      </c>
      <c r="I1496" s="1" t="s">
        <v>2537</v>
      </c>
      <c r="J1496" s="1" t="s">
        <v>15</v>
      </c>
      <c r="K1496" s="1" t="s">
        <v>2341</v>
      </c>
    </row>
    <row r="1497" spans="1:11" ht="45" x14ac:dyDescent="0.25">
      <c r="A1497" t="s">
        <v>49</v>
      </c>
      <c r="B1497" t="s">
        <v>2500</v>
      </c>
      <c r="C1497" t="s">
        <v>73</v>
      </c>
      <c r="D1497" t="s">
        <v>1337</v>
      </c>
      <c r="E1497" t="s">
        <v>30</v>
      </c>
      <c r="F1497" t="s">
        <v>205</v>
      </c>
      <c r="G1497" t="s">
        <v>32</v>
      </c>
      <c r="H1497" t="s">
        <v>33</v>
      </c>
      <c r="I1497" s="1" t="s">
        <v>2538</v>
      </c>
      <c r="J1497" s="1" t="s">
        <v>1979</v>
      </c>
      <c r="K1497" s="1" t="s">
        <v>2539</v>
      </c>
    </row>
    <row r="1498" spans="1:11" ht="75" x14ac:dyDescent="0.25">
      <c r="A1498" t="s">
        <v>49</v>
      </c>
      <c r="B1498" t="s">
        <v>2500</v>
      </c>
      <c r="C1498" t="s">
        <v>85</v>
      </c>
      <c r="D1498" t="s">
        <v>510</v>
      </c>
      <c r="E1498" t="s">
        <v>30</v>
      </c>
      <c r="F1498" t="s">
        <v>154</v>
      </c>
      <c r="G1498" t="s">
        <v>32</v>
      </c>
      <c r="H1498" t="s">
        <v>33</v>
      </c>
      <c r="I1498" s="1" t="s">
        <v>2540</v>
      </c>
      <c r="J1498" s="1" t="s">
        <v>481</v>
      </c>
      <c r="K1498" s="1" t="s">
        <v>2541</v>
      </c>
    </row>
    <row r="1499" spans="1:11" ht="105" x14ac:dyDescent="0.25">
      <c r="A1499" t="s">
        <v>49</v>
      </c>
      <c r="B1499" t="s">
        <v>2500</v>
      </c>
      <c r="C1499" t="s">
        <v>106</v>
      </c>
      <c r="D1499" t="s">
        <v>150</v>
      </c>
      <c r="E1499" t="s">
        <v>30</v>
      </c>
      <c r="F1499" t="s">
        <v>294</v>
      </c>
      <c r="G1499" t="s">
        <v>32</v>
      </c>
      <c r="H1499" t="s">
        <v>173</v>
      </c>
      <c r="I1499" s="1" t="s">
        <v>2542</v>
      </c>
      <c r="J1499" s="1" t="s">
        <v>684</v>
      </c>
      <c r="K1499" s="1" t="s">
        <v>2543</v>
      </c>
    </row>
    <row r="1500" spans="1:11" ht="30" x14ac:dyDescent="0.25">
      <c r="A1500" t="s">
        <v>64</v>
      </c>
      <c r="B1500" t="s">
        <v>2500</v>
      </c>
      <c r="C1500" t="s">
        <v>28</v>
      </c>
      <c r="D1500" t="s">
        <v>129</v>
      </c>
      <c r="E1500" t="s">
        <v>30</v>
      </c>
      <c r="F1500" t="s">
        <v>136</v>
      </c>
      <c r="G1500" t="s">
        <v>32</v>
      </c>
      <c r="H1500" t="s">
        <v>33</v>
      </c>
      <c r="I1500" s="1" t="s">
        <v>2544</v>
      </c>
      <c r="J1500" s="1" t="s">
        <v>426</v>
      </c>
      <c r="K1500" s="1" t="s">
        <v>2545</v>
      </c>
    </row>
    <row r="1501" spans="1:11" ht="30" x14ac:dyDescent="0.25">
      <c r="A1501" t="s">
        <v>49</v>
      </c>
      <c r="B1501" t="s">
        <v>2500</v>
      </c>
      <c r="C1501" t="s">
        <v>106</v>
      </c>
      <c r="D1501" t="s">
        <v>779</v>
      </c>
      <c r="E1501" t="s">
        <v>30</v>
      </c>
      <c r="F1501" t="s">
        <v>166</v>
      </c>
      <c r="G1501" t="s">
        <v>32</v>
      </c>
      <c r="H1501" t="s">
        <v>173</v>
      </c>
      <c r="I1501" s="1" t="s">
        <v>2546</v>
      </c>
      <c r="J1501" s="1" t="s">
        <v>854</v>
      </c>
      <c r="K1501" s="1" t="s">
        <v>2547</v>
      </c>
    </row>
    <row r="1502" spans="1:11" ht="75" x14ac:dyDescent="0.25">
      <c r="A1502" t="s">
        <v>49</v>
      </c>
      <c r="B1502" t="s">
        <v>2500</v>
      </c>
      <c r="C1502" t="s">
        <v>55</v>
      </c>
      <c r="D1502" t="s">
        <v>1462</v>
      </c>
      <c r="E1502" t="s">
        <v>30</v>
      </c>
      <c r="F1502" t="s">
        <v>40</v>
      </c>
      <c r="G1502" t="s">
        <v>32</v>
      </c>
      <c r="H1502" t="s">
        <v>87</v>
      </c>
      <c r="I1502" s="1" t="s">
        <v>2548</v>
      </c>
      <c r="J1502" s="1" t="s">
        <v>15</v>
      </c>
      <c r="K1502" s="1" t="s">
        <v>2549</v>
      </c>
    </row>
    <row r="1503" spans="1:11" ht="105" x14ac:dyDescent="0.25">
      <c r="A1503" t="s">
        <v>64</v>
      </c>
      <c r="B1503" t="s">
        <v>2500</v>
      </c>
      <c r="C1503" t="s">
        <v>180</v>
      </c>
      <c r="D1503" t="s">
        <v>439</v>
      </c>
      <c r="E1503" t="s">
        <v>30</v>
      </c>
      <c r="F1503" t="s">
        <v>209</v>
      </c>
      <c r="G1503" t="s">
        <v>81</v>
      </c>
      <c r="H1503" t="s">
        <v>87</v>
      </c>
      <c r="I1503" s="1" t="s">
        <v>2550</v>
      </c>
      <c r="J1503" s="1" t="s">
        <v>2128</v>
      </c>
      <c r="K1503" s="1" t="s">
        <v>2551</v>
      </c>
    </row>
    <row r="1504" spans="1:11" ht="60" x14ac:dyDescent="0.25">
      <c r="A1504" t="s">
        <v>37</v>
      </c>
      <c r="B1504" t="s">
        <v>2500</v>
      </c>
      <c r="C1504" t="s">
        <v>50</v>
      </c>
      <c r="D1504" t="s">
        <v>843</v>
      </c>
      <c r="E1504" t="s">
        <v>30</v>
      </c>
      <c r="F1504" t="s">
        <v>94</v>
      </c>
      <c r="G1504" t="s">
        <v>32</v>
      </c>
      <c r="H1504" t="s">
        <v>173</v>
      </c>
      <c r="I1504" s="1" t="s">
        <v>2552</v>
      </c>
      <c r="J1504" s="1" t="s">
        <v>684</v>
      </c>
      <c r="K1504" s="1" t="s">
        <v>2553</v>
      </c>
    </row>
    <row r="1505" spans="1:11" ht="90" x14ac:dyDescent="0.25">
      <c r="A1505" t="s">
        <v>49</v>
      </c>
      <c r="B1505" t="s">
        <v>2500</v>
      </c>
      <c r="C1505" t="s">
        <v>96</v>
      </c>
      <c r="D1505" t="s">
        <v>2554</v>
      </c>
      <c r="E1505" t="s">
        <v>79</v>
      </c>
      <c r="F1505" t="s">
        <v>196</v>
      </c>
      <c r="G1505" t="s">
        <v>81</v>
      </c>
      <c r="H1505" t="s">
        <v>87</v>
      </c>
      <c r="I1505" s="1" t="s">
        <v>2555</v>
      </c>
      <c r="J1505" s="1" t="s">
        <v>2284</v>
      </c>
      <c r="K1505" s="1" t="s">
        <v>2556</v>
      </c>
    </row>
    <row r="1506" spans="1:11" ht="180" x14ac:dyDescent="0.25">
      <c r="A1506" t="s">
        <v>49</v>
      </c>
      <c r="B1506" t="s">
        <v>2500</v>
      </c>
      <c r="C1506" t="s">
        <v>85</v>
      </c>
      <c r="D1506" t="s">
        <v>667</v>
      </c>
      <c r="E1506" t="s">
        <v>30</v>
      </c>
      <c r="F1506" t="s">
        <v>166</v>
      </c>
      <c r="G1506" t="s">
        <v>32</v>
      </c>
      <c r="H1506" t="s">
        <v>173</v>
      </c>
      <c r="I1506" s="1" t="s">
        <v>2557</v>
      </c>
      <c r="J1506" s="1" t="s">
        <v>21</v>
      </c>
      <c r="K1506" s="1" t="s">
        <v>2558</v>
      </c>
    </row>
    <row r="1507" spans="1:11" ht="30" x14ac:dyDescent="0.25">
      <c r="A1507" t="s">
        <v>64</v>
      </c>
      <c r="B1507" t="s">
        <v>2500</v>
      </c>
      <c r="C1507" t="s">
        <v>73</v>
      </c>
      <c r="D1507" t="s">
        <v>857</v>
      </c>
      <c r="E1507" t="s">
        <v>79</v>
      </c>
      <c r="F1507" t="s">
        <v>492</v>
      </c>
      <c r="G1507" t="s">
        <v>32</v>
      </c>
      <c r="H1507" t="s">
        <v>87</v>
      </c>
      <c r="I1507" s="1" t="s">
        <v>2559</v>
      </c>
      <c r="J1507" s="1" t="s">
        <v>21</v>
      </c>
      <c r="K1507" s="1" t="s">
        <v>2560</v>
      </c>
    </row>
    <row r="1508" spans="1:11" ht="60" x14ac:dyDescent="0.25">
      <c r="A1508" t="s">
        <v>64</v>
      </c>
      <c r="B1508" t="s">
        <v>2500</v>
      </c>
      <c r="C1508" t="s">
        <v>44</v>
      </c>
      <c r="D1508" t="s">
        <v>45</v>
      </c>
      <c r="E1508" t="s">
        <v>30</v>
      </c>
      <c r="F1508" t="s">
        <v>119</v>
      </c>
      <c r="G1508" t="s">
        <v>69</v>
      </c>
      <c r="H1508" t="s">
        <v>87</v>
      </c>
      <c r="I1508" s="1" t="s">
        <v>2561</v>
      </c>
      <c r="J1508" s="1" t="s">
        <v>17</v>
      </c>
      <c r="K1508" s="1" t="s">
        <v>2562</v>
      </c>
    </row>
    <row r="1509" spans="1:11" ht="135" x14ac:dyDescent="0.25">
      <c r="A1509" t="s">
        <v>26</v>
      </c>
      <c r="B1509" t="s">
        <v>2563</v>
      </c>
      <c r="C1509" t="s">
        <v>263</v>
      </c>
      <c r="D1509" t="s">
        <v>1253</v>
      </c>
      <c r="E1509" t="s">
        <v>30</v>
      </c>
      <c r="F1509" t="s">
        <v>287</v>
      </c>
      <c r="G1509" t="s">
        <v>32</v>
      </c>
      <c r="H1509" t="s">
        <v>173</v>
      </c>
      <c r="I1509" s="1" t="s">
        <v>2564</v>
      </c>
      <c r="J1509" s="1" t="s">
        <v>697</v>
      </c>
      <c r="K1509" s="1" t="s">
        <v>2565</v>
      </c>
    </row>
    <row r="1510" spans="1:11" ht="60" x14ac:dyDescent="0.25">
      <c r="A1510" t="s">
        <v>26</v>
      </c>
      <c r="B1510" t="s">
        <v>2563</v>
      </c>
      <c r="C1510" t="s">
        <v>69</v>
      </c>
      <c r="D1510" t="s">
        <v>557</v>
      </c>
      <c r="E1510" t="s">
        <v>30</v>
      </c>
      <c r="F1510" t="s">
        <v>189</v>
      </c>
      <c r="G1510" t="s">
        <v>69</v>
      </c>
      <c r="H1510" t="s">
        <v>87</v>
      </c>
      <c r="I1510" s="1" t="s">
        <v>2566</v>
      </c>
      <c r="J1510" s="1" t="s">
        <v>697</v>
      </c>
      <c r="K1510" s="1" t="s">
        <v>2567</v>
      </c>
    </row>
    <row r="1511" spans="1:11" ht="75" x14ac:dyDescent="0.25">
      <c r="A1511" t="s">
        <v>26</v>
      </c>
      <c r="B1511" t="s">
        <v>2563</v>
      </c>
      <c r="C1511" t="s">
        <v>92</v>
      </c>
      <c r="D1511" t="s">
        <v>477</v>
      </c>
      <c r="E1511" t="s">
        <v>30</v>
      </c>
      <c r="F1511" t="s">
        <v>119</v>
      </c>
      <c r="G1511" t="s">
        <v>32</v>
      </c>
      <c r="H1511" t="s">
        <v>87</v>
      </c>
      <c r="I1511" s="1" t="s">
        <v>2568</v>
      </c>
      <c r="J1511" s="1" t="s">
        <v>1880</v>
      </c>
      <c r="K1511" s="1" t="s">
        <v>2569</v>
      </c>
    </row>
    <row r="1512" spans="1:11" ht="75" x14ac:dyDescent="0.25">
      <c r="A1512" t="s">
        <v>26</v>
      </c>
      <c r="B1512" t="s">
        <v>2563</v>
      </c>
      <c r="C1512" t="s">
        <v>249</v>
      </c>
      <c r="D1512" t="s">
        <v>373</v>
      </c>
      <c r="E1512" t="s">
        <v>30</v>
      </c>
      <c r="F1512" t="s">
        <v>154</v>
      </c>
      <c r="G1512" t="s">
        <v>32</v>
      </c>
      <c r="H1512" t="s">
        <v>87</v>
      </c>
      <c r="I1512" s="1" t="s">
        <v>2570</v>
      </c>
      <c r="J1512" s="1" t="s">
        <v>697</v>
      </c>
      <c r="K1512" s="1" t="s">
        <v>2571</v>
      </c>
    </row>
    <row r="1513" spans="1:11" ht="60" x14ac:dyDescent="0.25">
      <c r="A1513" t="s">
        <v>26</v>
      </c>
      <c r="B1513" t="s">
        <v>2572</v>
      </c>
      <c r="C1513" t="s">
        <v>96</v>
      </c>
      <c r="D1513" t="s">
        <v>139</v>
      </c>
      <c r="E1513" t="s">
        <v>30</v>
      </c>
      <c r="F1513" t="s">
        <v>61</v>
      </c>
      <c r="G1513" t="s">
        <v>81</v>
      </c>
      <c r="H1513" t="s">
        <v>87</v>
      </c>
      <c r="I1513" s="1" t="s">
        <v>2573</v>
      </c>
      <c r="J1513" s="1" t="s">
        <v>481</v>
      </c>
      <c r="K1513" s="1" t="s">
        <v>2574</v>
      </c>
    </row>
    <row r="1514" spans="1:11" ht="105" x14ac:dyDescent="0.25">
      <c r="A1514" t="s">
        <v>26</v>
      </c>
      <c r="B1514" t="s">
        <v>2572</v>
      </c>
      <c r="C1514" t="s">
        <v>263</v>
      </c>
      <c r="D1514" t="s">
        <v>834</v>
      </c>
      <c r="E1514" t="s">
        <v>30</v>
      </c>
      <c r="F1514" t="s">
        <v>94</v>
      </c>
      <c r="G1514" t="s">
        <v>38</v>
      </c>
      <c r="H1514" t="s">
        <v>87</v>
      </c>
      <c r="I1514" s="1" t="s">
        <v>2575</v>
      </c>
      <c r="J1514" s="1" t="s">
        <v>104</v>
      </c>
      <c r="K1514" s="1" t="s">
        <v>2438</v>
      </c>
    </row>
    <row r="1515" spans="1:11" ht="75" x14ac:dyDescent="0.25">
      <c r="A1515" t="s">
        <v>26</v>
      </c>
      <c r="B1515" t="s">
        <v>2572</v>
      </c>
      <c r="C1515" t="s">
        <v>249</v>
      </c>
      <c r="D1515" t="s">
        <v>657</v>
      </c>
      <c r="E1515" t="s">
        <v>79</v>
      </c>
      <c r="F1515" t="s">
        <v>61</v>
      </c>
      <c r="G1515" t="s">
        <v>32</v>
      </c>
      <c r="H1515" t="s">
        <v>87</v>
      </c>
      <c r="I1515" s="1" t="s">
        <v>2576</v>
      </c>
      <c r="J1515" s="1" t="s">
        <v>2190</v>
      </c>
      <c r="K1515" s="1" t="s">
        <v>2577</v>
      </c>
    </row>
    <row r="1516" spans="1:11" ht="105" x14ac:dyDescent="0.25">
      <c r="A1516" t="s">
        <v>26</v>
      </c>
      <c r="B1516" t="s">
        <v>2572</v>
      </c>
      <c r="C1516" t="s">
        <v>249</v>
      </c>
      <c r="D1516" t="s">
        <v>1695</v>
      </c>
      <c r="E1516" t="s">
        <v>30</v>
      </c>
      <c r="F1516" t="s">
        <v>196</v>
      </c>
      <c r="G1516" t="s">
        <v>32</v>
      </c>
      <c r="H1516" t="s">
        <v>87</v>
      </c>
      <c r="I1516" s="1" t="s">
        <v>2578</v>
      </c>
      <c r="J1516" s="1" t="s">
        <v>15</v>
      </c>
      <c r="K1516" s="1" t="s">
        <v>2579</v>
      </c>
    </row>
    <row r="1517" spans="1:11" ht="75" x14ac:dyDescent="0.25">
      <c r="A1517" t="s">
        <v>26</v>
      </c>
      <c r="B1517" t="s">
        <v>2572</v>
      </c>
      <c r="C1517" t="s">
        <v>96</v>
      </c>
      <c r="D1517" t="s">
        <v>1064</v>
      </c>
      <c r="E1517" t="s">
        <v>30</v>
      </c>
      <c r="F1517" t="s">
        <v>94</v>
      </c>
      <c r="G1517" t="s">
        <v>32</v>
      </c>
      <c r="H1517" t="s">
        <v>33</v>
      </c>
      <c r="I1517" s="1" t="s">
        <v>2580</v>
      </c>
      <c r="J1517" s="1" t="s">
        <v>21</v>
      </c>
      <c r="K1517" s="1" t="s">
        <v>2581</v>
      </c>
    </row>
    <row r="1518" spans="1:11" ht="105" x14ac:dyDescent="0.25">
      <c r="A1518" t="s">
        <v>26</v>
      </c>
      <c r="B1518" t="s">
        <v>2572</v>
      </c>
      <c r="C1518" t="s">
        <v>240</v>
      </c>
      <c r="D1518" t="s">
        <v>703</v>
      </c>
      <c r="E1518" t="s">
        <v>79</v>
      </c>
      <c r="F1518" t="s">
        <v>294</v>
      </c>
      <c r="G1518" t="s">
        <v>69</v>
      </c>
      <c r="H1518" t="s">
        <v>173</v>
      </c>
      <c r="I1518" s="1" t="s">
        <v>2582</v>
      </c>
      <c r="J1518" s="1" t="s">
        <v>1867</v>
      </c>
      <c r="K1518" s="1" t="s">
        <v>2583</v>
      </c>
    </row>
    <row r="1519" spans="1:11" ht="195" x14ac:dyDescent="0.25">
      <c r="A1519" t="s">
        <v>26</v>
      </c>
      <c r="B1519" t="s">
        <v>2572</v>
      </c>
      <c r="C1519" t="s">
        <v>28</v>
      </c>
      <c r="D1519" t="s">
        <v>751</v>
      </c>
      <c r="E1519" t="s">
        <v>30</v>
      </c>
      <c r="F1519" t="s">
        <v>61</v>
      </c>
      <c r="G1519" t="s">
        <v>69</v>
      </c>
      <c r="H1519" t="s">
        <v>173</v>
      </c>
      <c r="I1519" s="1" t="s">
        <v>2584</v>
      </c>
      <c r="J1519" s="1" t="s">
        <v>2585</v>
      </c>
      <c r="K1519" s="1" t="s">
        <v>2586</v>
      </c>
    </row>
    <row r="1520" spans="1:11" ht="120" x14ac:dyDescent="0.25">
      <c r="A1520" t="s">
        <v>26</v>
      </c>
      <c r="B1520" t="s">
        <v>2572</v>
      </c>
      <c r="C1520" t="s">
        <v>44</v>
      </c>
      <c r="D1520" t="s">
        <v>655</v>
      </c>
      <c r="E1520" t="s">
        <v>30</v>
      </c>
      <c r="F1520" t="s">
        <v>61</v>
      </c>
      <c r="G1520" t="s">
        <v>69</v>
      </c>
      <c r="H1520" t="s">
        <v>87</v>
      </c>
      <c r="I1520" s="1" t="s">
        <v>2587</v>
      </c>
      <c r="J1520" s="1" t="s">
        <v>697</v>
      </c>
      <c r="K1520" s="1" t="s">
        <v>2588</v>
      </c>
    </row>
    <row r="1521" spans="1:11" ht="60" x14ac:dyDescent="0.25">
      <c r="A1521" t="s">
        <v>26</v>
      </c>
      <c r="B1521" t="s">
        <v>2572</v>
      </c>
      <c r="C1521" t="s">
        <v>32</v>
      </c>
      <c r="D1521" t="s">
        <v>1116</v>
      </c>
      <c r="E1521" t="s">
        <v>30</v>
      </c>
      <c r="F1521" t="s">
        <v>130</v>
      </c>
      <c r="G1521" t="s">
        <v>32</v>
      </c>
      <c r="H1521" t="s">
        <v>87</v>
      </c>
      <c r="I1521" s="1" t="s">
        <v>2589</v>
      </c>
      <c r="J1521" s="1" t="s">
        <v>2590</v>
      </c>
      <c r="K1521" s="1" t="s">
        <v>2591</v>
      </c>
    </row>
    <row r="1522" spans="1:11" ht="135" x14ac:dyDescent="0.25">
      <c r="A1522" t="s">
        <v>26</v>
      </c>
      <c r="B1522" t="s">
        <v>2572</v>
      </c>
      <c r="C1522" t="s">
        <v>106</v>
      </c>
      <c r="D1522" t="s">
        <v>922</v>
      </c>
      <c r="E1522" t="s">
        <v>30</v>
      </c>
      <c r="F1522" t="s">
        <v>94</v>
      </c>
      <c r="G1522" t="s">
        <v>32</v>
      </c>
      <c r="H1522" t="s">
        <v>87</v>
      </c>
      <c r="I1522" s="1" t="s">
        <v>2592</v>
      </c>
      <c r="J1522" s="1" t="s">
        <v>21</v>
      </c>
      <c r="K1522" s="1" t="s">
        <v>2593</v>
      </c>
    </row>
    <row r="1523" spans="1:11" ht="105" x14ac:dyDescent="0.25">
      <c r="A1523" t="s">
        <v>37</v>
      </c>
      <c r="B1523" t="s">
        <v>2572</v>
      </c>
      <c r="C1523" t="s">
        <v>44</v>
      </c>
      <c r="D1523" t="s">
        <v>45</v>
      </c>
      <c r="E1523" t="s">
        <v>79</v>
      </c>
      <c r="F1523" t="s">
        <v>140</v>
      </c>
      <c r="G1523" t="s">
        <v>69</v>
      </c>
      <c r="H1523" t="s">
        <v>33</v>
      </c>
      <c r="I1523" s="1" t="s">
        <v>2594</v>
      </c>
      <c r="J1523" s="1" t="s">
        <v>426</v>
      </c>
      <c r="K1523" s="1" t="s">
        <v>2595</v>
      </c>
    </row>
    <row r="1524" spans="1:11" ht="45" x14ac:dyDescent="0.25">
      <c r="A1524" t="s">
        <v>49</v>
      </c>
      <c r="B1524" t="s">
        <v>2572</v>
      </c>
      <c r="C1524" t="s">
        <v>240</v>
      </c>
      <c r="D1524" t="s">
        <v>1634</v>
      </c>
      <c r="E1524" t="s">
        <v>30</v>
      </c>
      <c r="F1524" t="s">
        <v>154</v>
      </c>
      <c r="G1524" t="s">
        <v>32</v>
      </c>
      <c r="H1524" t="s">
        <v>87</v>
      </c>
      <c r="I1524" s="1" t="s">
        <v>2596</v>
      </c>
      <c r="J1524" s="1" t="s">
        <v>684</v>
      </c>
      <c r="K1524" s="1" t="s">
        <v>2597</v>
      </c>
    </row>
    <row r="1525" spans="1:11" ht="105" x14ac:dyDescent="0.25">
      <c r="A1525" t="s">
        <v>37</v>
      </c>
      <c r="B1525" t="s">
        <v>2572</v>
      </c>
      <c r="C1525" t="s">
        <v>28</v>
      </c>
      <c r="D1525" t="s">
        <v>153</v>
      </c>
      <c r="E1525" t="s">
        <v>30</v>
      </c>
      <c r="F1525" t="s">
        <v>681</v>
      </c>
      <c r="G1525" t="s">
        <v>32</v>
      </c>
      <c r="H1525" t="s">
        <v>87</v>
      </c>
      <c r="I1525" s="1" t="s">
        <v>2598</v>
      </c>
      <c r="J1525" s="1" t="s">
        <v>2035</v>
      </c>
      <c r="K1525" s="1" t="s">
        <v>2599</v>
      </c>
    </row>
    <row r="1526" spans="1:11" ht="75" x14ac:dyDescent="0.25">
      <c r="A1526" t="s">
        <v>37</v>
      </c>
      <c r="B1526" t="s">
        <v>2572</v>
      </c>
      <c r="C1526" t="s">
        <v>44</v>
      </c>
      <c r="D1526" t="s">
        <v>215</v>
      </c>
      <c r="E1526" t="s">
        <v>30</v>
      </c>
      <c r="F1526" t="s">
        <v>287</v>
      </c>
      <c r="G1526" t="s">
        <v>32</v>
      </c>
      <c r="H1526" t="s">
        <v>87</v>
      </c>
      <c r="I1526" s="1" t="s">
        <v>2600</v>
      </c>
      <c r="J1526" s="1" t="s">
        <v>1917</v>
      </c>
      <c r="K1526" s="1" t="s">
        <v>2601</v>
      </c>
    </row>
    <row r="1527" spans="1:11" ht="105" x14ac:dyDescent="0.25">
      <c r="A1527" t="s">
        <v>37</v>
      </c>
      <c r="B1527" t="s">
        <v>2572</v>
      </c>
      <c r="C1527" t="s">
        <v>28</v>
      </c>
      <c r="D1527" t="s">
        <v>946</v>
      </c>
      <c r="E1527" t="s">
        <v>79</v>
      </c>
      <c r="F1527" t="s">
        <v>136</v>
      </c>
      <c r="G1527" t="s">
        <v>81</v>
      </c>
      <c r="H1527" t="s">
        <v>87</v>
      </c>
      <c r="I1527" s="1" t="s">
        <v>2602</v>
      </c>
      <c r="J1527" s="1" t="s">
        <v>2010</v>
      </c>
      <c r="K1527" s="1" t="s">
        <v>2603</v>
      </c>
    </row>
    <row r="1528" spans="1:11" ht="60" x14ac:dyDescent="0.25">
      <c r="A1528" t="s">
        <v>26</v>
      </c>
      <c r="B1528" t="s">
        <v>2604</v>
      </c>
      <c r="C1528" t="s">
        <v>472</v>
      </c>
      <c r="D1528" t="s">
        <v>1668</v>
      </c>
      <c r="E1528" t="s">
        <v>30</v>
      </c>
      <c r="F1528" t="s">
        <v>189</v>
      </c>
      <c r="G1528" t="s">
        <v>32</v>
      </c>
      <c r="H1528" t="s">
        <v>33</v>
      </c>
      <c r="I1528" s="1" t="s">
        <v>2605</v>
      </c>
      <c r="J1528" s="1" t="s">
        <v>426</v>
      </c>
      <c r="K1528" s="1" t="s">
        <v>2606</v>
      </c>
    </row>
    <row r="1529" spans="1:11" ht="30" x14ac:dyDescent="0.25">
      <c r="A1529" t="s">
        <v>26</v>
      </c>
      <c r="B1529" t="s">
        <v>2604</v>
      </c>
      <c r="C1529" t="s">
        <v>249</v>
      </c>
      <c r="D1529" t="s">
        <v>1587</v>
      </c>
      <c r="E1529" t="s">
        <v>30</v>
      </c>
      <c r="F1529" t="s">
        <v>189</v>
      </c>
      <c r="G1529" t="s">
        <v>32</v>
      </c>
      <c r="H1529" t="s">
        <v>33</v>
      </c>
      <c r="I1529" s="1" t="s">
        <v>2607</v>
      </c>
      <c r="J1529" s="1" t="s">
        <v>14</v>
      </c>
      <c r="K1529" s="1" t="s">
        <v>2608</v>
      </c>
    </row>
    <row r="1530" spans="1:11" ht="90" x14ac:dyDescent="0.25">
      <c r="A1530" t="s">
        <v>49</v>
      </c>
      <c r="B1530" t="s">
        <v>2604</v>
      </c>
      <c r="C1530" t="s">
        <v>240</v>
      </c>
      <c r="D1530" t="s">
        <v>504</v>
      </c>
      <c r="E1530" t="s">
        <v>79</v>
      </c>
      <c r="F1530" t="s">
        <v>209</v>
      </c>
      <c r="G1530" t="s">
        <v>81</v>
      </c>
      <c r="H1530" t="s">
        <v>87</v>
      </c>
      <c r="I1530" s="1" t="s">
        <v>2609</v>
      </c>
      <c r="J1530" s="1" t="s">
        <v>717</v>
      </c>
      <c r="K1530" s="1" t="s">
        <v>2610</v>
      </c>
    </row>
    <row r="1531" spans="1:11" ht="30" x14ac:dyDescent="0.25">
      <c r="A1531" t="s">
        <v>26</v>
      </c>
      <c r="B1531" t="s">
        <v>2604</v>
      </c>
      <c r="C1531" t="s">
        <v>240</v>
      </c>
      <c r="D1531" t="s">
        <v>267</v>
      </c>
      <c r="E1531" t="s">
        <v>30</v>
      </c>
      <c r="F1531" t="s">
        <v>389</v>
      </c>
      <c r="G1531" t="s">
        <v>32</v>
      </c>
      <c r="H1531" t="s">
        <v>173</v>
      </c>
      <c r="I1531" s="1" t="s">
        <v>2611</v>
      </c>
      <c r="J1531" s="1" t="s">
        <v>17</v>
      </c>
      <c r="K1531" s="1" t="s">
        <v>2612</v>
      </c>
    </row>
    <row r="1532" spans="1:11" ht="105" x14ac:dyDescent="0.25">
      <c r="A1532" t="s">
        <v>26</v>
      </c>
      <c r="B1532" t="s">
        <v>2604</v>
      </c>
      <c r="C1532" t="s">
        <v>50</v>
      </c>
      <c r="D1532" t="s">
        <v>362</v>
      </c>
      <c r="E1532" t="s">
        <v>30</v>
      </c>
      <c r="F1532" t="s">
        <v>1807</v>
      </c>
      <c r="G1532" t="s">
        <v>32</v>
      </c>
      <c r="H1532" t="s">
        <v>33</v>
      </c>
      <c r="I1532" s="1" t="s">
        <v>2613</v>
      </c>
      <c r="J1532" s="1" t="s">
        <v>481</v>
      </c>
      <c r="K1532" s="1" t="s">
        <v>2438</v>
      </c>
    </row>
    <row r="1533" spans="1:11" ht="60" x14ac:dyDescent="0.25">
      <c r="A1533" t="s">
        <v>26</v>
      </c>
      <c r="B1533" t="s">
        <v>2604</v>
      </c>
      <c r="C1533" t="s">
        <v>69</v>
      </c>
      <c r="D1533" t="s">
        <v>229</v>
      </c>
      <c r="E1533" t="s">
        <v>30</v>
      </c>
      <c r="F1533" t="s">
        <v>166</v>
      </c>
      <c r="G1533" t="s">
        <v>32</v>
      </c>
      <c r="H1533" t="s">
        <v>33</v>
      </c>
      <c r="I1533" s="1" t="s">
        <v>2614</v>
      </c>
      <c r="J1533" s="1" t="s">
        <v>426</v>
      </c>
      <c r="K1533" s="1" t="s">
        <v>2615</v>
      </c>
    </row>
    <row r="1534" spans="1:11" ht="30" x14ac:dyDescent="0.25">
      <c r="A1534" t="s">
        <v>49</v>
      </c>
      <c r="B1534" t="s">
        <v>2604</v>
      </c>
      <c r="C1534" t="s">
        <v>85</v>
      </c>
      <c r="D1534" t="s">
        <v>2616</v>
      </c>
      <c r="E1534" t="s">
        <v>30</v>
      </c>
      <c r="F1534" t="s">
        <v>140</v>
      </c>
      <c r="G1534" t="s">
        <v>32</v>
      </c>
      <c r="H1534" t="s">
        <v>33</v>
      </c>
      <c r="I1534" s="1" t="s">
        <v>2617</v>
      </c>
      <c r="J1534" s="1" t="s">
        <v>426</v>
      </c>
      <c r="K1534" s="1" t="s">
        <v>2618</v>
      </c>
    </row>
    <row r="1535" spans="1:11" ht="90" x14ac:dyDescent="0.25">
      <c r="A1535" t="s">
        <v>26</v>
      </c>
      <c r="B1535" t="s">
        <v>2604</v>
      </c>
      <c r="C1535" t="s">
        <v>106</v>
      </c>
      <c r="D1535" t="s">
        <v>370</v>
      </c>
      <c r="E1535" t="s">
        <v>30</v>
      </c>
      <c r="F1535" t="s">
        <v>52</v>
      </c>
      <c r="G1535" t="s">
        <v>32</v>
      </c>
      <c r="H1535" t="s">
        <v>87</v>
      </c>
      <c r="I1535" s="1" t="s">
        <v>2619</v>
      </c>
      <c r="J1535" s="1" t="s">
        <v>697</v>
      </c>
      <c r="K1535" s="1" t="s">
        <v>2620</v>
      </c>
    </row>
    <row r="1536" spans="1:11" ht="60" x14ac:dyDescent="0.25">
      <c r="A1536" t="s">
        <v>49</v>
      </c>
      <c r="B1536" t="s">
        <v>2604</v>
      </c>
      <c r="C1536" t="s">
        <v>85</v>
      </c>
      <c r="D1536" t="s">
        <v>1230</v>
      </c>
      <c r="E1536" t="s">
        <v>30</v>
      </c>
      <c r="F1536" t="s">
        <v>136</v>
      </c>
      <c r="G1536" t="s">
        <v>32</v>
      </c>
      <c r="H1536" t="s">
        <v>33</v>
      </c>
      <c r="I1536" s="1" t="s">
        <v>2621</v>
      </c>
      <c r="J1536" s="1" t="s">
        <v>426</v>
      </c>
    </row>
    <row r="1537" spans="1:11" ht="135" x14ac:dyDescent="0.25">
      <c r="A1537" t="s">
        <v>26</v>
      </c>
      <c r="B1537" t="s">
        <v>2604</v>
      </c>
      <c r="C1537" t="s">
        <v>44</v>
      </c>
      <c r="D1537" t="s">
        <v>616</v>
      </c>
      <c r="E1537" t="s">
        <v>30</v>
      </c>
      <c r="F1537" t="s">
        <v>446</v>
      </c>
      <c r="G1537" t="s">
        <v>69</v>
      </c>
      <c r="H1537" t="s">
        <v>87</v>
      </c>
      <c r="I1537" s="1" t="s">
        <v>2622</v>
      </c>
      <c r="J1537" s="1" t="s">
        <v>2623</v>
      </c>
      <c r="K1537" s="1" t="s">
        <v>2624</v>
      </c>
    </row>
    <row r="1538" spans="1:11" ht="30" x14ac:dyDescent="0.25">
      <c r="A1538" t="s">
        <v>91</v>
      </c>
      <c r="B1538" t="s">
        <v>2604</v>
      </c>
      <c r="C1538" t="s">
        <v>249</v>
      </c>
      <c r="D1538" t="s">
        <v>424</v>
      </c>
      <c r="E1538" t="s">
        <v>79</v>
      </c>
      <c r="F1538" t="s">
        <v>136</v>
      </c>
      <c r="G1538" t="s">
        <v>32</v>
      </c>
      <c r="H1538" t="s">
        <v>33</v>
      </c>
      <c r="I1538" s="1" t="s">
        <v>2625</v>
      </c>
      <c r="J1538" s="1" t="s">
        <v>426</v>
      </c>
      <c r="K1538" s="1" t="s">
        <v>2626</v>
      </c>
    </row>
    <row r="1539" spans="1:11" x14ac:dyDescent="0.25">
      <c r="A1539" t="s">
        <v>37</v>
      </c>
      <c r="B1539" t="s">
        <v>2604</v>
      </c>
      <c r="C1539" t="s">
        <v>96</v>
      </c>
      <c r="D1539" t="s">
        <v>860</v>
      </c>
      <c r="E1539" t="s">
        <v>30</v>
      </c>
      <c r="F1539" t="s">
        <v>119</v>
      </c>
      <c r="G1539" t="s">
        <v>32</v>
      </c>
      <c r="H1539" t="s">
        <v>33</v>
      </c>
      <c r="I1539" s="1" t="s">
        <v>2627</v>
      </c>
      <c r="J1539" s="1" t="s">
        <v>426</v>
      </c>
      <c r="K1539" s="1" t="s">
        <v>2628</v>
      </c>
    </row>
    <row r="1540" spans="1:11" ht="120" x14ac:dyDescent="0.25">
      <c r="A1540" t="s">
        <v>91</v>
      </c>
      <c r="B1540" t="s">
        <v>2604</v>
      </c>
      <c r="C1540" t="s">
        <v>85</v>
      </c>
      <c r="D1540" t="s">
        <v>2629</v>
      </c>
      <c r="E1540" t="s">
        <v>30</v>
      </c>
      <c r="F1540" t="s">
        <v>786</v>
      </c>
      <c r="G1540" t="s">
        <v>81</v>
      </c>
      <c r="H1540" t="s">
        <v>87</v>
      </c>
      <c r="I1540" s="1" t="s">
        <v>2630</v>
      </c>
      <c r="J1540" s="1" t="s">
        <v>481</v>
      </c>
      <c r="K1540" s="1" t="s">
        <v>2631</v>
      </c>
    </row>
    <row r="1541" spans="1:11" ht="105" x14ac:dyDescent="0.25">
      <c r="A1541" t="s">
        <v>37</v>
      </c>
      <c r="B1541" t="s">
        <v>2604</v>
      </c>
      <c r="C1541" t="s">
        <v>235</v>
      </c>
      <c r="D1541" t="s">
        <v>2632</v>
      </c>
      <c r="E1541" t="s">
        <v>30</v>
      </c>
      <c r="F1541" t="s">
        <v>154</v>
      </c>
      <c r="G1541" t="s">
        <v>32</v>
      </c>
      <c r="H1541" t="s">
        <v>87</v>
      </c>
      <c r="I1541" s="1" t="s">
        <v>2633</v>
      </c>
      <c r="J1541" s="1" t="s">
        <v>15</v>
      </c>
      <c r="K1541" s="1" t="s">
        <v>2634</v>
      </c>
    </row>
    <row r="1542" spans="1:11" ht="105" x14ac:dyDescent="0.25">
      <c r="A1542" t="s">
        <v>64</v>
      </c>
      <c r="B1542" t="s">
        <v>2604</v>
      </c>
      <c r="C1542" t="s">
        <v>69</v>
      </c>
      <c r="D1542" t="s">
        <v>297</v>
      </c>
      <c r="E1542" t="s">
        <v>30</v>
      </c>
      <c r="F1542" t="s">
        <v>182</v>
      </c>
      <c r="G1542" t="s">
        <v>69</v>
      </c>
      <c r="H1542" t="s">
        <v>33</v>
      </c>
      <c r="I1542" s="1" t="s">
        <v>2635</v>
      </c>
      <c r="J1542" s="1" t="s">
        <v>481</v>
      </c>
      <c r="K1542" s="1" t="s">
        <v>2489</v>
      </c>
    </row>
    <row r="1543" spans="1:11" ht="30" x14ac:dyDescent="0.25">
      <c r="A1543" t="s">
        <v>37</v>
      </c>
      <c r="B1543" t="s">
        <v>2604</v>
      </c>
      <c r="C1543" t="s">
        <v>73</v>
      </c>
      <c r="D1543" t="s">
        <v>743</v>
      </c>
      <c r="E1543" t="s">
        <v>30</v>
      </c>
      <c r="F1543" t="s">
        <v>130</v>
      </c>
      <c r="G1543" t="s">
        <v>69</v>
      </c>
      <c r="H1543" t="s">
        <v>173</v>
      </c>
      <c r="I1543" s="1" t="s">
        <v>2636</v>
      </c>
    </row>
    <row r="1544" spans="1:11" ht="60" x14ac:dyDescent="0.25">
      <c r="A1544" t="s">
        <v>37</v>
      </c>
      <c r="B1544" t="s">
        <v>2637</v>
      </c>
      <c r="C1544" t="s">
        <v>55</v>
      </c>
      <c r="D1544" t="s">
        <v>579</v>
      </c>
      <c r="E1544" t="s">
        <v>30</v>
      </c>
      <c r="F1544" t="s">
        <v>331</v>
      </c>
      <c r="G1544" t="s">
        <v>32</v>
      </c>
      <c r="H1544" t="s">
        <v>33</v>
      </c>
      <c r="I1544" s="1" t="s">
        <v>2638</v>
      </c>
      <c r="J1544" s="1" t="s">
        <v>426</v>
      </c>
    </row>
    <row r="1545" spans="1:11" ht="60" x14ac:dyDescent="0.25">
      <c r="A1545" t="s">
        <v>49</v>
      </c>
      <c r="B1545" t="s">
        <v>2637</v>
      </c>
      <c r="C1545" t="s">
        <v>44</v>
      </c>
      <c r="D1545" t="s">
        <v>821</v>
      </c>
      <c r="E1545" t="s">
        <v>30</v>
      </c>
      <c r="F1545" t="s">
        <v>61</v>
      </c>
      <c r="G1545" t="s">
        <v>69</v>
      </c>
      <c r="H1545" t="s">
        <v>87</v>
      </c>
      <c r="I1545" s="1" t="s">
        <v>2639</v>
      </c>
      <c r="J1545" s="1" t="s">
        <v>436</v>
      </c>
      <c r="K1545" s="1" t="s">
        <v>2640</v>
      </c>
    </row>
    <row r="1546" spans="1:11" ht="90" x14ac:dyDescent="0.25">
      <c r="A1546" t="s">
        <v>26</v>
      </c>
      <c r="B1546" t="s">
        <v>2637</v>
      </c>
      <c r="C1546" t="s">
        <v>96</v>
      </c>
      <c r="D1546" t="s">
        <v>195</v>
      </c>
      <c r="E1546" t="s">
        <v>30</v>
      </c>
      <c r="F1546" t="s">
        <v>154</v>
      </c>
      <c r="G1546" t="s">
        <v>69</v>
      </c>
      <c r="H1546" t="s">
        <v>87</v>
      </c>
      <c r="I1546" s="1" t="s">
        <v>2641</v>
      </c>
      <c r="J1546" s="1" t="s">
        <v>2642</v>
      </c>
      <c r="K1546" s="1" t="s">
        <v>2643</v>
      </c>
    </row>
    <row r="1547" spans="1:11" ht="30" x14ac:dyDescent="0.25">
      <c r="A1547" t="s">
        <v>26</v>
      </c>
      <c r="B1547" t="s">
        <v>2637</v>
      </c>
      <c r="C1547" t="s">
        <v>28</v>
      </c>
      <c r="D1547" t="s">
        <v>1761</v>
      </c>
      <c r="E1547" t="s">
        <v>30</v>
      </c>
      <c r="F1547" t="s">
        <v>130</v>
      </c>
      <c r="G1547" t="s">
        <v>69</v>
      </c>
      <c r="H1547" t="s">
        <v>87</v>
      </c>
      <c r="I1547" s="1" t="s">
        <v>2644</v>
      </c>
      <c r="J1547" s="1" t="s">
        <v>21</v>
      </c>
      <c r="K1547" s="1" t="s">
        <v>2645</v>
      </c>
    </row>
    <row r="1548" spans="1:11" ht="75" x14ac:dyDescent="0.25">
      <c r="A1548" t="s">
        <v>64</v>
      </c>
      <c r="B1548" t="s">
        <v>2637</v>
      </c>
      <c r="C1548" t="s">
        <v>249</v>
      </c>
      <c r="D1548" t="s">
        <v>776</v>
      </c>
      <c r="E1548" t="s">
        <v>79</v>
      </c>
      <c r="F1548" t="s">
        <v>290</v>
      </c>
      <c r="G1548" t="s">
        <v>32</v>
      </c>
      <c r="H1548" t="s">
        <v>33</v>
      </c>
      <c r="I1548" s="1" t="s">
        <v>2646</v>
      </c>
      <c r="J1548" s="1" t="s">
        <v>426</v>
      </c>
      <c r="K1548" s="1" t="s">
        <v>2647</v>
      </c>
    </row>
    <row r="1549" spans="1:11" ht="75" x14ac:dyDescent="0.25">
      <c r="A1549" t="s">
        <v>49</v>
      </c>
      <c r="B1549" t="s">
        <v>2637</v>
      </c>
      <c r="C1549" t="s">
        <v>28</v>
      </c>
      <c r="D1549" t="s">
        <v>273</v>
      </c>
      <c r="E1549" t="s">
        <v>30</v>
      </c>
      <c r="F1549" t="s">
        <v>205</v>
      </c>
      <c r="G1549" t="s">
        <v>32</v>
      </c>
      <c r="H1549" t="s">
        <v>33</v>
      </c>
      <c r="I1549" s="1" t="s">
        <v>2648</v>
      </c>
      <c r="J1549" s="1" t="s">
        <v>2028</v>
      </c>
      <c r="K1549" s="1" t="s">
        <v>2649</v>
      </c>
    </row>
    <row r="1550" spans="1:11" ht="30" x14ac:dyDescent="0.25">
      <c r="A1550" t="s">
        <v>49</v>
      </c>
      <c r="B1550" t="s">
        <v>2637</v>
      </c>
      <c r="C1550" t="s">
        <v>73</v>
      </c>
      <c r="D1550" t="s">
        <v>1781</v>
      </c>
      <c r="E1550" t="s">
        <v>30</v>
      </c>
      <c r="F1550" t="s">
        <v>161</v>
      </c>
      <c r="G1550" t="s">
        <v>69</v>
      </c>
      <c r="H1550" t="s">
        <v>33</v>
      </c>
      <c r="I1550" s="1" t="s">
        <v>2650</v>
      </c>
      <c r="J1550" s="1" t="s">
        <v>15</v>
      </c>
    </row>
    <row r="1551" spans="1:11" ht="75" x14ac:dyDescent="0.25">
      <c r="A1551" t="s">
        <v>49</v>
      </c>
      <c r="B1551" t="s">
        <v>2637</v>
      </c>
      <c r="C1551" t="s">
        <v>50</v>
      </c>
      <c r="D1551" t="s">
        <v>1013</v>
      </c>
      <c r="E1551" t="s">
        <v>30</v>
      </c>
      <c r="F1551" t="s">
        <v>280</v>
      </c>
      <c r="G1551" t="s">
        <v>32</v>
      </c>
      <c r="H1551" t="s">
        <v>173</v>
      </c>
      <c r="I1551" s="1" t="s">
        <v>2651</v>
      </c>
      <c r="J1551" s="1" t="s">
        <v>481</v>
      </c>
      <c r="K1551" s="1" t="s">
        <v>2652</v>
      </c>
    </row>
    <row r="1552" spans="1:11" ht="105" x14ac:dyDescent="0.25">
      <c r="A1552" t="s">
        <v>49</v>
      </c>
      <c r="B1552" t="s">
        <v>2637</v>
      </c>
      <c r="C1552" t="s">
        <v>472</v>
      </c>
      <c r="D1552" t="s">
        <v>839</v>
      </c>
      <c r="E1552" t="s">
        <v>30</v>
      </c>
      <c r="F1552" t="s">
        <v>94</v>
      </c>
      <c r="G1552" t="s">
        <v>32</v>
      </c>
      <c r="H1552" t="s">
        <v>173</v>
      </c>
      <c r="I1552" s="1" t="s">
        <v>2653</v>
      </c>
      <c r="J1552" s="1" t="s">
        <v>426</v>
      </c>
      <c r="K1552" s="1" t="s">
        <v>2654</v>
      </c>
    </row>
    <row r="1553" spans="1:11" ht="45" x14ac:dyDescent="0.25">
      <c r="A1553" t="s">
        <v>37</v>
      </c>
      <c r="B1553" t="s">
        <v>2637</v>
      </c>
      <c r="C1553" t="s">
        <v>50</v>
      </c>
      <c r="D1553" t="s">
        <v>362</v>
      </c>
      <c r="E1553" t="s">
        <v>30</v>
      </c>
      <c r="F1553" t="s">
        <v>602</v>
      </c>
      <c r="G1553" t="s">
        <v>32</v>
      </c>
      <c r="H1553" t="s">
        <v>33</v>
      </c>
      <c r="I1553" s="1" t="s">
        <v>2655</v>
      </c>
      <c r="J1553" s="1" t="s">
        <v>481</v>
      </c>
    </row>
    <row r="1554" spans="1:11" ht="105" x14ac:dyDescent="0.25">
      <c r="A1554" t="s">
        <v>37</v>
      </c>
      <c r="B1554" t="s">
        <v>2637</v>
      </c>
      <c r="C1554" t="s">
        <v>85</v>
      </c>
      <c r="D1554" t="s">
        <v>1527</v>
      </c>
      <c r="E1554" t="s">
        <v>30</v>
      </c>
      <c r="F1554" t="s">
        <v>112</v>
      </c>
      <c r="G1554" t="s">
        <v>38</v>
      </c>
      <c r="H1554" t="s">
        <v>87</v>
      </c>
      <c r="I1554" s="1" t="s">
        <v>2656</v>
      </c>
      <c r="J1554" s="1" t="s">
        <v>89</v>
      </c>
      <c r="K1554" s="1" t="s">
        <v>2657</v>
      </c>
    </row>
    <row r="1555" spans="1:11" x14ac:dyDescent="0.25">
      <c r="A1555" t="s">
        <v>26</v>
      </c>
      <c r="B1555" t="s">
        <v>2658</v>
      </c>
      <c r="C1555" t="s">
        <v>249</v>
      </c>
      <c r="D1555" t="s">
        <v>639</v>
      </c>
      <c r="E1555" t="s">
        <v>30</v>
      </c>
      <c r="F1555" t="s">
        <v>186</v>
      </c>
      <c r="G1555" t="s">
        <v>32</v>
      </c>
      <c r="H1555" t="s">
        <v>173</v>
      </c>
      <c r="I1555" s="1" t="s">
        <v>2659</v>
      </c>
      <c r="J1555" s="1" t="s">
        <v>17</v>
      </c>
      <c r="K1555" s="1" t="s">
        <v>2660</v>
      </c>
    </row>
    <row r="1556" spans="1:11" ht="60" x14ac:dyDescent="0.25">
      <c r="A1556" t="s">
        <v>26</v>
      </c>
      <c r="B1556" t="s">
        <v>2658</v>
      </c>
      <c r="C1556" t="s">
        <v>263</v>
      </c>
      <c r="D1556" t="s">
        <v>834</v>
      </c>
      <c r="E1556" t="s">
        <v>30</v>
      </c>
      <c r="F1556" t="s">
        <v>602</v>
      </c>
      <c r="G1556" t="s">
        <v>69</v>
      </c>
      <c r="H1556" t="s">
        <v>87</v>
      </c>
      <c r="I1556" s="1" t="s">
        <v>2661</v>
      </c>
      <c r="J1556" s="1" t="s">
        <v>15</v>
      </c>
      <c r="K1556" s="1" t="s">
        <v>2662</v>
      </c>
    </row>
    <row r="1557" spans="1:11" ht="105" x14ac:dyDescent="0.25">
      <c r="A1557" t="s">
        <v>26</v>
      </c>
      <c r="B1557" t="s">
        <v>2658</v>
      </c>
      <c r="C1557" t="s">
        <v>249</v>
      </c>
      <c r="D1557" t="s">
        <v>2663</v>
      </c>
      <c r="E1557" t="s">
        <v>30</v>
      </c>
      <c r="F1557" t="s">
        <v>154</v>
      </c>
      <c r="G1557" t="s">
        <v>32</v>
      </c>
      <c r="H1557" t="s">
        <v>173</v>
      </c>
      <c r="I1557" s="1" t="s">
        <v>2664</v>
      </c>
      <c r="J1557" s="1" t="s">
        <v>697</v>
      </c>
      <c r="K1557" s="1" t="s">
        <v>2665</v>
      </c>
    </row>
    <row r="1558" spans="1:11" ht="60" x14ac:dyDescent="0.25">
      <c r="A1558" t="s">
        <v>26</v>
      </c>
      <c r="B1558" t="s">
        <v>2658</v>
      </c>
      <c r="C1558" t="s">
        <v>92</v>
      </c>
      <c r="D1558" t="s">
        <v>93</v>
      </c>
      <c r="E1558" t="s">
        <v>30</v>
      </c>
      <c r="F1558" t="s">
        <v>246</v>
      </c>
      <c r="G1558" t="s">
        <v>32</v>
      </c>
      <c r="H1558" t="s">
        <v>173</v>
      </c>
      <c r="I1558" s="1" t="s">
        <v>2666</v>
      </c>
      <c r="J1558" s="1" t="s">
        <v>426</v>
      </c>
      <c r="K1558" s="1" t="s">
        <v>2667</v>
      </c>
    </row>
    <row r="1559" spans="1:11" ht="45" x14ac:dyDescent="0.25">
      <c r="A1559" t="s">
        <v>26</v>
      </c>
      <c r="B1559" t="s">
        <v>2658</v>
      </c>
      <c r="C1559" t="s">
        <v>96</v>
      </c>
      <c r="D1559" t="s">
        <v>2668</v>
      </c>
      <c r="E1559" t="s">
        <v>30</v>
      </c>
      <c r="F1559" t="s">
        <v>543</v>
      </c>
      <c r="G1559" t="s">
        <v>69</v>
      </c>
      <c r="H1559" t="s">
        <v>173</v>
      </c>
      <c r="I1559" s="1" t="s">
        <v>2669</v>
      </c>
      <c r="J1559" s="1" t="s">
        <v>1917</v>
      </c>
      <c r="K1559" s="1" t="s">
        <v>2670</v>
      </c>
    </row>
    <row r="1560" spans="1:11" ht="60" x14ac:dyDescent="0.25">
      <c r="A1560" t="s">
        <v>26</v>
      </c>
      <c r="B1560" t="s">
        <v>2658</v>
      </c>
      <c r="C1560" t="s">
        <v>249</v>
      </c>
      <c r="D1560" t="s">
        <v>401</v>
      </c>
      <c r="E1560" t="s">
        <v>30</v>
      </c>
      <c r="F1560" t="s">
        <v>182</v>
      </c>
      <c r="G1560" t="s">
        <v>32</v>
      </c>
      <c r="H1560" t="s">
        <v>33</v>
      </c>
      <c r="I1560" s="1" t="s">
        <v>2671</v>
      </c>
      <c r="J1560" s="1" t="s">
        <v>426</v>
      </c>
      <c r="K1560" s="1" t="s">
        <v>2672</v>
      </c>
    </row>
    <row r="1561" spans="1:11" ht="60" x14ac:dyDescent="0.25">
      <c r="A1561" t="s">
        <v>26</v>
      </c>
      <c r="B1561" t="s">
        <v>2658</v>
      </c>
      <c r="C1561" t="s">
        <v>249</v>
      </c>
      <c r="D1561" t="s">
        <v>1454</v>
      </c>
      <c r="E1561" t="s">
        <v>30</v>
      </c>
      <c r="F1561" t="s">
        <v>112</v>
      </c>
      <c r="G1561" t="s">
        <v>69</v>
      </c>
      <c r="H1561" t="s">
        <v>173</v>
      </c>
      <c r="I1561" s="1" t="s">
        <v>2673</v>
      </c>
      <c r="J1561" s="1" t="s">
        <v>481</v>
      </c>
      <c r="K1561" s="1" t="s">
        <v>2674</v>
      </c>
    </row>
    <row r="1562" spans="1:11" ht="45" x14ac:dyDescent="0.25">
      <c r="A1562" t="s">
        <v>26</v>
      </c>
      <c r="B1562" t="s">
        <v>2658</v>
      </c>
      <c r="C1562" t="s">
        <v>240</v>
      </c>
      <c r="D1562" t="s">
        <v>504</v>
      </c>
      <c r="E1562" t="s">
        <v>30</v>
      </c>
      <c r="F1562" t="s">
        <v>61</v>
      </c>
      <c r="G1562" t="s">
        <v>32</v>
      </c>
      <c r="H1562" t="s">
        <v>33</v>
      </c>
      <c r="I1562" s="1" t="s">
        <v>2675</v>
      </c>
      <c r="J1562" s="1" t="s">
        <v>104</v>
      </c>
      <c r="K1562" s="1" t="s">
        <v>2603</v>
      </c>
    </row>
    <row r="1563" spans="1:11" x14ac:dyDescent="0.25">
      <c r="A1563" t="s">
        <v>26</v>
      </c>
      <c r="B1563" t="s">
        <v>2658</v>
      </c>
      <c r="C1563" t="s">
        <v>69</v>
      </c>
      <c r="D1563" t="s">
        <v>160</v>
      </c>
      <c r="E1563" t="s">
        <v>30</v>
      </c>
      <c r="F1563" t="s">
        <v>196</v>
      </c>
      <c r="G1563" t="s">
        <v>69</v>
      </c>
      <c r="H1563" t="s">
        <v>33</v>
      </c>
      <c r="I1563" s="1" t="s">
        <v>2676</v>
      </c>
      <c r="J1563" s="1" t="s">
        <v>426</v>
      </c>
    </row>
    <row r="1564" spans="1:11" ht="75" x14ac:dyDescent="0.25">
      <c r="A1564" t="s">
        <v>26</v>
      </c>
      <c r="B1564" t="s">
        <v>2658</v>
      </c>
      <c r="C1564" t="s">
        <v>92</v>
      </c>
      <c r="D1564" t="s">
        <v>111</v>
      </c>
      <c r="E1564" t="s">
        <v>30</v>
      </c>
      <c r="F1564" t="s">
        <v>189</v>
      </c>
      <c r="G1564" t="s">
        <v>32</v>
      </c>
      <c r="H1564" t="s">
        <v>173</v>
      </c>
      <c r="I1564" s="1" t="s">
        <v>2677</v>
      </c>
      <c r="J1564" s="1" t="s">
        <v>21</v>
      </c>
      <c r="K1564" s="1" t="s">
        <v>2678</v>
      </c>
    </row>
    <row r="1565" spans="1:11" ht="75" x14ac:dyDescent="0.25">
      <c r="A1565" t="s">
        <v>26</v>
      </c>
      <c r="B1565" t="s">
        <v>2658</v>
      </c>
      <c r="C1565" t="s">
        <v>106</v>
      </c>
      <c r="D1565" t="s">
        <v>1958</v>
      </c>
      <c r="E1565" t="s">
        <v>30</v>
      </c>
      <c r="F1565" t="s">
        <v>94</v>
      </c>
      <c r="G1565" t="s">
        <v>32</v>
      </c>
      <c r="H1565" t="s">
        <v>33</v>
      </c>
      <c r="I1565" s="1" t="s">
        <v>2679</v>
      </c>
      <c r="J1565" s="1" t="s">
        <v>426</v>
      </c>
    </row>
    <row r="1566" spans="1:11" ht="135" x14ac:dyDescent="0.25">
      <c r="A1566" t="s">
        <v>26</v>
      </c>
      <c r="B1566" t="s">
        <v>2658</v>
      </c>
      <c r="C1566" t="s">
        <v>240</v>
      </c>
      <c r="D1566" t="s">
        <v>767</v>
      </c>
      <c r="E1566" t="s">
        <v>30</v>
      </c>
      <c r="F1566" t="s">
        <v>94</v>
      </c>
      <c r="G1566" t="s">
        <v>69</v>
      </c>
      <c r="H1566" t="s">
        <v>173</v>
      </c>
      <c r="I1566" s="1" t="s">
        <v>2680</v>
      </c>
      <c r="J1566" s="1" t="s">
        <v>436</v>
      </c>
    </row>
    <row r="1567" spans="1:11" ht="105" x14ac:dyDescent="0.25">
      <c r="A1567" t="s">
        <v>26</v>
      </c>
      <c r="B1567" t="s">
        <v>2658</v>
      </c>
      <c r="C1567" t="s">
        <v>69</v>
      </c>
      <c r="D1567" t="s">
        <v>500</v>
      </c>
      <c r="E1567" t="s">
        <v>30</v>
      </c>
      <c r="F1567" t="s">
        <v>108</v>
      </c>
      <c r="G1567" t="s">
        <v>32</v>
      </c>
      <c r="H1567" t="s">
        <v>173</v>
      </c>
      <c r="I1567" s="1" t="s">
        <v>2681</v>
      </c>
      <c r="J1567" s="1" t="s">
        <v>753</v>
      </c>
      <c r="K1567" s="1" t="s">
        <v>2682</v>
      </c>
    </row>
    <row r="1568" spans="1:11" ht="90" x14ac:dyDescent="0.25">
      <c r="A1568" t="s">
        <v>26</v>
      </c>
      <c r="B1568" t="s">
        <v>2658</v>
      </c>
      <c r="C1568" t="s">
        <v>32</v>
      </c>
      <c r="D1568" t="s">
        <v>2683</v>
      </c>
      <c r="E1568" t="s">
        <v>30</v>
      </c>
      <c r="F1568" t="s">
        <v>140</v>
      </c>
      <c r="G1568" t="s">
        <v>32</v>
      </c>
      <c r="H1568" t="s">
        <v>87</v>
      </c>
      <c r="I1568" s="1" t="s">
        <v>2684</v>
      </c>
      <c r="J1568" s="1" t="s">
        <v>481</v>
      </c>
      <c r="K1568" s="1" t="s">
        <v>2685</v>
      </c>
    </row>
    <row r="1569" spans="1:11" ht="45" x14ac:dyDescent="0.25">
      <c r="A1569" t="s">
        <v>26</v>
      </c>
      <c r="B1569" t="s">
        <v>2658</v>
      </c>
      <c r="C1569" t="s">
        <v>96</v>
      </c>
      <c r="D1569" t="s">
        <v>139</v>
      </c>
      <c r="E1569" t="s">
        <v>30</v>
      </c>
      <c r="F1569" t="s">
        <v>205</v>
      </c>
      <c r="G1569" t="s">
        <v>32</v>
      </c>
      <c r="H1569" t="s">
        <v>33</v>
      </c>
      <c r="I1569" s="1" t="s">
        <v>2686</v>
      </c>
      <c r="J1569" s="1" t="s">
        <v>717</v>
      </c>
      <c r="K1569" s="1" t="s">
        <v>2687</v>
      </c>
    </row>
    <row r="1570" spans="1:11" ht="30" x14ac:dyDescent="0.25">
      <c r="A1570" t="s">
        <v>26</v>
      </c>
      <c r="B1570" t="s">
        <v>2658</v>
      </c>
      <c r="C1570" t="s">
        <v>472</v>
      </c>
      <c r="D1570" t="s">
        <v>1000</v>
      </c>
      <c r="E1570" t="s">
        <v>30</v>
      </c>
      <c r="F1570" t="s">
        <v>154</v>
      </c>
      <c r="G1570" t="s">
        <v>69</v>
      </c>
      <c r="H1570" t="s">
        <v>33</v>
      </c>
      <c r="I1570" s="1" t="s">
        <v>2688</v>
      </c>
      <c r="J1570" s="1" t="s">
        <v>481</v>
      </c>
    </row>
    <row r="1571" spans="1:11" ht="90" x14ac:dyDescent="0.25">
      <c r="A1571" t="s">
        <v>26</v>
      </c>
      <c r="B1571" t="s">
        <v>2658</v>
      </c>
      <c r="C1571" t="s">
        <v>32</v>
      </c>
      <c r="D1571" t="s">
        <v>101</v>
      </c>
      <c r="E1571" t="s">
        <v>30</v>
      </c>
      <c r="F1571" t="s">
        <v>290</v>
      </c>
      <c r="G1571" t="s">
        <v>32</v>
      </c>
      <c r="H1571" t="s">
        <v>87</v>
      </c>
      <c r="I1571" s="1" t="s">
        <v>2689</v>
      </c>
      <c r="J1571" s="1" t="s">
        <v>15</v>
      </c>
      <c r="K1571" s="1" t="s">
        <v>2690</v>
      </c>
    </row>
    <row r="1572" spans="1:11" ht="105" x14ac:dyDescent="0.25">
      <c r="A1572" t="s">
        <v>26</v>
      </c>
      <c r="B1572" t="s">
        <v>2658</v>
      </c>
      <c r="C1572" t="s">
        <v>44</v>
      </c>
      <c r="D1572" t="s">
        <v>1162</v>
      </c>
      <c r="E1572" t="s">
        <v>30</v>
      </c>
      <c r="F1572" t="s">
        <v>154</v>
      </c>
      <c r="G1572" t="s">
        <v>32</v>
      </c>
      <c r="H1572" t="s">
        <v>87</v>
      </c>
      <c r="I1572" s="1" t="s">
        <v>2691</v>
      </c>
      <c r="J1572" s="1" t="s">
        <v>697</v>
      </c>
      <c r="K1572" s="1" t="s">
        <v>2692</v>
      </c>
    </row>
    <row r="1573" spans="1:11" ht="60" x14ac:dyDescent="0.25">
      <c r="A1573" t="s">
        <v>26</v>
      </c>
      <c r="B1573" t="s">
        <v>2658</v>
      </c>
      <c r="C1573" t="s">
        <v>44</v>
      </c>
      <c r="D1573" t="s">
        <v>146</v>
      </c>
      <c r="E1573" t="s">
        <v>30</v>
      </c>
      <c r="F1573" t="s">
        <v>112</v>
      </c>
      <c r="G1573" t="s">
        <v>69</v>
      </c>
      <c r="H1573" t="s">
        <v>87</v>
      </c>
      <c r="I1573" s="1" t="s">
        <v>2693</v>
      </c>
      <c r="J1573" s="1" t="s">
        <v>21</v>
      </c>
      <c r="K1573" s="1" t="s">
        <v>2694</v>
      </c>
    </row>
    <row r="1574" spans="1:11" ht="60" x14ac:dyDescent="0.25">
      <c r="A1574" t="s">
        <v>26</v>
      </c>
      <c r="B1574" t="s">
        <v>2658</v>
      </c>
      <c r="C1574" t="s">
        <v>472</v>
      </c>
      <c r="D1574" t="s">
        <v>1000</v>
      </c>
      <c r="E1574" t="s">
        <v>30</v>
      </c>
      <c r="F1574" t="s">
        <v>287</v>
      </c>
      <c r="G1574" t="s">
        <v>69</v>
      </c>
      <c r="H1574" t="s">
        <v>173</v>
      </c>
      <c r="I1574" s="1" t="s">
        <v>2695</v>
      </c>
      <c r="J1574" s="1" t="s">
        <v>697</v>
      </c>
      <c r="K1574" s="1" t="s">
        <v>2696</v>
      </c>
    </row>
    <row r="1575" spans="1:11" ht="105" x14ac:dyDescent="0.25">
      <c r="A1575" t="s">
        <v>26</v>
      </c>
      <c r="B1575" t="s">
        <v>2658</v>
      </c>
      <c r="C1575" t="s">
        <v>55</v>
      </c>
      <c r="D1575" t="s">
        <v>382</v>
      </c>
      <c r="E1575" t="s">
        <v>30</v>
      </c>
      <c r="F1575" t="s">
        <v>492</v>
      </c>
      <c r="G1575" t="s">
        <v>69</v>
      </c>
      <c r="H1575" t="s">
        <v>173</v>
      </c>
      <c r="I1575" s="1" t="s">
        <v>2697</v>
      </c>
      <c r="J1575" s="1" t="s">
        <v>2698</v>
      </c>
      <c r="K1575" s="1" t="s">
        <v>2699</v>
      </c>
    </row>
    <row r="1576" spans="1:11" ht="75" x14ac:dyDescent="0.25">
      <c r="A1576" t="s">
        <v>26</v>
      </c>
      <c r="B1576" t="s">
        <v>2658</v>
      </c>
      <c r="C1576" t="s">
        <v>28</v>
      </c>
      <c r="D1576" t="s">
        <v>594</v>
      </c>
      <c r="E1576" t="s">
        <v>30</v>
      </c>
      <c r="F1576" t="s">
        <v>94</v>
      </c>
      <c r="G1576" t="s">
        <v>69</v>
      </c>
      <c r="H1576" t="s">
        <v>87</v>
      </c>
      <c r="I1576" s="1" t="s">
        <v>2700</v>
      </c>
      <c r="J1576" s="1" t="s">
        <v>104</v>
      </c>
      <c r="K1576" s="1" t="s">
        <v>105</v>
      </c>
    </row>
    <row r="1577" spans="1:11" ht="105" x14ac:dyDescent="0.25">
      <c r="A1577" t="s">
        <v>26</v>
      </c>
      <c r="B1577" t="s">
        <v>2658</v>
      </c>
      <c r="C1577" t="s">
        <v>44</v>
      </c>
      <c r="D1577" t="s">
        <v>616</v>
      </c>
      <c r="E1577" t="s">
        <v>30</v>
      </c>
      <c r="F1577" t="s">
        <v>154</v>
      </c>
      <c r="G1577" t="s">
        <v>69</v>
      </c>
      <c r="H1577" t="s">
        <v>173</v>
      </c>
      <c r="I1577" s="1" t="s">
        <v>2701</v>
      </c>
      <c r="J1577" s="1" t="s">
        <v>697</v>
      </c>
      <c r="K1577" s="1" t="s">
        <v>2702</v>
      </c>
    </row>
    <row r="1578" spans="1:11" ht="105" x14ac:dyDescent="0.25">
      <c r="A1578" t="s">
        <v>26</v>
      </c>
      <c r="B1578" t="s">
        <v>2658</v>
      </c>
      <c r="C1578" t="s">
        <v>235</v>
      </c>
      <c r="D1578" t="s">
        <v>270</v>
      </c>
      <c r="E1578" t="s">
        <v>30</v>
      </c>
      <c r="F1578" t="s">
        <v>94</v>
      </c>
      <c r="G1578" t="s">
        <v>69</v>
      </c>
      <c r="H1578" t="s">
        <v>173</v>
      </c>
      <c r="I1578" s="1" t="s">
        <v>2703</v>
      </c>
    </row>
    <row r="1579" spans="1:11" ht="60" x14ac:dyDescent="0.25">
      <c r="A1579" t="s">
        <v>49</v>
      </c>
      <c r="B1579" t="s">
        <v>2658</v>
      </c>
      <c r="C1579" t="s">
        <v>263</v>
      </c>
      <c r="D1579" t="s">
        <v>834</v>
      </c>
      <c r="E1579" t="s">
        <v>30</v>
      </c>
      <c r="F1579" t="s">
        <v>189</v>
      </c>
      <c r="G1579" t="s">
        <v>69</v>
      </c>
      <c r="H1579" t="s">
        <v>33</v>
      </c>
      <c r="I1579" s="1" t="s">
        <v>2704</v>
      </c>
      <c r="J1579" s="1" t="s">
        <v>481</v>
      </c>
      <c r="K1579" s="1" t="s">
        <v>2705</v>
      </c>
    </row>
    <row r="1580" spans="1:11" ht="30" x14ac:dyDescent="0.25">
      <c r="A1580" t="s">
        <v>49</v>
      </c>
      <c r="B1580" t="s">
        <v>2658</v>
      </c>
      <c r="C1580" t="s">
        <v>180</v>
      </c>
      <c r="D1580" t="s">
        <v>1039</v>
      </c>
      <c r="E1580" t="s">
        <v>30</v>
      </c>
      <c r="F1580" t="s">
        <v>166</v>
      </c>
      <c r="G1580" t="s">
        <v>32</v>
      </c>
      <c r="H1580" t="s">
        <v>33</v>
      </c>
      <c r="I1580" s="1" t="s">
        <v>2706</v>
      </c>
      <c r="J1580" s="1" t="s">
        <v>14</v>
      </c>
      <c r="K1580" s="1" t="s">
        <v>2707</v>
      </c>
    </row>
    <row r="1581" spans="1:11" ht="75" x14ac:dyDescent="0.25">
      <c r="A1581" t="s">
        <v>26</v>
      </c>
      <c r="B1581" t="s">
        <v>2658</v>
      </c>
      <c r="C1581" t="s">
        <v>85</v>
      </c>
      <c r="D1581" t="s">
        <v>667</v>
      </c>
      <c r="E1581" t="s">
        <v>30</v>
      </c>
      <c r="F1581" t="s">
        <v>446</v>
      </c>
      <c r="G1581" t="s">
        <v>32</v>
      </c>
      <c r="H1581" t="s">
        <v>87</v>
      </c>
      <c r="I1581" s="1" t="s">
        <v>2708</v>
      </c>
      <c r="J1581" s="1" t="s">
        <v>17</v>
      </c>
      <c r="K1581" s="1" t="s">
        <v>2581</v>
      </c>
    </row>
    <row r="1582" spans="1:11" ht="105" x14ac:dyDescent="0.25">
      <c r="A1582" t="s">
        <v>26</v>
      </c>
      <c r="B1582" t="s">
        <v>2658</v>
      </c>
      <c r="C1582" t="s">
        <v>32</v>
      </c>
      <c r="D1582" t="s">
        <v>101</v>
      </c>
      <c r="E1582" t="s">
        <v>30</v>
      </c>
      <c r="F1582" t="s">
        <v>182</v>
      </c>
      <c r="G1582" t="s">
        <v>38</v>
      </c>
      <c r="H1582" t="s">
        <v>87</v>
      </c>
      <c r="I1582" s="1" t="s">
        <v>2709</v>
      </c>
      <c r="J1582" s="1" t="s">
        <v>15</v>
      </c>
      <c r="K1582" s="1" t="s">
        <v>2710</v>
      </c>
    </row>
    <row r="1583" spans="1:11" ht="45" x14ac:dyDescent="0.25">
      <c r="A1583" t="s">
        <v>49</v>
      </c>
      <c r="B1583" t="s">
        <v>2658</v>
      </c>
      <c r="C1583" t="s">
        <v>240</v>
      </c>
      <c r="D1583" t="s">
        <v>2711</v>
      </c>
      <c r="E1583" t="s">
        <v>30</v>
      </c>
      <c r="F1583" t="s">
        <v>446</v>
      </c>
      <c r="G1583" t="s">
        <v>32</v>
      </c>
      <c r="H1583" t="s">
        <v>33</v>
      </c>
      <c r="I1583" s="1" t="s">
        <v>2712</v>
      </c>
      <c r="J1583" s="1" t="s">
        <v>481</v>
      </c>
      <c r="K1583" s="1" t="s">
        <v>2388</v>
      </c>
    </row>
    <row r="1584" spans="1:11" ht="105" x14ac:dyDescent="0.25">
      <c r="A1584" t="s">
        <v>91</v>
      </c>
      <c r="B1584" t="s">
        <v>2658</v>
      </c>
      <c r="C1584" t="s">
        <v>50</v>
      </c>
      <c r="D1584" t="s">
        <v>226</v>
      </c>
      <c r="E1584" t="s">
        <v>79</v>
      </c>
      <c r="F1584" t="s">
        <v>216</v>
      </c>
      <c r="G1584" t="s">
        <v>38</v>
      </c>
      <c r="H1584" t="s">
        <v>33</v>
      </c>
      <c r="I1584" s="1" t="s">
        <v>2713</v>
      </c>
      <c r="J1584" s="1" t="s">
        <v>481</v>
      </c>
    </row>
    <row r="1585" spans="1:11" ht="30" x14ac:dyDescent="0.25">
      <c r="A1585" t="s">
        <v>26</v>
      </c>
      <c r="B1585" t="s">
        <v>2658</v>
      </c>
      <c r="C1585" t="s">
        <v>85</v>
      </c>
      <c r="D1585" t="s">
        <v>984</v>
      </c>
      <c r="E1585" t="s">
        <v>30</v>
      </c>
      <c r="F1585" t="s">
        <v>130</v>
      </c>
      <c r="G1585" t="s">
        <v>81</v>
      </c>
      <c r="H1585" t="s">
        <v>87</v>
      </c>
      <c r="I1585" s="1" t="s">
        <v>2714</v>
      </c>
      <c r="J1585" s="1" t="s">
        <v>697</v>
      </c>
      <c r="K1585" s="1" t="s">
        <v>2715</v>
      </c>
    </row>
    <row r="1586" spans="1:11" ht="105" x14ac:dyDescent="0.25">
      <c r="A1586" t="s">
        <v>26</v>
      </c>
      <c r="B1586" t="s">
        <v>2658</v>
      </c>
      <c r="C1586" t="s">
        <v>85</v>
      </c>
      <c r="D1586" t="s">
        <v>1450</v>
      </c>
      <c r="E1586" t="s">
        <v>30</v>
      </c>
      <c r="F1586" t="s">
        <v>112</v>
      </c>
      <c r="G1586" t="s">
        <v>32</v>
      </c>
      <c r="H1586" t="s">
        <v>87</v>
      </c>
      <c r="I1586" s="1" t="s">
        <v>2716</v>
      </c>
      <c r="J1586" s="1" t="s">
        <v>481</v>
      </c>
      <c r="K1586" s="1" t="s">
        <v>2717</v>
      </c>
    </row>
    <row r="1587" spans="1:11" ht="75" x14ac:dyDescent="0.25">
      <c r="A1587" t="s">
        <v>49</v>
      </c>
      <c r="B1587" t="s">
        <v>2658</v>
      </c>
      <c r="C1587" t="s">
        <v>69</v>
      </c>
      <c r="D1587" t="s">
        <v>1452</v>
      </c>
      <c r="E1587" t="s">
        <v>30</v>
      </c>
      <c r="F1587" t="s">
        <v>154</v>
      </c>
      <c r="G1587" t="s">
        <v>32</v>
      </c>
      <c r="H1587" t="s">
        <v>87</v>
      </c>
      <c r="I1587" s="1" t="s">
        <v>2718</v>
      </c>
      <c r="J1587" s="1" t="s">
        <v>697</v>
      </c>
      <c r="K1587" s="1" t="s">
        <v>2719</v>
      </c>
    </row>
    <row r="1588" spans="1:11" ht="30" x14ac:dyDescent="0.25">
      <c r="A1588" t="s">
        <v>37</v>
      </c>
      <c r="B1588" t="s">
        <v>2658</v>
      </c>
      <c r="C1588" t="s">
        <v>249</v>
      </c>
      <c r="D1588" t="s">
        <v>776</v>
      </c>
      <c r="E1588" t="s">
        <v>30</v>
      </c>
      <c r="F1588" t="s">
        <v>246</v>
      </c>
      <c r="G1588" t="s">
        <v>69</v>
      </c>
      <c r="H1588" t="s">
        <v>33</v>
      </c>
      <c r="I1588" s="1" t="s">
        <v>2720</v>
      </c>
      <c r="J1588" s="1" t="s">
        <v>17</v>
      </c>
      <c r="K1588" s="1" t="s">
        <v>2721</v>
      </c>
    </row>
    <row r="1589" spans="1:11" ht="60" x14ac:dyDescent="0.25">
      <c r="A1589" t="s">
        <v>26</v>
      </c>
      <c r="B1589" t="s">
        <v>2658</v>
      </c>
      <c r="C1589" t="s">
        <v>85</v>
      </c>
      <c r="D1589" t="s">
        <v>519</v>
      </c>
      <c r="E1589" t="s">
        <v>30</v>
      </c>
      <c r="F1589" t="s">
        <v>182</v>
      </c>
      <c r="G1589" t="s">
        <v>32</v>
      </c>
      <c r="H1589" t="s">
        <v>33</v>
      </c>
      <c r="I1589" s="1" t="s">
        <v>2722</v>
      </c>
      <c r="J1589" s="1" t="s">
        <v>481</v>
      </c>
      <c r="K1589" s="1" t="s">
        <v>2388</v>
      </c>
    </row>
    <row r="1590" spans="1:11" ht="105" x14ac:dyDescent="0.25">
      <c r="A1590" t="s">
        <v>26</v>
      </c>
      <c r="B1590" t="s">
        <v>2658</v>
      </c>
      <c r="C1590" t="s">
        <v>85</v>
      </c>
      <c r="D1590" t="s">
        <v>616</v>
      </c>
      <c r="E1590" t="s">
        <v>30</v>
      </c>
      <c r="F1590" t="s">
        <v>140</v>
      </c>
      <c r="G1590" t="s">
        <v>32</v>
      </c>
      <c r="H1590" t="s">
        <v>33</v>
      </c>
      <c r="I1590" s="1" t="s">
        <v>2723</v>
      </c>
      <c r="J1590" s="1" t="s">
        <v>426</v>
      </c>
      <c r="K1590" s="1" t="s">
        <v>2724</v>
      </c>
    </row>
    <row r="1591" spans="1:11" ht="75" x14ac:dyDescent="0.25">
      <c r="A1591" t="s">
        <v>49</v>
      </c>
      <c r="B1591" t="s">
        <v>2658</v>
      </c>
      <c r="C1591" t="s">
        <v>28</v>
      </c>
      <c r="D1591" t="s">
        <v>1391</v>
      </c>
      <c r="E1591" t="s">
        <v>30</v>
      </c>
      <c r="F1591" t="s">
        <v>543</v>
      </c>
      <c r="G1591" t="s">
        <v>32</v>
      </c>
      <c r="H1591" t="s">
        <v>173</v>
      </c>
      <c r="I1591" s="1" t="s">
        <v>2725</v>
      </c>
      <c r="J1591" s="1" t="s">
        <v>2726</v>
      </c>
      <c r="K1591" s="1" t="s">
        <v>2727</v>
      </c>
    </row>
    <row r="1592" spans="1:11" ht="90" x14ac:dyDescent="0.25">
      <c r="A1592" t="s">
        <v>37</v>
      </c>
      <c r="B1592" t="s">
        <v>2658</v>
      </c>
      <c r="C1592" t="s">
        <v>96</v>
      </c>
      <c r="D1592" t="s">
        <v>139</v>
      </c>
      <c r="E1592" t="s">
        <v>30</v>
      </c>
      <c r="F1592" t="s">
        <v>209</v>
      </c>
      <c r="G1592" t="s">
        <v>81</v>
      </c>
      <c r="H1592" t="s">
        <v>87</v>
      </c>
      <c r="I1592" s="1" t="s">
        <v>2728</v>
      </c>
      <c r="J1592" s="1" t="s">
        <v>21</v>
      </c>
      <c r="K1592" s="1" t="s">
        <v>2729</v>
      </c>
    </row>
    <row r="1593" spans="1:11" ht="75" x14ac:dyDescent="0.25">
      <c r="A1593" t="s">
        <v>49</v>
      </c>
      <c r="B1593" t="s">
        <v>2658</v>
      </c>
      <c r="C1593" t="s">
        <v>472</v>
      </c>
      <c r="D1593" t="s">
        <v>839</v>
      </c>
      <c r="E1593" t="s">
        <v>30</v>
      </c>
      <c r="F1593" t="s">
        <v>94</v>
      </c>
      <c r="G1593" t="s">
        <v>32</v>
      </c>
      <c r="H1593" t="s">
        <v>173</v>
      </c>
      <c r="I1593" s="1" t="s">
        <v>2730</v>
      </c>
      <c r="J1593" s="1" t="s">
        <v>1849</v>
      </c>
      <c r="K1593" s="1" t="s">
        <v>2731</v>
      </c>
    </row>
    <row r="1594" spans="1:11" ht="30" x14ac:dyDescent="0.25">
      <c r="A1594" t="s">
        <v>26</v>
      </c>
      <c r="B1594" t="s">
        <v>2658</v>
      </c>
      <c r="C1594" t="s">
        <v>28</v>
      </c>
      <c r="D1594" t="s">
        <v>715</v>
      </c>
      <c r="E1594" t="s">
        <v>30</v>
      </c>
      <c r="F1594" t="s">
        <v>130</v>
      </c>
      <c r="G1594" t="s">
        <v>32</v>
      </c>
      <c r="H1594" t="s">
        <v>173</v>
      </c>
      <c r="I1594" s="1" t="s">
        <v>2732</v>
      </c>
      <c r="J1594" s="1" t="s">
        <v>17</v>
      </c>
      <c r="K1594" s="1" t="s">
        <v>2733</v>
      </c>
    </row>
    <row r="1595" spans="1:11" ht="105" x14ac:dyDescent="0.25">
      <c r="A1595" t="s">
        <v>37</v>
      </c>
      <c r="B1595" t="s">
        <v>2658</v>
      </c>
      <c r="C1595" t="s">
        <v>263</v>
      </c>
      <c r="D1595" t="s">
        <v>841</v>
      </c>
      <c r="E1595" t="s">
        <v>30</v>
      </c>
      <c r="F1595" t="s">
        <v>602</v>
      </c>
      <c r="G1595" t="s">
        <v>32</v>
      </c>
      <c r="H1595" t="s">
        <v>87</v>
      </c>
      <c r="I1595" s="1" t="s">
        <v>2734</v>
      </c>
      <c r="J1595" s="1" t="s">
        <v>481</v>
      </c>
      <c r="K1595" s="1" t="s">
        <v>2735</v>
      </c>
    </row>
    <row r="1596" spans="1:11" ht="75" x14ac:dyDescent="0.25">
      <c r="A1596" t="s">
        <v>37</v>
      </c>
      <c r="B1596" t="s">
        <v>2658</v>
      </c>
      <c r="C1596" t="s">
        <v>85</v>
      </c>
      <c r="D1596" t="s">
        <v>1168</v>
      </c>
      <c r="E1596" t="s">
        <v>79</v>
      </c>
      <c r="F1596" t="s">
        <v>108</v>
      </c>
      <c r="G1596" t="s">
        <v>69</v>
      </c>
      <c r="H1596" t="s">
        <v>33</v>
      </c>
      <c r="I1596" s="1" t="s">
        <v>2736</v>
      </c>
      <c r="J1596" s="1" t="s">
        <v>436</v>
      </c>
      <c r="K1596" s="1" t="s">
        <v>2737</v>
      </c>
    </row>
    <row r="1597" spans="1:11" ht="150" x14ac:dyDescent="0.25">
      <c r="A1597" t="s">
        <v>59</v>
      </c>
      <c r="B1597" t="s">
        <v>2658</v>
      </c>
      <c r="C1597" t="s">
        <v>106</v>
      </c>
      <c r="D1597" t="s">
        <v>539</v>
      </c>
      <c r="E1597" t="s">
        <v>30</v>
      </c>
      <c r="F1597" t="s">
        <v>307</v>
      </c>
      <c r="G1597" t="s">
        <v>32</v>
      </c>
      <c r="H1597" t="s">
        <v>33</v>
      </c>
      <c r="I1597" s="1" t="s">
        <v>2738</v>
      </c>
      <c r="J1597" s="1" t="s">
        <v>426</v>
      </c>
      <c r="K1597" s="1" t="s">
        <v>2739</v>
      </c>
    </row>
    <row r="1598" spans="1:11" ht="30" x14ac:dyDescent="0.25">
      <c r="A1598" t="s">
        <v>49</v>
      </c>
      <c r="B1598" t="s">
        <v>2658</v>
      </c>
      <c r="C1598" t="s">
        <v>73</v>
      </c>
      <c r="D1598" t="s">
        <v>1436</v>
      </c>
      <c r="E1598" t="s">
        <v>30</v>
      </c>
      <c r="F1598" t="s">
        <v>46</v>
      </c>
      <c r="G1598" t="s">
        <v>32</v>
      </c>
      <c r="H1598" t="s">
        <v>33</v>
      </c>
      <c r="I1598" s="1" t="s">
        <v>2740</v>
      </c>
      <c r="J1598" s="1" t="s">
        <v>481</v>
      </c>
      <c r="K1598" s="1" t="s">
        <v>2489</v>
      </c>
    </row>
    <row r="1599" spans="1:11" ht="45" x14ac:dyDescent="0.25">
      <c r="A1599" t="s">
        <v>37</v>
      </c>
      <c r="B1599" t="s">
        <v>2658</v>
      </c>
      <c r="C1599" t="s">
        <v>44</v>
      </c>
      <c r="D1599" t="s">
        <v>2232</v>
      </c>
      <c r="E1599" t="s">
        <v>79</v>
      </c>
      <c r="F1599" t="s">
        <v>102</v>
      </c>
      <c r="G1599" t="s">
        <v>32</v>
      </c>
      <c r="H1599" t="s">
        <v>33</v>
      </c>
      <c r="I1599" s="1" t="s">
        <v>2741</v>
      </c>
      <c r="J1599" s="1" t="s">
        <v>426</v>
      </c>
      <c r="K1599" s="1" t="s">
        <v>2742</v>
      </c>
    </row>
    <row r="1600" spans="1:11" ht="150" x14ac:dyDescent="0.25">
      <c r="A1600" t="s">
        <v>49</v>
      </c>
      <c r="B1600" t="s">
        <v>2658</v>
      </c>
      <c r="C1600" t="s">
        <v>240</v>
      </c>
      <c r="D1600" t="s">
        <v>504</v>
      </c>
      <c r="E1600" t="s">
        <v>30</v>
      </c>
      <c r="F1600" t="s">
        <v>260</v>
      </c>
      <c r="G1600" t="s">
        <v>81</v>
      </c>
      <c r="H1600" t="s">
        <v>87</v>
      </c>
      <c r="I1600" s="1" t="s">
        <v>2743</v>
      </c>
      <c r="J1600" s="1" t="s">
        <v>481</v>
      </c>
      <c r="K1600" s="1" t="s">
        <v>2744</v>
      </c>
    </row>
    <row r="1601" spans="1:11" ht="105" x14ac:dyDescent="0.25">
      <c r="A1601" t="s">
        <v>37</v>
      </c>
      <c r="B1601" t="s">
        <v>2658</v>
      </c>
      <c r="C1601" t="s">
        <v>92</v>
      </c>
      <c r="D1601" t="s">
        <v>111</v>
      </c>
      <c r="E1601" t="s">
        <v>30</v>
      </c>
      <c r="F1601" t="s">
        <v>246</v>
      </c>
      <c r="G1601" t="s">
        <v>81</v>
      </c>
      <c r="H1601" t="s">
        <v>87</v>
      </c>
      <c r="I1601" s="1" t="s">
        <v>2745</v>
      </c>
      <c r="J1601" s="1" t="s">
        <v>104</v>
      </c>
      <c r="K1601" s="1" t="s">
        <v>2746</v>
      </c>
    </row>
    <row r="1602" spans="1:11" ht="45" x14ac:dyDescent="0.25">
      <c r="A1602" t="s">
        <v>49</v>
      </c>
      <c r="B1602" t="s">
        <v>2658</v>
      </c>
      <c r="C1602" t="s">
        <v>38</v>
      </c>
      <c r="D1602" t="s">
        <v>2747</v>
      </c>
      <c r="E1602" t="s">
        <v>30</v>
      </c>
      <c r="F1602" t="s">
        <v>216</v>
      </c>
      <c r="G1602" t="s">
        <v>32</v>
      </c>
      <c r="H1602" t="s">
        <v>33</v>
      </c>
      <c r="I1602" s="1" t="s">
        <v>2748</v>
      </c>
      <c r="J1602" s="1" t="s">
        <v>426</v>
      </c>
      <c r="K1602" s="1" t="s">
        <v>2749</v>
      </c>
    </row>
    <row r="1603" spans="1:11" x14ac:dyDescent="0.25">
      <c r="A1603" t="s">
        <v>37</v>
      </c>
      <c r="B1603" t="s">
        <v>2658</v>
      </c>
      <c r="C1603" t="s">
        <v>55</v>
      </c>
      <c r="D1603" t="s">
        <v>878</v>
      </c>
      <c r="E1603" t="s">
        <v>30</v>
      </c>
      <c r="F1603" t="s">
        <v>202</v>
      </c>
      <c r="G1603" t="s">
        <v>32</v>
      </c>
      <c r="H1603" t="s">
        <v>173</v>
      </c>
      <c r="I1603" s="1" t="s">
        <v>2750</v>
      </c>
    </row>
    <row r="1604" spans="1:11" ht="105" x14ac:dyDescent="0.25">
      <c r="A1604" t="s">
        <v>49</v>
      </c>
      <c r="B1604" t="s">
        <v>2658</v>
      </c>
      <c r="C1604" t="s">
        <v>44</v>
      </c>
      <c r="D1604" t="s">
        <v>146</v>
      </c>
      <c r="E1604" t="s">
        <v>30</v>
      </c>
      <c r="F1604" t="s">
        <v>202</v>
      </c>
      <c r="G1604" t="s">
        <v>32</v>
      </c>
      <c r="H1604" t="s">
        <v>87</v>
      </c>
      <c r="I1604" s="1" t="s">
        <v>2751</v>
      </c>
      <c r="J1604" s="1" t="s">
        <v>21</v>
      </c>
      <c r="K1604" s="1" t="s">
        <v>2752</v>
      </c>
    </row>
    <row r="1605" spans="1:11" ht="30" x14ac:dyDescent="0.25">
      <c r="A1605" t="s">
        <v>37</v>
      </c>
      <c r="B1605" t="s">
        <v>2658</v>
      </c>
      <c r="C1605" t="s">
        <v>240</v>
      </c>
      <c r="D1605" t="s">
        <v>267</v>
      </c>
      <c r="E1605" t="s">
        <v>30</v>
      </c>
      <c r="F1605" t="s">
        <v>94</v>
      </c>
      <c r="G1605" t="s">
        <v>32</v>
      </c>
      <c r="H1605" t="s">
        <v>173</v>
      </c>
      <c r="I1605" s="1" t="s">
        <v>2753</v>
      </c>
      <c r="J1605" s="1" t="s">
        <v>2528</v>
      </c>
      <c r="K1605" s="1" t="s">
        <v>2754</v>
      </c>
    </row>
    <row r="1606" spans="1:11" ht="105" x14ac:dyDescent="0.25">
      <c r="A1606" t="s">
        <v>49</v>
      </c>
      <c r="B1606" t="s">
        <v>2658</v>
      </c>
      <c r="C1606" t="s">
        <v>44</v>
      </c>
      <c r="D1606" t="s">
        <v>146</v>
      </c>
      <c r="E1606" t="s">
        <v>30</v>
      </c>
      <c r="F1606" t="s">
        <v>196</v>
      </c>
      <c r="G1606" t="s">
        <v>69</v>
      </c>
      <c r="H1606" t="s">
        <v>33</v>
      </c>
      <c r="I1606" s="1" t="s">
        <v>2755</v>
      </c>
      <c r="J1606" s="1" t="s">
        <v>697</v>
      </c>
      <c r="K1606" s="1" t="s">
        <v>2756</v>
      </c>
    </row>
    <row r="1607" spans="1:11" ht="105" x14ac:dyDescent="0.25">
      <c r="A1607" t="s">
        <v>37</v>
      </c>
      <c r="B1607" t="s">
        <v>2658</v>
      </c>
      <c r="C1607" t="s">
        <v>240</v>
      </c>
      <c r="D1607" t="s">
        <v>1008</v>
      </c>
      <c r="E1607" t="s">
        <v>30</v>
      </c>
      <c r="F1607" t="s">
        <v>161</v>
      </c>
      <c r="G1607" t="s">
        <v>32</v>
      </c>
      <c r="H1607" t="s">
        <v>173</v>
      </c>
      <c r="I1607" s="1" t="s">
        <v>2757</v>
      </c>
      <c r="J1607" s="1" t="s">
        <v>17</v>
      </c>
      <c r="K1607" s="1" t="s">
        <v>2758</v>
      </c>
    </row>
    <row r="1608" spans="1:11" ht="30" x14ac:dyDescent="0.25">
      <c r="A1608" t="s">
        <v>49</v>
      </c>
      <c r="B1608" t="s">
        <v>2658</v>
      </c>
      <c r="C1608" t="s">
        <v>85</v>
      </c>
      <c r="D1608" t="s">
        <v>2308</v>
      </c>
      <c r="E1608" t="s">
        <v>79</v>
      </c>
      <c r="F1608" t="s">
        <v>492</v>
      </c>
      <c r="G1608" t="s">
        <v>32</v>
      </c>
      <c r="H1608" t="s">
        <v>33</v>
      </c>
      <c r="I1608" s="1" t="s">
        <v>2759</v>
      </c>
      <c r="J1608" s="1" t="s">
        <v>426</v>
      </c>
      <c r="K1608" s="1" t="s">
        <v>2760</v>
      </c>
    </row>
    <row r="1609" spans="1:11" ht="75" x14ac:dyDescent="0.25">
      <c r="A1609" t="s">
        <v>37</v>
      </c>
      <c r="B1609" t="s">
        <v>2658</v>
      </c>
      <c r="C1609" t="s">
        <v>96</v>
      </c>
      <c r="D1609" t="s">
        <v>97</v>
      </c>
      <c r="E1609" t="s">
        <v>79</v>
      </c>
      <c r="F1609" t="s">
        <v>209</v>
      </c>
      <c r="G1609" t="s">
        <v>32</v>
      </c>
      <c r="H1609" t="s">
        <v>173</v>
      </c>
      <c r="I1609" s="1" t="s">
        <v>2761</v>
      </c>
      <c r="J1609" s="1" t="s">
        <v>21</v>
      </c>
      <c r="K1609" s="1" t="s">
        <v>2762</v>
      </c>
    </row>
    <row r="1610" spans="1:11" x14ac:dyDescent="0.25">
      <c r="A1610" t="s">
        <v>49</v>
      </c>
      <c r="B1610" t="s">
        <v>2658</v>
      </c>
      <c r="C1610" t="s">
        <v>28</v>
      </c>
      <c r="D1610" t="s">
        <v>1094</v>
      </c>
      <c r="E1610" t="s">
        <v>30</v>
      </c>
      <c r="F1610" t="s">
        <v>520</v>
      </c>
      <c r="G1610" t="s">
        <v>69</v>
      </c>
      <c r="H1610" t="s">
        <v>173</v>
      </c>
      <c r="I1610" s="1" t="s">
        <v>2763</v>
      </c>
      <c r="J1610" s="1" t="s">
        <v>436</v>
      </c>
    </row>
    <row r="1611" spans="1:11" ht="60" x14ac:dyDescent="0.25">
      <c r="A1611" t="s">
        <v>37</v>
      </c>
      <c r="B1611" t="s">
        <v>2658</v>
      </c>
      <c r="C1611" t="s">
        <v>50</v>
      </c>
      <c r="D1611" t="s">
        <v>801</v>
      </c>
      <c r="E1611" t="s">
        <v>30</v>
      </c>
      <c r="F1611" t="s">
        <v>154</v>
      </c>
      <c r="G1611" t="s">
        <v>81</v>
      </c>
      <c r="H1611" t="s">
        <v>87</v>
      </c>
      <c r="I1611" s="1" t="s">
        <v>2764</v>
      </c>
      <c r="J1611" s="1" t="s">
        <v>436</v>
      </c>
    </row>
    <row r="1612" spans="1:11" ht="105" x14ac:dyDescent="0.25">
      <c r="A1612" t="s">
        <v>49</v>
      </c>
      <c r="B1612" t="s">
        <v>2658</v>
      </c>
      <c r="C1612" t="s">
        <v>28</v>
      </c>
      <c r="D1612" t="s">
        <v>153</v>
      </c>
      <c r="E1612" t="s">
        <v>30</v>
      </c>
      <c r="F1612" t="s">
        <v>98</v>
      </c>
      <c r="G1612" t="s">
        <v>69</v>
      </c>
      <c r="H1612" t="s">
        <v>87</v>
      </c>
      <c r="I1612" s="1" t="s">
        <v>2765</v>
      </c>
      <c r="J1612" s="1" t="s">
        <v>104</v>
      </c>
      <c r="K1612" s="1" t="s">
        <v>2766</v>
      </c>
    </row>
    <row r="1613" spans="1:11" x14ac:dyDescent="0.25">
      <c r="A1613" t="s">
        <v>64</v>
      </c>
      <c r="B1613" t="s">
        <v>2658</v>
      </c>
      <c r="C1613" t="s">
        <v>38</v>
      </c>
      <c r="D1613" t="s">
        <v>1333</v>
      </c>
      <c r="E1613" t="s">
        <v>30</v>
      </c>
      <c r="F1613" t="s">
        <v>94</v>
      </c>
      <c r="G1613" t="s">
        <v>81</v>
      </c>
      <c r="H1613" t="s">
        <v>173</v>
      </c>
      <c r="I1613" s="1" t="s">
        <v>2767</v>
      </c>
      <c r="J1613" s="1" t="s">
        <v>104</v>
      </c>
      <c r="K1613" s="1" t="s">
        <v>2766</v>
      </c>
    </row>
    <row r="1614" spans="1:11" ht="105" x14ac:dyDescent="0.25">
      <c r="A1614" t="s">
        <v>59</v>
      </c>
      <c r="B1614" t="s">
        <v>2658</v>
      </c>
      <c r="C1614" t="s">
        <v>32</v>
      </c>
      <c r="D1614" t="s">
        <v>1116</v>
      </c>
      <c r="E1614" t="s">
        <v>30</v>
      </c>
      <c r="F1614" t="s">
        <v>205</v>
      </c>
      <c r="G1614" t="s">
        <v>69</v>
      </c>
      <c r="H1614" t="s">
        <v>33</v>
      </c>
      <c r="I1614" s="1" t="s">
        <v>2768</v>
      </c>
      <c r="J1614" s="1" t="s">
        <v>21</v>
      </c>
      <c r="K1614" s="1" t="s">
        <v>2769</v>
      </c>
    </row>
    <row r="1615" spans="1:11" ht="60" x14ac:dyDescent="0.25">
      <c r="A1615" t="s">
        <v>59</v>
      </c>
      <c r="B1615" t="s">
        <v>2658</v>
      </c>
      <c r="C1615" t="s">
        <v>44</v>
      </c>
      <c r="D1615" t="s">
        <v>741</v>
      </c>
      <c r="E1615" t="s">
        <v>30</v>
      </c>
      <c r="F1615" t="s">
        <v>520</v>
      </c>
      <c r="G1615" t="s">
        <v>69</v>
      </c>
      <c r="H1615" t="s">
        <v>33</v>
      </c>
      <c r="I1615" s="1" t="s">
        <v>2770</v>
      </c>
      <c r="J1615" s="1" t="s">
        <v>426</v>
      </c>
    </row>
    <row r="1616" spans="1:11" ht="75" x14ac:dyDescent="0.25">
      <c r="A1616" t="s">
        <v>37</v>
      </c>
      <c r="B1616" t="s">
        <v>2658</v>
      </c>
      <c r="C1616" t="s">
        <v>249</v>
      </c>
      <c r="D1616" t="s">
        <v>2771</v>
      </c>
      <c r="E1616" t="s">
        <v>30</v>
      </c>
      <c r="F1616" t="s">
        <v>189</v>
      </c>
      <c r="G1616" t="s">
        <v>32</v>
      </c>
      <c r="H1616" t="s">
        <v>173</v>
      </c>
      <c r="I1616" s="1" t="s">
        <v>2772</v>
      </c>
      <c r="J1616" s="1" t="s">
        <v>2010</v>
      </c>
      <c r="K1616" s="1" t="s">
        <v>2773</v>
      </c>
    </row>
    <row r="1617" spans="1:11" ht="75" x14ac:dyDescent="0.25">
      <c r="A1617" t="s">
        <v>37</v>
      </c>
      <c r="B1617" t="s">
        <v>2658</v>
      </c>
      <c r="C1617" t="s">
        <v>28</v>
      </c>
      <c r="D1617" t="s">
        <v>1515</v>
      </c>
      <c r="E1617" t="s">
        <v>30</v>
      </c>
      <c r="F1617" t="s">
        <v>446</v>
      </c>
      <c r="G1617" t="s">
        <v>32</v>
      </c>
      <c r="H1617" t="s">
        <v>33</v>
      </c>
      <c r="I1617" s="1" t="s">
        <v>2774</v>
      </c>
      <c r="J1617" s="1" t="s">
        <v>104</v>
      </c>
      <c r="K1617" s="1" t="s">
        <v>2775</v>
      </c>
    </row>
    <row r="1618" spans="1:11" x14ac:dyDescent="0.25">
      <c r="A1618" t="s">
        <v>64</v>
      </c>
      <c r="B1618" t="s">
        <v>2658</v>
      </c>
      <c r="C1618" t="s">
        <v>69</v>
      </c>
      <c r="D1618" t="s">
        <v>68</v>
      </c>
      <c r="E1618" t="s">
        <v>30</v>
      </c>
      <c r="F1618" t="s">
        <v>161</v>
      </c>
      <c r="G1618" t="s">
        <v>32</v>
      </c>
      <c r="H1618" t="s">
        <v>33</v>
      </c>
      <c r="I1618" s="1" t="s">
        <v>2776</v>
      </c>
      <c r="J1618" s="1" t="s">
        <v>426</v>
      </c>
    </row>
    <row r="1619" spans="1:11" ht="60" x14ac:dyDescent="0.25">
      <c r="A1619" t="s">
        <v>26</v>
      </c>
      <c r="B1619" t="s">
        <v>2777</v>
      </c>
      <c r="C1619" t="s">
        <v>263</v>
      </c>
      <c r="D1619" t="s">
        <v>1644</v>
      </c>
      <c r="E1619" t="s">
        <v>30</v>
      </c>
      <c r="F1619" t="s">
        <v>98</v>
      </c>
      <c r="G1619" t="s">
        <v>32</v>
      </c>
      <c r="H1619" t="s">
        <v>33</v>
      </c>
      <c r="I1619" s="1" t="s">
        <v>2778</v>
      </c>
      <c r="J1619" s="1" t="s">
        <v>426</v>
      </c>
    </row>
    <row r="1620" spans="1:11" ht="90" x14ac:dyDescent="0.25">
      <c r="A1620" t="s">
        <v>26</v>
      </c>
      <c r="B1620" t="s">
        <v>2777</v>
      </c>
      <c r="C1620" t="s">
        <v>249</v>
      </c>
      <c r="D1620" t="s">
        <v>401</v>
      </c>
      <c r="E1620" t="s">
        <v>30</v>
      </c>
      <c r="F1620" t="s">
        <v>182</v>
      </c>
      <c r="G1620" t="s">
        <v>81</v>
      </c>
      <c r="H1620" t="s">
        <v>87</v>
      </c>
      <c r="I1620" s="1" t="s">
        <v>2779</v>
      </c>
      <c r="J1620" s="1" t="s">
        <v>481</v>
      </c>
      <c r="K1620" s="1" t="s">
        <v>2780</v>
      </c>
    </row>
    <row r="1621" spans="1:11" ht="120" x14ac:dyDescent="0.25">
      <c r="A1621" t="s">
        <v>26</v>
      </c>
      <c r="B1621" t="s">
        <v>2777</v>
      </c>
      <c r="C1621" t="s">
        <v>263</v>
      </c>
      <c r="D1621" t="s">
        <v>457</v>
      </c>
      <c r="E1621" t="s">
        <v>79</v>
      </c>
      <c r="F1621" t="s">
        <v>102</v>
      </c>
      <c r="G1621" t="s">
        <v>32</v>
      </c>
      <c r="H1621" t="s">
        <v>173</v>
      </c>
      <c r="I1621" s="1" t="s">
        <v>2781</v>
      </c>
      <c r="J1621" s="1" t="s">
        <v>697</v>
      </c>
      <c r="K1621" s="1" t="s">
        <v>2782</v>
      </c>
    </row>
    <row r="1622" spans="1:11" ht="75" x14ac:dyDescent="0.25">
      <c r="A1622" t="s">
        <v>26</v>
      </c>
      <c r="B1622" t="s">
        <v>2777</v>
      </c>
      <c r="C1622" t="s">
        <v>263</v>
      </c>
      <c r="D1622" t="s">
        <v>650</v>
      </c>
      <c r="E1622" t="s">
        <v>30</v>
      </c>
      <c r="F1622" t="s">
        <v>1181</v>
      </c>
      <c r="G1622" t="s">
        <v>69</v>
      </c>
      <c r="H1622" t="s">
        <v>173</v>
      </c>
      <c r="I1622" s="1" t="s">
        <v>2783</v>
      </c>
      <c r="J1622" s="1" t="s">
        <v>481</v>
      </c>
      <c r="K1622" s="1" t="s">
        <v>2784</v>
      </c>
    </row>
    <row r="1623" spans="1:11" ht="60" x14ac:dyDescent="0.25">
      <c r="A1623" t="s">
        <v>26</v>
      </c>
      <c r="B1623" t="s">
        <v>2777</v>
      </c>
      <c r="C1623" t="s">
        <v>249</v>
      </c>
      <c r="D1623" t="s">
        <v>657</v>
      </c>
      <c r="E1623" t="s">
        <v>30</v>
      </c>
      <c r="F1623" t="s">
        <v>189</v>
      </c>
      <c r="G1623" t="s">
        <v>32</v>
      </c>
      <c r="H1623" t="s">
        <v>173</v>
      </c>
      <c r="I1623" s="1" t="s">
        <v>2785</v>
      </c>
      <c r="J1623" s="1" t="s">
        <v>15</v>
      </c>
      <c r="K1623" s="1" t="s">
        <v>2786</v>
      </c>
    </row>
    <row r="1624" spans="1:11" ht="105" x14ac:dyDescent="0.25">
      <c r="A1624" t="s">
        <v>26</v>
      </c>
      <c r="B1624" t="s">
        <v>2777</v>
      </c>
      <c r="C1624" t="s">
        <v>73</v>
      </c>
      <c r="D1624" t="s">
        <v>678</v>
      </c>
      <c r="E1624" t="s">
        <v>30</v>
      </c>
      <c r="F1624" t="s">
        <v>147</v>
      </c>
      <c r="G1624" t="s">
        <v>69</v>
      </c>
      <c r="H1624" t="s">
        <v>173</v>
      </c>
      <c r="I1624" s="1" t="s">
        <v>2787</v>
      </c>
      <c r="J1624" s="1" t="s">
        <v>17</v>
      </c>
      <c r="K1624" s="1" t="s">
        <v>2788</v>
      </c>
    </row>
    <row r="1625" spans="1:11" ht="30" x14ac:dyDescent="0.25">
      <c r="A1625" t="s">
        <v>26</v>
      </c>
      <c r="B1625" t="s">
        <v>2777</v>
      </c>
      <c r="C1625" t="s">
        <v>92</v>
      </c>
      <c r="D1625" t="s">
        <v>2789</v>
      </c>
      <c r="E1625" t="s">
        <v>30</v>
      </c>
      <c r="F1625" t="s">
        <v>196</v>
      </c>
      <c r="G1625" t="s">
        <v>32</v>
      </c>
      <c r="H1625" t="s">
        <v>33</v>
      </c>
      <c r="I1625" s="1" t="s">
        <v>2790</v>
      </c>
      <c r="J1625" s="1" t="s">
        <v>426</v>
      </c>
    </row>
    <row r="1626" spans="1:11" ht="45" x14ac:dyDescent="0.25">
      <c r="A1626" t="s">
        <v>26</v>
      </c>
      <c r="B1626" t="s">
        <v>2777</v>
      </c>
      <c r="C1626" t="s">
        <v>249</v>
      </c>
      <c r="D1626" t="s">
        <v>401</v>
      </c>
      <c r="E1626" t="s">
        <v>30</v>
      </c>
      <c r="F1626" t="s">
        <v>246</v>
      </c>
      <c r="G1626" t="s">
        <v>81</v>
      </c>
      <c r="H1626" t="s">
        <v>173</v>
      </c>
      <c r="I1626" s="1" t="s">
        <v>2791</v>
      </c>
      <c r="J1626" s="1" t="s">
        <v>436</v>
      </c>
      <c r="K1626" s="1" t="s">
        <v>2792</v>
      </c>
    </row>
    <row r="1627" spans="1:11" ht="90" x14ac:dyDescent="0.25">
      <c r="A1627" t="s">
        <v>26</v>
      </c>
      <c r="B1627" t="s">
        <v>2777</v>
      </c>
      <c r="C1627" t="s">
        <v>73</v>
      </c>
      <c r="D1627" t="s">
        <v>678</v>
      </c>
      <c r="E1627" t="s">
        <v>79</v>
      </c>
      <c r="F1627" t="s">
        <v>260</v>
      </c>
      <c r="G1627" t="s">
        <v>32</v>
      </c>
      <c r="H1627" t="s">
        <v>87</v>
      </c>
      <c r="I1627" s="1" t="s">
        <v>2793</v>
      </c>
      <c r="J1627" s="1" t="s">
        <v>15</v>
      </c>
      <c r="K1627" s="1" t="s">
        <v>2794</v>
      </c>
    </row>
    <row r="1628" spans="1:11" ht="105" x14ac:dyDescent="0.25">
      <c r="A1628" t="s">
        <v>26</v>
      </c>
      <c r="B1628" t="s">
        <v>2777</v>
      </c>
      <c r="C1628" t="s">
        <v>92</v>
      </c>
      <c r="D1628" t="s">
        <v>477</v>
      </c>
      <c r="E1628" t="s">
        <v>30</v>
      </c>
      <c r="F1628" t="s">
        <v>98</v>
      </c>
      <c r="G1628" t="s">
        <v>32</v>
      </c>
      <c r="H1628" t="s">
        <v>173</v>
      </c>
      <c r="I1628" s="1" t="s">
        <v>2795</v>
      </c>
      <c r="J1628" s="1" t="s">
        <v>697</v>
      </c>
      <c r="K1628" s="1" t="s">
        <v>2796</v>
      </c>
    </row>
    <row r="1629" spans="1:11" ht="30" x14ac:dyDescent="0.25">
      <c r="A1629" t="s">
        <v>26</v>
      </c>
      <c r="B1629" t="s">
        <v>2777</v>
      </c>
      <c r="C1629" t="s">
        <v>472</v>
      </c>
      <c r="D1629" t="s">
        <v>839</v>
      </c>
      <c r="E1629" t="s">
        <v>79</v>
      </c>
      <c r="F1629" t="s">
        <v>46</v>
      </c>
      <c r="G1629" t="s">
        <v>69</v>
      </c>
      <c r="H1629" t="s">
        <v>87</v>
      </c>
      <c r="I1629" s="1" t="s">
        <v>2797</v>
      </c>
      <c r="J1629" s="1" t="s">
        <v>481</v>
      </c>
      <c r="K1629" s="1" t="s">
        <v>1931</v>
      </c>
    </row>
    <row r="1630" spans="1:11" ht="75" x14ac:dyDescent="0.25">
      <c r="A1630" t="s">
        <v>26</v>
      </c>
      <c r="B1630" t="s">
        <v>2777</v>
      </c>
      <c r="C1630" t="s">
        <v>50</v>
      </c>
      <c r="D1630" t="s">
        <v>1502</v>
      </c>
      <c r="E1630" t="s">
        <v>30</v>
      </c>
      <c r="F1630" t="s">
        <v>136</v>
      </c>
      <c r="G1630" t="s">
        <v>69</v>
      </c>
      <c r="H1630" t="s">
        <v>173</v>
      </c>
      <c r="I1630" s="1" t="s">
        <v>2798</v>
      </c>
      <c r="J1630" s="1" t="s">
        <v>689</v>
      </c>
      <c r="K1630" s="1" t="s">
        <v>2799</v>
      </c>
    </row>
    <row r="1631" spans="1:11" ht="105" x14ac:dyDescent="0.25">
      <c r="A1631" t="s">
        <v>26</v>
      </c>
      <c r="B1631" t="s">
        <v>2777</v>
      </c>
      <c r="C1631" t="s">
        <v>240</v>
      </c>
      <c r="D1631" t="s">
        <v>882</v>
      </c>
      <c r="E1631" t="s">
        <v>30</v>
      </c>
      <c r="F1631" t="s">
        <v>112</v>
      </c>
      <c r="G1631" t="s">
        <v>69</v>
      </c>
      <c r="H1631" t="s">
        <v>87</v>
      </c>
      <c r="I1631" s="1" t="s">
        <v>2800</v>
      </c>
      <c r="J1631" s="1" t="s">
        <v>436</v>
      </c>
      <c r="K1631" s="1" t="s">
        <v>2801</v>
      </c>
    </row>
    <row r="1632" spans="1:11" ht="45" x14ac:dyDescent="0.25">
      <c r="A1632" t="s">
        <v>26</v>
      </c>
      <c r="B1632" t="s">
        <v>2777</v>
      </c>
      <c r="C1632" t="s">
        <v>472</v>
      </c>
      <c r="D1632" t="s">
        <v>1668</v>
      </c>
      <c r="E1632" t="s">
        <v>79</v>
      </c>
      <c r="F1632" t="s">
        <v>290</v>
      </c>
      <c r="G1632" t="s">
        <v>32</v>
      </c>
      <c r="H1632" t="s">
        <v>33</v>
      </c>
      <c r="I1632" s="1" t="s">
        <v>2802</v>
      </c>
      <c r="J1632" s="1" t="s">
        <v>1867</v>
      </c>
      <c r="K1632" s="1" t="s">
        <v>2515</v>
      </c>
    </row>
    <row r="1633" spans="1:11" ht="45" x14ac:dyDescent="0.25">
      <c r="A1633" t="s">
        <v>26</v>
      </c>
      <c r="B1633" t="s">
        <v>2777</v>
      </c>
      <c r="C1633" t="s">
        <v>235</v>
      </c>
      <c r="D1633" t="s">
        <v>1002</v>
      </c>
      <c r="E1633" t="s">
        <v>30</v>
      </c>
      <c r="F1633" t="s">
        <v>119</v>
      </c>
      <c r="G1633" t="s">
        <v>32</v>
      </c>
      <c r="H1633" t="s">
        <v>33</v>
      </c>
      <c r="I1633" s="1" t="s">
        <v>2803</v>
      </c>
      <c r="J1633" s="1" t="s">
        <v>426</v>
      </c>
    </row>
    <row r="1634" spans="1:11" ht="30" x14ac:dyDescent="0.25">
      <c r="A1634" t="s">
        <v>26</v>
      </c>
      <c r="B1634" t="s">
        <v>2777</v>
      </c>
      <c r="C1634" t="s">
        <v>28</v>
      </c>
      <c r="D1634" t="s">
        <v>715</v>
      </c>
      <c r="E1634" t="s">
        <v>30</v>
      </c>
      <c r="F1634" t="s">
        <v>189</v>
      </c>
      <c r="G1634" t="s">
        <v>32</v>
      </c>
      <c r="H1634" t="s">
        <v>33</v>
      </c>
      <c r="I1634" s="1" t="s">
        <v>2804</v>
      </c>
      <c r="J1634" s="1" t="s">
        <v>426</v>
      </c>
    </row>
    <row r="1635" spans="1:11" ht="60" x14ac:dyDescent="0.25">
      <c r="A1635" t="s">
        <v>26</v>
      </c>
      <c r="B1635" t="s">
        <v>2777</v>
      </c>
      <c r="C1635" t="s">
        <v>235</v>
      </c>
      <c r="D1635" t="s">
        <v>327</v>
      </c>
      <c r="E1635" t="s">
        <v>30</v>
      </c>
      <c r="F1635" t="s">
        <v>492</v>
      </c>
      <c r="G1635" t="s">
        <v>32</v>
      </c>
      <c r="H1635" t="s">
        <v>173</v>
      </c>
      <c r="I1635" s="1" t="s">
        <v>2805</v>
      </c>
      <c r="J1635" s="1" t="s">
        <v>15</v>
      </c>
      <c r="K1635" s="1" t="s">
        <v>2806</v>
      </c>
    </row>
    <row r="1636" spans="1:11" ht="45" x14ac:dyDescent="0.25">
      <c r="A1636" t="s">
        <v>26</v>
      </c>
      <c r="B1636" t="s">
        <v>2777</v>
      </c>
      <c r="C1636" t="s">
        <v>235</v>
      </c>
      <c r="D1636" t="s">
        <v>236</v>
      </c>
      <c r="E1636" t="s">
        <v>30</v>
      </c>
      <c r="F1636" t="s">
        <v>246</v>
      </c>
      <c r="G1636" t="s">
        <v>32</v>
      </c>
      <c r="H1636" t="s">
        <v>173</v>
      </c>
      <c r="I1636" s="1" t="s">
        <v>2807</v>
      </c>
      <c r="J1636" s="1" t="s">
        <v>15</v>
      </c>
      <c r="K1636" s="1" t="s">
        <v>2808</v>
      </c>
    </row>
    <row r="1637" spans="1:11" x14ac:dyDescent="0.25">
      <c r="A1637" t="s">
        <v>26</v>
      </c>
      <c r="B1637" t="s">
        <v>2777</v>
      </c>
      <c r="C1637" t="s">
        <v>235</v>
      </c>
      <c r="D1637" t="s">
        <v>1467</v>
      </c>
      <c r="E1637" t="s">
        <v>30</v>
      </c>
      <c r="F1637" t="s">
        <v>561</v>
      </c>
      <c r="G1637" t="s">
        <v>32</v>
      </c>
      <c r="H1637" t="s">
        <v>173</v>
      </c>
      <c r="I1637" s="1" t="s">
        <v>2809</v>
      </c>
      <c r="J1637" s="1" t="s">
        <v>15</v>
      </c>
      <c r="K1637" s="1" t="s">
        <v>2810</v>
      </c>
    </row>
    <row r="1638" spans="1:11" ht="90" x14ac:dyDescent="0.25">
      <c r="A1638" t="s">
        <v>49</v>
      </c>
      <c r="B1638" t="s">
        <v>2777</v>
      </c>
      <c r="C1638" t="s">
        <v>249</v>
      </c>
      <c r="D1638" t="s">
        <v>306</v>
      </c>
      <c r="E1638" t="s">
        <v>30</v>
      </c>
      <c r="F1638" t="s">
        <v>216</v>
      </c>
      <c r="G1638" t="s">
        <v>69</v>
      </c>
      <c r="H1638" t="s">
        <v>87</v>
      </c>
      <c r="I1638" s="1" t="s">
        <v>2811</v>
      </c>
      <c r="J1638" s="1" t="s">
        <v>15</v>
      </c>
      <c r="K1638" s="1" t="s">
        <v>2812</v>
      </c>
    </row>
    <row r="1639" spans="1:11" ht="60" x14ac:dyDescent="0.25">
      <c r="A1639" t="s">
        <v>26</v>
      </c>
      <c r="B1639" t="s">
        <v>2777</v>
      </c>
      <c r="C1639" t="s">
        <v>235</v>
      </c>
      <c r="D1639" t="s">
        <v>537</v>
      </c>
      <c r="E1639" t="s">
        <v>30</v>
      </c>
      <c r="F1639" t="s">
        <v>223</v>
      </c>
      <c r="G1639" t="s">
        <v>69</v>
      </c>
      <c r="H1639" t="s">
        <v>87</v>
      </c>
      <c r="I1639" s="1" t="s">
        <v>2813</v>
      </c>
      <c r="J1639" s="1" t="s">
        <v>697</v>
      </c>
      <c r="K1639" s="1" t="s">
        <v>2814</v>
      </c>
    </row>
    <row r="1640" spans="1:11" ht="60" x14ac:dyDescent="0.25">
      <c r="A1640" t="s">
        <v>26</v>
      </c>
      <c r="B1640" t="s">
        <v>2777</v>
      </c>
      <c r="C1640" t="s">
        <v>235</v>
      </c>
      <c r="D1640" t="s">
        <v>537</v>
      </c>
      <c r="E1640" t="s">
        <v>30</v>
      </c>
      <c r="F1640" t="s">
        <v>287</v>
      </c>
      <c r="G1640" t="s">
        <v>32</v>
      </c>
      <c r="H1640" t="s">
        <v>87</v>
      </c>
      <c r="I1640" s="1" t="s">
        <v>2815</v>
      </c>
      <c r="J1640" s="1" t="s">
        <v>1917</v>
      </c>
    </row>
    <row r="1641" spans="1:11" ht="30" x14ac:dyDescent="0.25">
      <c r="A1641" t="s">
        <v>26</v>
      </c>
      <c r="B1641" t="s">
        <v>2777</v>
      </c>
      <c r="C1641" t="s">
        <v>180</v>
      </c>
      <c r="D1641" t="s">
        <v>2816</v>
      </c>
      <c r="E1641" t="s">
        <v>30</v>
      </c>
      <c r="F1641" t="s">
        <v>196</v>
      </c>
      <c r="G1641" t="s">
        <v>32</v>
      </c>
      <c r="H1641" t="s">
        <v>33</v>
      </c>
      <c r="I1641" s="1" t="s">
        <v>2817</v>
      </c>
      <c r="J1641" s="1" t="s">
        <v>481</v>
      </c>
      <c r="K1641" s="1" t="s">
        <v>2489</v>
      </c>
    </row>
    <row r="1642" spans="1:11" ht="30" x14ac:dyDescent="0.25">
      <c r="A1642" t="s">
        <v>49</v>
      </c>
      <c r="B1642" t="s">
        <v>2777</v>
      </c>
      <c r="C1642" t="s">
        <v>180</v>
      </c>
      <c r="D1642" t="s">
        <v>2129</v>
      </c>
      <c r="E1642" t="s">
        <v>30</v>
      </c>
      <c r="F1642" t="s">
        <v>112</v>
      </c>
      <c r="G1642" t="s">
        <v>32</v>
      </c>
      <c r="H1642" t="s">
        <v>173</v>
      </c>
      <c r="I1642" s="1" t="s">
        <v>2818</v>
      </c>
      <c r="J1642" s="1" t="s">
        <v>426</v>
      </c>
    </row>
    <row r="1643" spans="1:11" ht="75" x14ac:dyDescent="0.25">
      <c r="A1643" t="s">
        <v>26</v>
      </c>
      <c r="B1643" t="s">
        <v>2777</v>
      </c>
      <c r="C1643" t="s">
        <v>235</v>
      </c>
      <c r="D1643" t="s">
        <v>427</v>
      </c>
      <c r="E1643" t="s">
        <v>30</v>
      </c>
      <c r="F1643" t="s">
        <v>389</v>
      </c>
      <c r="G1643" t="s">
        <v>69</v>
      </c>
      <c r="H1643" t="s">
        <v>173</v>
      </c>
      <c r="I1643" s="1" t="s">
        <v>2819</v>
      </c>
      <c r="J1643" s="1" t="s">
        <v>481</v>
      </c>
      <c r="K1643" s="1" t="s">
        <v>2820</v>
      </c>
    </row>
    <row r="1644" spans="1:11" ht="60" x14ac:dyDescent="0.25">
      <c r="A1644" t="s">
        <v>26</v>
      </c>
      <c r="B1644" t="s">
        <v>2777</v>
      </c>
      <c r="C1644" t="s">
        <v>28</v>
      </c>
      <c r="D1644" t="s">
        <v>129</v>
      </c>
      <c r="E1644" t="s">
        <v>30</v>
      </c>
      <c r="F1644" t="s">
        <v>246</v>
      </c>
      <c r="G1644" t="s">
        <v>263</v>
      </c>
      <c r="H1644" t="s">
        <v>173</v>
      </c>
      <c r="I1644" s="1" t="s">
        <v>2821</v>
      </c>
      <c r="J1644" s="1" t="s">
        <v>738</v>
      </c>
      <c r="K1644" s="1" t="s">
        <v>2822</v>
      </c>
    </row>
    <row r="1645" spans="1:11" ht="30" x14ac:dyDescent="0.25">
      <c r="A1645" t="s">
        <v>26</v>
      </c>
      <c r="B1645" t="s">
        <v>2777</v>
      </c>
      <c r="C1645" t="s">
        <v>69</v>
      </c>
      <c r="D1645" t="s">
        <v>2156</v>
      </c>
      <c r="E1645" t="s">
        <v>30</v>
      </c>
      <c r="F1645" t="s">
        <v>140</v>
      </c>
      <c r="G1645" t="s">
        <v>32</v>
      </c>
      <c r="H1645" t="s">
        <v>33</v>
      </c>
      <c r="I1645" s="1" t="s">
        <v>2823</v>
      </c>
      <c r="J1645" s="1" t="s">
        <v>426</v>
      </c>
    </row>
    <row r="1646" spans="1:11" ht="30" x14ac:dyDescent="0.25">
      <c r="A1646" t="s">
        <v>91</v>
      </c>
      <c r="B1646" t="s">
        <v>2777</v>
      </c>
      <c r="C1646" t="s">
        <v>240</v>
      </c>
      <c r="D1646" t="s">
        <v>2824</v>
      </c>
      <c r="E1646" t="s">
        <v>30</v>
      </c>
      <c r="F1646" t="s">
        <v>40</v>
      </c>
      <c r="G1646" t="s">
        <v>69</v>
      </c>
      <c r="H1646" t="s">
        <v>33</v>
      </c>
      <c r="I1646" s="1" t="s">
        <v>2825</v>
      </c>
      <c r="J1646" s="1" t="s">
        <v>426</v>
      </c>
    </row>
    <row r="1647" spans="1:11" ht="30" x14ac:dyDescent="0.25">
      <c r="A1647" t="s">
        <v>26</v>
      </c>
      <c r="B1647" t="s">
        <v>2777</v>
      </c>
      <c r="C1647" t="s">
        <v>50</v>
      </c>
      <c r="D1647" t="s">
        <v>226</v>
      </c>
      <c r="E1647" t="s">
        <v>30</v>
      </c>
      <c r="F1647" t="s">
        <v>182</v>
      </c>
      <c r="G1647" t="s">
        <v>81</v>
      </c>
      <c r="H1647" t="s">
        <v>87</v>
      </c>
      <c r="I1647" s="1" t="s">
        <v>2826</v>
      </c>
      <c r="J1647" s="1" t="s">
        <v>104</v>
      </c>
      <c r="K1647" s="1" t="s">
        <v>105</v>
      </c>
    </row>
    <row r="1648" spans="1:11" ht="90" x14ac:dyDescent="0.25">
      <c r="A1648" t="s">
        <v>26</v>
      </c>
      <c r="B1648" t="s">
        <v>2777</v>
      </c>
      <c r="C1648" t="s">
        <v>28</v>
      </c>
      <c r="D1648" t="s">
        <v>946</v>
      </c>
      <c r="E1648" t="s">
        <v>30</v>
      </c>
      <c r="F1648" t="s">
        <v>166</v>
      </c>
      <c r="G1648" t="s">
        <v>69</v>
      </c>
      <c r="H1648" t="s">
        <v>87</v>
      </c>
      <c r="I1648" s="1" t="s">
        <v>2827</v>
      </c>
      <c r="J1648" s="1" t="s">
        <v>104</v>
      </c>
      <c r="K1648" s="1" t="s">
        <v>105</v>
      </c>
    </row>
    <row r="1649" spans="1:11" ht="30" x14ac:dyDescent="0.25">
      <c r="A1649" t="s">
        <v>26</v>
      </c>
      <c r="B1649" t="s">
        <v>2777</v>
      </c>
      <c r="C1649" t="s">
        <v>44</v>
      </c>
      <c r="D1649" t="s">
        <v>146</v>
      </c>
      <c r="E1649" t="s">
        <v>79</v>
      </c>
      <c r="F1649" t="s">
        <v>46</v>
      </c>
      <c r="G1649" t="s">
        <v>69</v>
      </c>
      <c r="H1649" t="s">
        <v>87</v>
      </c>
      <c r="I1649" s="1" t="s">
        <v>2828</v>
      </c>
      <c r="J1649" s="1" t="s">
        <v>436</v>
      </c>
    </row>
    <row r="1650" spans="1:11" ht="90" x14ac:dyDescent="0.25">
      <c r="A1650" t="s">
        <v>59</v>
      </c>
      <c r="B1650" t="s">
        <v>2777</v>
      </c>
      <c r="C1650" t="s">
        <v>235</v>
      </c>
      <c r="D1650" t="s">
        <v>270</v>
      </c>
      <c r="E1650" t="s">
        <v>30</v>
      </c>
      <c r="F1650" t="s">
        <v>182</v>
      </c>
      <c r="G1650" t="s">
        <v>69</v>
      </c>
      <c r="H1650" t="s">
        <v>87</v>
      </c>
      <c r="I1650" s="1" t="s">
        <v>2829</v>
      </c>
      <c r="J1650" s="1" t="s">
        <v>436</v>
      </c>
    </row>
    <row r="1651" spans="1:11" ht="105" x14ac:dyDescent="0.25">
      <c r="A1651" t="s">
        <v>26</v>
      </c>
      <c r="B1651" t="s">
        <v>2777</v>
      </c>
      <c r="C1651" t="s">
        <v>50</v>
      </c>
      <c r="D1651" t="s">
        <v>1150</v>
      </c>
      <c r="E1651" t="s">
        <v>79</v>
      </c>
      <c r="F1651" t="s">
        <v>209</v>
      </c>
      <c r="G1651" t="s">
        <v>32</v>
      </c>
      <c r="H1651" t="s">
        <v>33</v>
      </c>
      <c r="I1651" s="1" t="s">
        <v>2830</v>
      </c>
      <c r="J1651" s="1" t="s">
        <v>426</v>
      </c>
    </row>
    <row r="1652" spans="1:11" ht="120" x14ac:dyDescent="0.25">
      <c r="A1652" t="s">
        <v>49</v>
      </c>
      <c r="B1652" t="s">
        <v>2777</v>
      </c>
      <c r="C1652" t="s">
        <v>240</v>
      </c>
      <c r="D1652" t="s">
        <v>1787</v>
      </c>
      <c r="E1652" t="s">
        <v>79</v>
      </c>
      <c r="F1652" t="s">
        <v>202</v>
      </c>
      <c r="G1652" t="s">
        <v>69</v>
      </c>
      <c r="H1652" t="s">
        <v>87</v>
      </c>
      <c r="I1652" s="1" t="s">
        <v>2831</v>
      </c>
      <c r="J1652" s="1" t="s">
        <v>2149</v>
      </c>
    </row>
    <row r="1653" spans="1:11" ht="135" x14ac:dyDescent="0.25">
      <c r="A1653" t="s">
        <v>26</v>
      </c>
      <c r="B1653" t="s">
        <v>2777</v>
      </c>
      <c r="C1653" t="s">
        <v>55</v>
      </c>
      <c r="D1653" t="s">
        <v>279</v>
      </c>
      <c r="E1653" t="s">
        <v>30</v>
      </c>
      <c r="F1653" t="s">
        <v>280</v>
      </c>
      <c r="G1653" t="s">
        <v>32</v>
      </c>
      <c r="H1653" t="s">
        <v>33</v>
      </c>
      <c r="I1653" s="1" t="s">
        <v>2832</v>
      </c>
      <c r="J1653" s="1" t="s">
        <v>481</v>
      </c>
      <c r="K1653" s="1" t="s">
        <v>2833</v>
      </c>
    </row>
    <row r="1654" spans="1:11" ht="75" x14ac:dyDescent="0.25">
      <c r="A1654" t="s">
        <v>37</v>
      </c>
      <c r="B1654" t="s">
        <v>2777</v>
      </c>
      <c r="C1654" t="s">
        <v>73</v>
      </c>
      <c r="D1654" t="s">
        <v>2076</v>
      </c>
      <c r="E1654" t="s">
        <v>30</v>
      </c>
      <c r="F1654" t="s">
        <v>189</v>
      </c>
      <c r="G1654" t="s">
        <v>32</v>
      </c>
      <c r="H1654" t="s">
        <v>33</v>
      </c>
      <c r="I1654" s="1" t="s">
        <v>2834</v>
      </c>
      <c r="J1654" s="1" t="s">
        <v>426</v>
      </c>
    </row>
    <row r="1655" spans="1:11" ht="105" x14ac:dyDescent="0.25">
      <c r="A1655" t="s">
        <v>26</v>
      </c>
      <c r="B1655" t="s">
        <v>2777</v>
      </c>
      <c r="C1655" t="s">
        <v>44</v>
      </c>
      <c r="D1655" t="s">
        <v>146</v>
      </c>
      <c r="E1655" t="s">
        <v>30</v>
      </c>
      <c r="F1655" t="s">
        <v>136</v>
      </c>
      <c r="G1655" t="s">
        <v>32</v>
      </c>
      <c r="H1655" t="s">
        <v>87</v>
      </c>
      <c r="I1655" s="1" t="s">
        <v>2835</v>
      </c>
      <c r="J1655" s="1" t="s">
        <v>21</v>
      </c>
      <c r="K1655" s="1" t="s">
        <v>2836</v>
      </c>
    </row>
    <row r="1656" spans="1:11" ht="120" x14ac:dyDescent="0.25">
      <c r="A1656" t="s">
        <v>49</v>
      </c>
      <c r="B1656" t="s">
        <v>2777</v>
      </c>
      <c r="C1656" t="s">
        <v>38</v>
      </c>
      <c r="D1656" t="s">
        <v>2747</v>
      </c>
      <c r="E1656" t="s">
        <v>30</v>
      </c>
      <c r="F1656" t="s">
        <v>389</v>
      </c>
      <c r="G1656" t="s">
        <v>81</v>
      </c>
      <c r="H1656" t="s">
        <v>173</v>
      </c>
      <c r="I1656" s="1" t="s">
        <v>2837</v>
      </c>
      <c r="J1656" s="1" t="s">
        <v>15</v>
      </c>
      <c r="K1656" s="1" t="s">
        <v>2838</v>
      </c>
    </row>
    <row r="1657" spans="1:11" ht="105" x14ac:dyDescent="0.25">
      <c r="A1657" t="s">
        <v>49</v>
      </c>
      <c r="B1657" t="s">
        <v>2777</v>
      </c>
      <c r="C1657" t="s">
        <v>96</v>
      </c>
      <c r="D1657" t="s">
        <v>201</v>
      </c>
      <c r="E1657" t="s">
        <v>30</v>
      </c>
      <c r="F1657" t="s">
        <v>1103</v>
      </c>
      <c r="G1657" t="s">
        <v>32</v>
      </c>
      <c r="H1657" t="s">
        <v>87</v>
      </c>
      <c r="I1657" s="1" t="s">
        <v>2839</v>
      </c>
      <c r="J1657" s="1" t="s">
        <v>697</v>
      </c>
      <c r="K1657" s="1" t="s">
        <v>2840</v>
      </c>
    </row>
    <row r="1658" spans="1:11" ht="60" x14ac:dyDescent="0.25">
      <c r="A1658" t="s">
        <v>37</v>
      </c>
      <c r="B1658" t="s">
        <v>2777</v>
      </c>
      <c r="C1658" t="s">
        <v>472</v>
      </c>
      <c r="D1658" t="s">
        <v>839</v>
      </c>
      <c r="E1658" t="s">
        <v>30</v>
      </c>
      <c r="F1658" t="s">
        <v>140</v>
      </c>
      <c r="G1658" t="s">
        <v>81</v>
      </c>
      <c r="H1658" t="s">
        <v>33</v>
      </c>
      <c r="I1658" s="1" t="s">
        <v>2841</v>
      </c>
      <c r="J1658" s="1" t="s">
        <v>1917</v>
      </c>
      <c r="K1658" s="1" t="s">
        <v>2842</v>
      </c>
    </row>
    <row r="1659" spans="1:11" ht="105" x14ac:dyDescent="0.25">
      <c r="A1659" t="s">
        <v>26</v>
      </c>
      <c r="B1659" t="s">
        <v>2777</v>
      </c>
      <c r="C1659" t="s">
        <v>55</v>
      </c>
      <c r="D1659" t="s">
        <v>965</v>
      </c>
      <c r="E1659" t="s">
        <v>30</v>
      </c>
      <c r="F1659" t="s">
        <v>202</v>
      </c>
      <c r="G1659" t="s">
        <v>69</v>
      </c>
      <c r="H1659" t="s">
        <v>173</v>
      </c>
      <c r="I1659" s="1" t="s">
        <v>2843</v>
      </c>
      <c r="J1659" s="1" t="s">
        <v>481</v>
      </c>
      <c r="K1659" s="1" t="s">
        <v>2844</v>
      </c>
    </row>
    <row r="1660" spans="1:11" ht="105" x14ac:dyDescent="0.25">
      <c r="A1660" t="s">
        <v>49</v>
      </c>
      <c r="B1660" t="s">
        <v>2777</v>
      </c>
      <c r="C1660" t="s">
        <v>85</v>
      </c>
      <c r="D1660" t="s">
        <v>510</v>
      </c>
      <c r="E1660" t="s">
        <v>30</v>
      </c>
      <c r="F1660" t="s">
        <v>61</v>
      </c>
      <c r="G1660" t="s">
        <v>32</v>
      </c>
      <c r="H1660" t="s">
        <v>33</v>
      </c>
      <c r="I1660" s="1" t="s">
        <v>2845</v>
      </c>
      <c r="J1660" s="1" t="s">
        <v>426</v>
      </c>
      <c r="K1660" s="1" t="s">
        <v>2846</v>
      </c>
    </row>
    <row r="1661" spans="1:11" ht="105" x14ac:dyDescent="0.25">
      <c r="A1661" t="s">
        <v>49</v>
      </c>
      <c r="B1661" t="s">
        <v>2777</v>
      </c>
      <c r="C1661" t="s">
        <v>38</v>
      </c>
      <c r="D1661" t="s">
        <v>489</v>
      </c>
      <c r="E1661" t="s">
        <v>30</v>
      </c>
      <c r="F1661" t="s">
        <v>307</v>
      </c>
      <c r="G1661" t="s">
        <v>32</v>
      </c>
      <c r="H1661" t="s">
        <v>33</v>
      </c>
      <c r="I1661" s="1" t="s">
        <v>2847</v>
      </c>
      <c r="J1661" s="1" t="s">
        <v>854</v>
      </c>
    </row>
    <row r="1662" spans="1:11" ht="60" x14ac:dyDescent="0.25">
      <c r="A1662" t="s">
        <v>37</v>
      </c>
      <c r="B1662" t="s">
        <v>2777</v>
      </c>
      <c r="C1662" t="s">
        <v>69</v>
      </c>
      <c r="D1662" t="s">
        <v>664</v>
      </c>
      <c r="E1662" t="s">
        <v>30</v>
      </c>
      <c r="F1662" t="s">
        <v>189</v>
      </c>
      <c r="G1662" t="s">
        <v>32</v>
      </c>
      <c r="H1662" t="s">
        <v>33</v>
      </c>
      <c r="I1662" s="1" t="s">
        <v>2848</v>
      </c>
      <c r="J1662" s="1" t="s">
        <v>426</v>
      </c>
    </row>
    <row r="1663" spans="1:11" ht="105" x14ac:dyDescent="0.25">
      <c r="A1663" t="s">
        <v>49</v>
      </c>
      <c r="B1663" t="s">
        <v>2777</v>
      </c>
      <c r="C1663" t="s">
        <v>240</v>
      </c>
      <c r="D1663" t="s">
        <v>597</v>
      </c>
      <c r="E1663" t="s">
        <v>30</v>
      </c>
      <c r="F1663" t="s">
        <v>189</v>
      </c>
      <c r="G1663" t="s">
        <v>32</v>
      </c>
      <c r="H1663" t="s">
        <v>87</v>
      </c>
      <c r="I1663" s="1" t="s">
        <v>2849</v>
      </c>
      <c r="J1663" s="1" t="s">
        <v>481</v>
      </c>
      <c r="K1663" s="1" t="s">
        <v>2850</v>
      </c>
    </row>
    <row r="1664" spans="1:11" ht="60" x14ac:dyDescent="0.25">
      <c r="A1664" t="s">
        <v>49</v>
      </c>
      <c r="B1664" t="s">
        <v>2777</v>
      </c>
      <c r="C1664" t="s">
        <v>28</v>
      </c>
      <c r="D1664" t="s">
        <v>1340</v>
      </c>
      <c r="E1664" t="s">
        <v>30</v>
      </c>
      <c r="F1664" t="s">
        <v>102</v>
      </c>
      <c r="G1664" t="s">
        <v>32</v>
      </c>
      <c r="H1664" t="s">
        <v>33</v>
      </c>
      <c r="I1664" s="1" t="s">
        <v>2851</v>
      </c>
      <c r="J1664" s="1" t="s">
        <v>481</v>
      </c>
      <c r="K1664" s="1" t="s">
        <v>2852</v>
      </c>
    </row>
    <row r="1665" spans="1:11" ht="105" x14ac:dyDescent="0.25">
      <c r="A1665" t="s">
        <v>49</v>
      </c>
      <c r="B1665" t="s">
        <v>2777</v>
      </c>
      <c r="C1665" t="s">
        <v>472</v>
      </c>
      <c r="D1665" t="s">
        <v>839</v>
      </c>
      <c r="E1665" t="s">
        <v>30</v>
      </c>
      <c r="F1665" t="s">
        <v>1014</v>
      </c>
      <c r="G1665" t="s">
        <v>32</v>
      </c>
      <c r="H1665" t="s">
        <v>87</v>
      </c>
      <c r="I1665" s="1" t="s">
        <v>2853</v>
      </c>
      <c r="J1665" s="1" t="s">
        <v>481</v>
      </c>
      <c r="K1665" s="1" t="s">
        <v>2854</v>
      </c>
    </row>
    <row r="1666" spans="1:11" ht="30" x14ac:dyDescent="0.25">
      <c r="A1666" t="s">
        <v>49</v>
      </c>
      <c r="B1666" t="s">
        <v>2777</v>
      </c>
      <c r="C1666" t="s">
        <v>28</v>
      </c>
      <c r="D1666" t="s">
        <v>1761</v>
      </c>
      <c r="E1666" t="s">
        <v>30</v>
      </c>
      <c r="F1666" t="s">
        <v>154</v>
      </c>
      <c r="G1666" t="s">
        <v>69</v>
      </c>
      <c r="H1666" t="s">
        <v>33</v>
      </c>
      <c r="I1666" s="1" t="s">
        <v>2855</v>
      </c>
      <c r="J1666" s="1" t="s">
        <v>15</v>
      </c>
      <c r="K1666" s="1" t="s">
        <v>2855</v>
      </c>
    </row>
    <row r="1667" spans="1:11" ht="105" x14ac:dyDescent="0.25">
      <c r="A1667" t="s">
        <v>49</v>
      </c>
      <c r="B1667" t="s">
        <v>2777</v>
      </c>
      <c r="C1667" t="s">
        <v>235</v>
      </c>
      <c r="D1667" t="s">
        <v>270</v>
      </c>
      <c r="E1667" t="s">
        <v>79</v>
      </c>
      <c r="F1667" t="s">
        <v>108</v>
      </c>
      <c r="G1667" t="s">
        <v>32</v>
      </c>
      <c r="H1667" t="s">
        <v>87</v>
      </c>
      <c r="I1667" s="1" t="s">
        <v>2856</v>
      </c>
      <c r="J1667" s="1" t="s">
        <v>15</v>
      </c>
      <c r="K1667" s="1" t="s">
        <v>2857</v>
      </c>
    </row>
    <row r="1668" spans="1:11" ht="45" x14ac:dyDescent="0.25">
      <c r="A1668" t="s">
        <v>59</v>
      </c>
      <c r="B1668" t="s">
        <v>2777</v>
      </c>
      <c r="C1668" t="s">
        <v>92</v>
      </c>
      <c r="D1668" t="s">
        <v>2858</v>
      </c>
      <c r="E1668" t="s">
        <v>30</v>
      </c>
      <c r="F1668" t="s">
        <v>216</v>
      </c>
      <c r="G1668" t="s">
        <v>32</v>
      </c>
      <c r="H1668" t="s">
        <v>33</v>
      </c>
      <c r="I1668" s="1" t="s">
        <v>2859</v>
      </c>
      <c r="J1668" s="1" t="s">
        <v>426</v>
      </c>
      <c r="K1668" s="1" t="s">
        <v>2860</v>
      </c>
    </row>
    <row r="1669" spans="1:11" ht="45" x14ac:dyDescent="0.25">
      <c r="A1669" t="s">
        <v>49</v>
      </c>
      <c r="B1669" t="s">
        <v>2777</v>
      </c>
      <c r="C1669" t="s">
        <v>180</v>
      </c>
      <c r="D1669" t="s">
        <v>2861</v>
      </c>
      <c r="E1669" t="s">
        <v>30</v>
      </c>
      <c r="F1669" t="s">
        <v>520</v>
      </c>
      <c r="G1669" t="s">
        <v>32</v>
      </c>
      <c r="H1669" t="s">
        <v>173</v>
      </c>
      <c r="I1669" s="1" t="s">
        <v>2862</v>
      </c>
      <c r="J1669" s="1" t="s">
        <v>1917</v>
      </c>
      <c r="K1669" s="1" t="s">
        <v>2863</v>
      </c>
    </row>
    <row r="1670" spans="1:11" ht="30" x14ac:dyDescent="0.25">
      <c r="A1670" t="s">
        <v>37</v>
      </c>
      <c r="B1670" t="s">
        <v>2777</v>
      </c>
      <c r="C1670" t="s">
        <v>263</v>
      </c>
      <c r="D1670" t="s">
        <v>862</v>
      </c>
      <c r="E1670" t="s">
        <v>30</v>
      </c>
      <c r="F1670" t="s">
        <v>189</v>
      </c>
      <c r="G1670" t="s">
        <v>81</v>
      </c>
      <c r="H1670" t="s">
        <v>87</v>
      </c>
      <c r="I1670" s="1" t="s">
        <v>2864</v>
      </c>
      <c r="J1670" s="1" t="s">
        <v>17</v>
      </c>
      <c r="K1670" s="1" t="s">
        <v>2645</v>
      </c>
    </row>
    <row r="1671" spans="1:11" ht="105" x14ac:dyDescent="0.25">
      <c r="A1671" t="s">
        <v>49</v>
      </c>
      <c r="B1671" t="s">
        <v>2777</v>
      </c>
      <c r="C1671" t="s">
        <v>28</v>
      </c>
      <c r="D1671" t="s">
        <v>153</v>
      </c>
      <c r="E1671" t="s">
        <v>30</v>
      </c>
      <c r="F1671" t="s">
        <v>202</v>
      </c>
      <c r="G1671" t="s">
        <v>69</v>
      </c>
      <c r="H1671" t="s">
        <v>87</v>
      </c>
      <c r="I1671" s="1" t="s">
        <v>2865</v>
      </c>
      <c r="J1671" s="1" t="s">
        <v>15</v>
      </c>
      <c r="K1671" s="1" t="s">
        <v>2866</v>
      </c>
    </row>
    <row r="1672" spans="1:11" ht="30" x14ac:dyDescent="0.25">
      <c r="A1672" t="s">
        <v>37</v>
      </c>
      <c r="B1672" t="s">
        <v>2777</v>
      </c>
      <c r="C1672" t="s">
        <v>96</v>
      </c>
      <c r="D1672" t="s">
        <v>195</v>
      </c>
      <c r="E1672" t="s">
        <v>30</v>
      </c>
      <c r="F1672" t="s">
        <v>31</v>
      </c>
      <c r="G1672" t="s">
        <v>32</v>
      </c>
      <c r="H1672" t="s">
        <v>33</v>
      </c>
      <c r="I1672" s="1" t="s">
        <v>2867</v>
      </c>
      <c r="J1672" s="1" t="s">
        <v>1849</v>
      </c>
      <c r="K1672" s="1" t="s">
        <v>2868</v>
      </c>
    </row>
    <row r="1673" spans="1:11" ht="105" x14ac:dyDescent="0.25">
      <c r="A1673" t="s">
        <v>59</v>
      </c>
      <c r="B1673" t="s">
        <v>2777</v>
      </c>
      <c r="C1673" t="s">
        <v>44</v>
      </c>
      <c r="D1673" t="s">
        <v>1162</v>
      </c>
      <c r="E1673" t="s">
        <v>30</v>
      </c>
      <c r="F1673" t="s">
        <v>602</v>
      </c>
      <c r="G1673" t="s">
        <v>32</v>
      </c>
      <c r="H1673" t="s">
        <v>87</v>
      </c>
      <c r="I1673" s="1" t="s">
        <v>2869</v>
      </c>
      <c r="J1673" s="1" t="s">
        <v>481</v>
      </c>
      <c r="K1673" s="1" t="s">
        <v>2870</v>
      </c>
    </row>
    <row r="1674" spans="1:11" ht="45" x14ac:dyDescent="0.25">
      <c r="A1674" t="s">
        <v>37</v>
      </c>
      <c r="B1674" t="s">
        <v>2777</v>
      </c>
      <c r="C1674" t="s">
        <v>50</v>
      </c>
      <c r="D1674" t="s">
        <v>843</v>
      </c>
      <c r="E1674" t="s">
        <v>30</v>
      </c>
      <c r="F1674" t="s">
        <v>389</v>
      </c>
      <c r="G1674" t="s">
        <v>32</v>
      </c>
      <c r="H1674" t="s">
        <v>33</v>
      </c>
      <c r="I1674" s="1" t="s">
        <v>2871</v>
      </c>
      <c r="J1674" s="1" t="s">
        <v>689</v>
      </c>
    </row>
    <row r="1675" spans="1:11" ht="120" x14ac:dyDescent="0.25">
      <c r="A1675" t="s">
        <v>37</v>
      </c>
      <c r="B1675" t="s">
        <v>2777</v>
      </c>
      <c r="C1675" t="s">
        <v>92</v>
      </c>
      <c r="D1675" t="s">
        <v>629</v>
      </c>
      <c r="E1675" t="s">
        <v>30</v>
      </c>
      <c r="F1675" t="s">
        <v>658</v>
      </c>
      <c r="G1675" t="s">
        <v>263</v>
      </c>
      <c r="H1675" t="s">
        <v>87</v>
      </c>
      <c r="I1675" s="1" t="s">
        <v>2872</v>
      </c>
      <c r="J1675" s="1" t="s">
        <v>436</v>
      </c>
    </row>
    <row r="1676" spans="1:11" ht="60" x14ac:dyDescent="0.25">
      <c r="A1676" t="s">
        <v>37</v>
      </c>
      <c r="B1676" t="s">
        <v>2777</v>
      </c>
      <c r="C1676" t="s">
        <v>55</v>
      </c>
      <c r="D1676" t="s">
        <v>2873</v>
      </c>
      <c r="E1676" t="s">
        <v>30</v>
      </c>
      <c r="F1676" t="s">
        <v>1078</v>
      </c>
      <c r="G1676" t="s">
        <v>69</v>
      </c>
      <c r="H1676" t="s">
        <v>173</v>
      </c>
      <c r="I1676" s="1" t="s">
        <v>2874</v>
      </c>
      <c r="J1676" s="1" t="s">
        <v>481</v>
      </c>
      <c r="K1676" s="1" t="s">
        <v>2875</v>
      </c>
    </row>
    <row r="1677" spans="1:11" ht="60" x14ac:dyDescent="0.25">
      <c r="A1677" t="s">
        <v>26</v>
      </c>
      <c r="B1677" t="s">
        <v>2876</v>
      </c>
      <c r="C1677" t="s">
        <v>92</v>
      </c>
      <c r="D1677" t="s">
        <v>629</v>
      </c>
      <c r="E1677" t="s">
        <v>30</v>
      </c>
      <c r="F1677" t="s">
        <v>112</v>
      </c>
      <c r="G1677" t="s">
        <v>69</v>
      </c>
      <c r="H1677" t="s">
        <v>173</v>
      </c>
      <c r="I1677" s="1" t="s">
        <v>2877</v>
      </c>
      <c r="J1677" s="1" t="s">
        <v>1917</v>
      </c>
      <c r="K1677" s="1" t="s">
        <v>2878</v>
      </c>
    </row>
    <row r="1678" spans="1:11" ht="60" x14ac:dyDescent="0.25">
      <c r="A1678" t="s">
        <v>49</v>
      </c>
      <c r="B1678" t="s">
        <v>2876</v>
      </c>
      <c r="C1678" t="s">
        <v>249</v>
      </c>
      <c r="D1678" t="s">
        <v>355</v>
      </c>
      <c r="E1678" t="s">
        <v>30</v>
      </c>
      <c r="F1678" t="s">
        <v>52</v>
      </c>
      <c r="G1678" t="s">
        <v>32</v>
      </c>
      <c r="H1678" t="s">
        <v>87</v>
      </c>
      <c r="I1678" s="1" t="s">
        <v>2879</v>
      </c>
      <c r="J1678" s="1" t="s">
        <v>15</v>
      </c>
      <c r="K1678" s="1" t="s">
        <v>2880</v>
      </c>
    </row>
    <row r="1679" spans="1:11" ht="75" x14ac:dyDescent="0.25">
      <c r="A1679" t="s">
        <v>26</v>
      </c>
      <c r="B1679" t="s">
        <v>2876</v>
      </c>
      <c r="C1679" t="s">
        <v>92</v>
      </c>
      <c r="D1679" t="s">
        <v>93</v>
      </c>
      <c r="E1679" t="s">
        <v>30</v>
      </c>
      <c r="F1679" t="s">
        <v>1078</v>
      </c>
      <c r="G1679" t="s">
        <v>32</v>
      </c>
      <c r="H1679" t="s">
        <v>87</v>
      </c>
      <c r="I1679" s="1" t="s">
        <v>2881</v>
      </c>
      <c r="J1679" s="1" t="s">
        <v>436</v>
      </c>
    </row>
    <row r="1680" spans="1:11" ht="105" x14ac:dyDescent="0.25">
      <c r="A1680" t="s">
        <v>37</v>
      </c>
      <c r="B1680" t="s">
        <v>2876</v>
      </c>
      <c r="C1680" t="s">
        <v>263</v>
      </c>
      <c r="D1680" t="s">
        <v>1128</v>
      </c>
      <c r="E1680" t="s">
        <v>30</v>
      </c>
      <c r="F1680" t="s">
        <v>61</v>
      </c>
      <c r="G1680" t="s">
        <v>69</v>
      </c>
      <c r="H1680" t="s">
        <v>87</v>
      </c>
      <c r="I1680" s="1" t="s">
        <v>2882</v>
      </c>
      <c r="J1680" s="1" t="s">
        <v>481</v>
      </c>
      <c r="K1680" s="1" t="s">
        <v>2883</v>
      </c>
    </row>
    <row r="1681" spans="1:11" ht="90" x14ac:dyDescent="0.25">
      <c r="A1681" t="s">
        <v>26</v>
      </c>
      <c r="B1681" t="s">
        <v>2876</v>
      </c>
      <c r="C1681" t="s">
        <v>28</v>
      </c>
      <c r="D1681" t="s">
        <v>1340</v>
      </c>
      <c r="E1681" t="s">
        <v>30</v>
      </c>
      <c r="F1681" t="s">
        <v>119</v>
      </c>
      <c r="G1681" t="s">
        <v>32</v>
      </c>
      <c r="H1681" t="s">
        <v>33</v>
      </c>
      <c r="I1681" s="1" t="s">
        <v>2884</v>
      </c>
      <c r="J1681" s="1" t="s">
        <v>426</v>
      </c>
    </row>
    <row r="1682" spans="1:11" ht="60" x14ac:dyDescent="0.25">
      <c r="A1682" t="s">
        <v>49</v>
      </c>
      <c r="B1682" t="s">
        <v>2876</v>
      </c>
      <c r="C1682" t="s">
        <v>28</v>
      </c>
      <c r="D1682" t="s">
        <v>1621</v>
      </c>
      <c r="E1682" t="s">
        <v>30</v>
      </c>
      <c r="F1682" t="s">
        <v>205</v>
      </c>
      <c r="G1682" t="s">
        <v>32</v>
      </c>
      <c r="H1682" t="s">
        <v>33</v>
      </c>
      <c r="I1682" s="1" t="s">
        <v>2885</v>
      </c>
      <c r="J1682" s="1" t="s">
        <v>864</v>
      </c>
      <c r="K1682" s="1" t="s">
        <v>2886</v>
      </c>
    </row>
    <row r="1683" spans="1:11" ht="105" x14ac:dyDescent="0.25">
      <c r="A1683" t="s">
        <v>2887</v>
      </c>
      <c r="B1683" t="s">
        <v>2328</v>
      </c>
      <c r="C1683" t="s">
        <v>44</v>
      </c>
      <c r="D1683" t="s">
        <v>146</v>
      </c>
      <c r="E1683" t="s">
        <v>79</v>
      </c>
      <c r="F1683" t="s">
        <v>108</v>
      </c>
      <c r="G1683" t="s">
        <v>32</v>
      </c>
      <c r="H1683" t="s">
        <v>33</v>
      </c>
      <c r="I1683" s="1" t="s">
        <v>2888</v>
      </c>
      <c r="J1683" s="1" t="s">
        <v>426</v>
      </c>
    </row>
    <row r="1684" spans="1:11" ht="45" x14ac:dyDescent="0.25">
      <c r="A1684" t="s">
        <v>1243</v>
      </c>
      <c r="B1684" t="s">
        <v>2777</v>
      </c>
      <c r="C1684" t="s">
        <v>2889</v>
      </c>
      <c r="D1684" t="s">
        <v>1250</v>
      </c>
      <c r="E1684" t="s">
        <v>30</v>
      </c>
      <c r="F1684" t="s">
        <v>633</v>
      </c>
      <c r="G1684" t="s">
        <v>69</v>
      </c>
      <c r="H1684" t="s">
        <v>173</v>
      </c>
      <c r="I1684" s="1" t="s">
        <v>2890</v>
      </c>
      <c r="J1684" s="1" t="s">
        <v>21</v>
      </c>
      <c r="K1684" s="1" t="s">
        <v>2891</v>
      </c>
    </row>
    <row r="1685" spans="1:11" ht="105" x14ac:dyDescent="0.25">
      <c r="A1685" t="s">
        <v>2892</v>
      </c>
      <c r="B1685" t="s">
        <v>2572</v>
      </c>
      <c r="C1685" t="s">
        <v>2893</v>
      </c>
      <c r="D1685" t="s">
        <v>2894</v>
      </c>
      <c r="E1685" t="s">
        <v>30</v>
      </c>
      <c r="F1685" t="s">
        <v>166</v>
      </c>
      <c r="G1685" t="s">
        <v>38</v>
      </c>
      <c r="I1685" s="1" t="s">
        <v>2895</v>
      </c>
      <c r="J1685" s="1" t="s">
        <v>2149</v>
      </c>
    </row>
    <row r="1686" spans="1:11" ht="105" x14ac:dyDescent="0.25">
      <c r="A1686" t="s">
        <v>2896</v>
      </c>
      <c r="B1686" t="s">
        <v>2328</v>
      </c>
      <c r="D1686" t="s">
        <v>2897</v>
      </c>
      <c r="E1686" t="s">
        <v>2898</v>
      </c>
      <c r="F1686">
        <v>73</v>
      </c>
      <c r="G1686" t="s">
        <v>38</v>
      </c>
      <c r="H1686" t="s">
        <v>173</v>
      </c>
      <c r="I1686" s="1" t="s">
        <v>2899</v>
      </c>
      <c r="J1686" s="1" t="s">
        <v>436</v>
      </c>
    </row>
    <row r="1687" spans="1:11" ht="60" x14ac:dyDescent="0.25">
      <c r="A1687" t="s">
        <v>2900</v>
      </c>
      <c r="B1687" t="s">
        <v>2658</v>
      </c>
      <c r="C1687" t="s">
        <v>2901</v>
      </c>
      <c r="D1687" t="s">
        <v>2902</v>
      </c>
      <c r="H1687" t="s">
        <v>173</v>
      </c>
      <c r="I1687" s="1" t="s">
        <v>2903</v>
      </c>
      <c r="J1687" s="1" t="s">
        <v>426</v>
      </c>
    </row>
    <row r="1688" spans="1:11" ht="75" x14ac:dyDescent="0.25">
      <c r="A1688" t="s">
        <v>2896</v>
      </c>
      <c r="B1688" t="s">
        <v>2904</v>
      </c>
      <c r="D1688" t="s">
        <v>2905</v>
      </c>
      <c r="E1688" t="s">
        <v>2906</v>
      </c>
      <c r="F1688">
        <v>56</v>
      </c>
      <c r="G1688" t="s">
        <v>32</v>
      </c>
      <c r="H1688" t="s">
        <v>33</v>
      </c>
      <c r="I1688" s="1" t="s">
        <v>2907</v>
      </c>
      <c r="J1688" s="1" t="s">
        <v>426</v>
      </c>
    </row>
    <row r="1689" spans="1:11" ht="90" x14ac:dyDescent="0.25">
      <c r="A1689" t="s">
        <v>2892</v>
      </c>
      <c r="B1689" t="s">
        <v>2908</v>
      </c>
      <c r="C1689" t="s">
        <v>2909</v>
      </c>
      <c r="D1689" t="s">
        <v>2894</v>
      </c>
      <c r="E1689" t="s">
        <v>30</v>
      </c>
      <c r="F1689" t="s">
        <v>119</v>
      </c>
      <c r="G1689" t="s">
        <v>81</v>
      </c>
      <c r="I1689" s="1" t="s">
        <v>2910</v>
      </c>
      <c r="J1689" s="1" t="s">
        <v>2911</v>
      </c>
      <c r="K1689" s="1" t="s">
        <v>2912</v>
      </c>
    </row>
    <row r="1690" spans="1:11" ht="105" x14ac:dyDescent="0.25">
      <c r="A1690" t="s">
        <v>1841</v>
      </c>
      <c r="B1690" t="s">
        <v>2913</v>
      </c>
      <c r="C1690" t="s">
        <v>2914</v>
      </c>
      <c r="D1690" t="s">
        <v>2915</v>
      </c>
      <c r="E1690" t="s">
        <v>30</v>
      </c>
      <c r="F1690" t="s">
        <v>94</v>
      </c>
      <c r="G1690" t="s">
        <v>81</v>
      </c>
      <c r="H1690" t="s">
        <v>87</v>
      </c>
      <c r="I1690" s="1" t="s">
        <v>2916</v>
      </c>
      <c r="J1690" s="1" t="s">
        <v>481</v>
      </c>
      <c r="K1690" s="1" t="s">
        <v>2917</v>
      </c>
    </row>
    <row r="1691" spans="1:11" ht="90" x14ac:dyDescent="0.25">
      <c r="A1691" t="s">
        <v>1243</v>
      </c>
      <c r="B1691" t="s">
        <v>2918</v>
      </c>
      <c r="C1691" t="s">
        <v>2919</v>
      </c>
      <c r="D1691" t="s">
        <v>2920</v>
      </c>
      <c r="E1691" t="s">
        <v>30</v>
      </c>
      <c r="F1691" t="s">
        <v>543</v>
      </c>
      <c r="G1691" t="s">
        <v>32</v>
      </c>
      <c r="H1691" t="s">
        <v>87</v>
      </c>
      <c r="I1691" s="1" t="s">
        <v>2921</v>
      </c>
      <c r="J1691" s="1" t="s">
        <v>481</v>
      </c>
    </row>
    <row r="1692" spans="1:11" ht="105" x14ac:dyDescent="0.25">
      <c r="A1692" t="s">
        <v>1243</v>
      </c>
      <c r="B1692" t="s">
        <v>2922</v>
      </c>
      <c r="C1692" t="s">
        <v>2923</v>
      </c>
      <c r="D1692" t="s">
        <v>1246</v>
      </c>
      <c r="E1692" t="s">
        <v>30</v>
      </c>
      <c r="F1692" t="s">
        <v>196</v>
      </c>
      <c r="G1692" t="s">
        <v>81</v>
      </c>
      <c r="H1692" t="s">
        <v>87</v>
      </c>
      <c r="I1692" s="1" t="s">
        <v>2924</v>
      </c>
      <c r="J1692" s="1" t="s">
        <v>17</v>
      </c>
      <c r="K1692" s="1" t="s">
        <v>2925</v>
      </c>
    </row>
    <row r="1693" spans="1:11" ht="45" x14ac:dyDescent="0.25">
      <c r="A1693" t="s">
        <v>2887</v>
      </c>
      <c r="B1693" t="s">
        <v>2926</v>
      </c>
      <c r="C1693" t="s">
        <v>44</v>
      </c>
      <c r="D1693" t="s">
        <v>146</v>
      </c>
      <c r="E1693" t="s">
        <v>30</v>
      </c>
      <c r="F1693" t="s">
        <v>189</v>
      </c>
      <c r="G1693" t="s">
        <v>32</v>
      </c>
      <c r="H1693" t="s">
        <v>33</v>
      </c>
      <c r="I1693" s="1" t="s">
        <v>2927</v>
      </c>
      <c r="J1693" s="1" t="s">
        <v>17</v>
      </c>
    </row>
    <row r="1694" spans="1:11" ht="60" x14ac:dyDescent="0.25">
      <c r="A1694" t="s">
        <v>26</v>
      </c>
      <c r="B1694" t="s">
        <v>2876</v>
      </c>
      <c r="C1694" t="s">
        <v>92</v>
      </c>
      <c r="D1694" t="s">
        <v>629</v>
      </c>
      <c r="E1694" t="s">
        <v>30</v>
      </c>
      <c r="F1694" t="s">
        <v>112</v>
      </c>
      <c r="G1694" t="s">
        <v>69</v>
      </c>
      <c r="H1694" t="s">
        <v>173</v>
      </c>
      <c r="I1694" s="1" t="s">
        <v>2877</v>
      </c>
      <c r="J1694" s="1" t="s">
        <v>21</v>
      </c>
      <c r="K1694" s="1" t="s">
        <v>2878</v>
      </c>
    </row>
    <row r="1695" spans="1:11" ht="60" x14ac:dyDescent="0.25">
      <c r="A1695" t="s">
        <v>49</v>
      </c>
      <c r="B1695" t="s">
        <v>2876</v>
      </c>
      <c r="C1695" t="s">
        <v>249</v>
      </c>
      <c r="D1695" t="s">
        <v>355</v>
      </c>
      <c r="E1695" t="s">
        <v>30</v>
      </c>
      <c r="F1695" t="s">
        <v>52</v>
      </c>
      <c r="G1695" t="s">
        <v>32</v>
      </c>
      <c r="H1695" t="s">
        <v>87</v>
      </c>
      <c r="I1695" s="1" t="s">
        <v>2879</v>
      </c>
      <c r="J1695" s="1" t="s">
        <v>15</v>
      </c>
      <c r="K1695" s="1" t="s">
        <v>2928</v>
      </c>
    </row>
    <row r="1696" spans="1:11" ht="30" x14ac:dyDescent="0.25">
      <c r="A1696" t="s">
        <v>26</v>
      </c>
      <c r="B1696" t="s">
        <v>2926</v>
      </c>
      <c r="C1696" t="s">
        <v>263</v>
      </c>
      <c r="D1696" t="s">
        <v>1128</v>
      </c>
      <c r="E1696" t="s">
        <v>30</v>
      </c>
      <c r="F1696" t="s">
        <v>102</v>
      </c>
      <c r="G1696" t="s">
        <v>32</v>
      </c>
      <c r="H1696" t="s">
        <v>33</v>
      </c>
      <c r="I1696" s="1" t="s">
        <v>2929</v>
      </c>
      <c r="J1696" s="1" t="s">
        <v>1867</v>
      </c>
      <c r="K1696" s="1" t="s">
        <v>2852</v>
      </c>
    </row>
    <row r="1697" spans="1:11" ht="105" x14ac:dyDescent="0.25">
      <c r="A1697" t="s">
        <v>26</v>
      </c>
      <c r="B1697" t="s">
        <v>2926</v>
      </c>
      <c r="C1697" t="s">
        <v>249</v>
      </c>
      <c r="D1697" t="s">
        <v>495</v>
      </c>
      <c r="E1697" t="s">
        <v>30</v>
      </c>
      <c r="F1697" t="s">
        <v>186</v>
      </c>
      <c r="G1697" t="s">
        <v>32</v>
      </c>
      <c r="H1697" t="s">
        <v>87</v>
      </c>
      <c r="I1697" s="1" t="s">
        <v>2930</v>
      </c>
      <c r="J1697" s="1" t="s">
        <v>21</v>
      </c>
      <c r="K1697" s="1" t="s">
        <v>2931</v>
      </c>
    </row>
    <row r="1698" spans="1:11" ht="105" x14ac:dyDescent="0.25">
      <c r="A1698" t="s">
        <v>26</v>
      </c>
      <c r="B1698" t="s">
        <v>2926</v>
      </c>
      <c r="C1698" t="s">
        <v>96</v>
      </c>
      <c r="D1698" t="s">
        <v>1672</v>
      </c>
      <c r="E1698" t="s">
        <v>30</v>
      </c>
      <c r="F1698" t="s">
        <v>94</v>
      </c>
      <c r="G1698" t="s">
        <v>69</v>
      </c>
      <c r="H1698" t="s">
        <v>87</v>
      </c>
      <c r="I1698" s="1" t="s">
        <v>2932</v>
      </c>
      <c r="J1698" s="1" t="s">
        <v>697</v>
      </c>
      <c r="K1698" s="1" t="s">
        <v>2933</v>
      </c>
    </row>
    <row r="1699" spans="1:11" ht="120" x14ac:dyDescent="0.25">
      <c r="A1699" t="s">
        <v>26</v>
      </c>
      <c r="B1699" t="s">
        <v>2926</v>
      </c>
      <c r="C1699" t="s">
        <v>249</v>
      </c>
      <c r="D1699" t="s">
        <v>657</v>
      </c>
      <c r="E1699" t="s">
        <v>30</v>
      </c>
      <c r="F1699" t="s">
        <v>161</v>
      </c>
      <c r="G1699" t="s">
        <v>32</v>
      </c>
      <c r="H1699" t="s">
        <v>33</v>
      </c>
      <c r="I1699" s="1" t="s">
        <v>2934</v>
      </c>
      <c r="J1699" s="1" t="s">
        <v>481</v>
      </c>
      <c r="K1699" s="1" t="s">
        <v>2489</v>
      </c>
    </row>
    <row r="1700" spans="1:11" ht="60" x14ac:dyDescent="0.25">
      <c r="A1700" t="s">
        <v>26</v>
      </c>
      <c r="B1700" t="s">
        <v>2926</v>
      </c>
      <c r="C1700" t="s">
        <v>28</v>
      </c>
      <c r="D1700" t="s">
        <v>2935</v>
      </c>
      <c r="E1700" t="s">
        <v>30</v>
      </c>
      <c r="F1700" t="s">
        <v>602</v>
      </c>
      <c r="G1700" t="s">
        <v>69</v>
      </c>
      <c r="H1700" t="s">
        <v>33</v>
      </c>
      <c r="I1700" s="1" t="s">
        <v>2936</v>
      </c>
      <c r="J1700" s="1" t="s">
        <v>481</v>
      </c>
      <c r="K1700" s="1" t="s">
        <v>2489</v>
      </c>
    </row>
    <row r="1701" spans="1:11" ht="60" x14ac:dyDescent="0.25">
      <c r="A1701" t="s">
        <v>26</v>
      </c>
      <c r="B1701" t="s">
        <v>2926</v>
      </c>
      <c r="C1701" t="s">
        <v>69</v>
      </c>
      <c r="D1701" t="s">
        <v>557</v>
      </c>
      <c r="E1701" t="s">
        <v>30</v>
      </c>
      <c r="F1701" t="s">
        <v>61</v>
      </c>
      <c r="G1701" t="s">
        <v>32</v>
      </c>
      <c r="H1701" t="s">
        <v>87</v>
      </c>
      <c r="I1701" s="1" t="s">
        <v>2937</v>
      </c>
      <c r="J1701" s="1" t="s">
        <v>697</v>
      </c>
      <c r="K1701" s="1" t="s">
        <v>2938</v>
      </c>
    </row>
    <row r="1702" spans="1:11" ht="30" x14ac:dyDescent="0.25">
      <c r="A1702" t="s">
        <v>49</v>
      </c>
      <c r="B1702" t="s">
        <v>2926</v>
      </c>
      <c r="C1702" t="s">
        <v>44</v>
      </c>
      <c r="D1702" t="s">
        <v>949</v>
      </c>
      <c r="E1702" t="s">
        <v>30</v>
      </c>
      <c r="F1702" t="s">
        <v>52</v>
      </c>
      <c r="G1702" t="s">
        <v>32</v>
      </c>
      <c r="H1702" t="s">
        <v>33</v>
      </c>
      <c r="I1702" s="1" t="s">
        <v>2939</v>
      </c>
      <c r="J1702" s="1" t="s">
        <v>426</v>
      </c>
    </row>
    <row r="1703" spans="1:11" ht="75" x14ac:dyDescent="0.25">
      <c r="A1703" t="s">
        <v>91</v>
      </c>
      <c r="B1703" t="s">
        <v>2926</v>
      </c>
      <c r="C1703" t="s">
        <v>55</v>
      </c>
      <c r="D1703" t="s">
        <v>1053</v>
      </c>
      <c r="E1703" t="s">
        <v>79</v>
      </c>
      <c r="F1703" t="s">
        <v>389</v>
      </c>
      <c r="G1703" t="s">
        <v>32</v>
      </c>
      <c r="H1703" t="s">
        <v>33</v>
      </c>
      <c r="I1703" s="1" t="s">
        <v>2940</v>
      </c>
      <c r="J1703" s="1" t="s">
        <v>426</v>
      </c>
    </row>
    <row r="1704" spans="1:11" ht="90" x14ac:dyDescent="0.25">
      <c r="A1704" t="s">
        <v>26</v>
      </c>
      <c r="B1704" t="s">
        <v>2908</v>
      </c>
      <c r="C1704" t="s">
        <v>92</v>
      </c>
      <c r="D1704" t="s">
        <v>316</v>
      </c>
      <c r="E1704" t="s">
        <v>79</v>
      </c>
      <c r="F1704" t="s">
        <v>223</v>
      </c>
      <c r="G1704" t="s">
        <v>32</v>
      </c>
      <c r="H1704" t="s">
        <v>87</v>
      </c>
      <c r="I1704" s="1" t="s">
        <v>2941</v>
      </c>
      <c r="J1704" s="1" t="s">
        <v>697</v>
      </c>
      <c r="K1704" s="1" t="s">
        <v>2942</v>
      </c>
    </row>
    <row r="1705" spans="1:11" ht="75" x14ac:dyDescent="0.25">
      <c r="A1705" t="s">
        <v>26</v>
      </c>
      <c r="B1705" t="s">
        <v>2908</v>
      </c>
      <c r="C1705" t="s">
        <v>73</v>
      </c>
      <c r="D1705" t="s">
        <v>1436</v>
      </c>
      <c r="E1705" t="s">
        <v>30</v>
      </c>
      <c r="F1705" t="s">
        <v>1142</v>
      </c>
      <c r="G1705" t="s">
        <v>32</v>
      </c>
      <c r="H1705" t="s">
        <v>173</v>
      </c>
      <c r="I1705" s="1" t="s">
        <v>2943</v>
      </c>
      <c r="J1705" s="1" t="s">
        <v>15</v>
      </c>
      <c r="K1705" s="1" t="s">
        <v>2944</v>
      </c>
    </row>
    <row r="1706" spans="1:11" ht="75" x14ac:dyDescent="0.25">
      <c r="A1706" t="s">
        <v>26</v>
      </c>
      <c r="B1706" t="s">
        <v>2908</v>
      </c>
      <c r="C1706" t="s">
        <v>249</v>
      </c>
      <c r="D1706" t="s">
        <v>827</v>
      </c>
      <c r="E1706" t="s">
        <v>30</v>
      </c>
      <c r="F1706" t="s">
        <v>365</v>
      </c>
      <c r="G1706" t="s">
        <v>81</v>
      </c>
      <c r="H1706" t="s">
        <v>87</v>
      </c>
      <c r="I1706" s="1" t="s">
        <v>2945</v>
      </c>
      <c r="J1706" s="1" t="s">
        <v>2149</v>
      </c>
    </row>
    <row r="1707" spans="1:11" ht="45" x14ac:dyDescent="0.25">
      <c r="A1707" t="s">
        <v>26</v>
      </c>
      <c r="B1707" t="s">
        <v>2908</v>
      </c>
      <c r="C1707" t="s">
        <v>73</v>
      </c>
      <c r="D1707" t="s">
        <v>157</v>
      </c>
      <c r="E1707" t="s">
        <v>30</v>
      </c>
      <c r="F1707" t="s">
        <v>177</v>
      </c>
      <c r="G1707" t="s">
        <v>32</v>
      </c>
      <c r="H1707" t="s">
        <v>33</v>
      </c>
      <c r="I1707" s="1" t="s">
        <v>2946</v>
      </c>
      <c r="J1707" s="1" t="s">
        <v>2947</v>
      </c>
    </row>
    <row r="1708" spans="1:11" ht="30" x14ac:dyDescent="0.25">
      <c r="A1708" t="s">
        <v>26</v>
      </c>
      <c r="B1708" t="s">
        <v>2908</v>
      </c>
      <c r="C1708" t="s">
        <v>96</v>
      </c>
      <c r="D1708" t="s">
        <v>176</v>
      </c>
      <c r="E1708" t="s">
        <v>30</v>
      </c>
      <c r="F1708" t="s">
        <v>119</v>
      </c>
      <c r="G1708" t="s">
        <v>32</v>
      </c>
      <c r="H1708" t="s">
        <v>87</v>
      </c>
      <c r="I1708" s="1" t="s">
        <v>2948</v>
      </c>
      <c r="J1708" s="1" t="s">
        <v>17</v>
      </c>
      <c r="K1708" s="1" t="s">
        <v>2949</v>
      </c>
    </row>
    <row r="1709" spans="1:11" ht="45" x14ac:dyDescent="0.25">
      <c r="A1709" t="s">
        <v>26</v>
      </c>
      <c r="B1709" t="s">
        <v>2908</v>
      </c>
      <c r="C1709" t="s">
        <v>38</v>
      </c>
      <c r="D1709" t="s">
        <v>927</v>
      </c>
      <c r="E1709" t="s">
        <v>30</v>
      </c>
      <c r="F1709" t="s">
        <v>31</v>
      </c>
      <c r="G1709" t="s">
        <v>32</v>
      </c>
      <c r="H1709" t="s">
        <v>87</v>
      </c>
      <c r="I1709" s="1" t="s">
        <v>2950</v>
      </c>
      <c r="J1709" s="1" t="s">
        <v>436</v>
      </c>
    </row>
    <row r="1710" spans="1:11" ht="90" x14ac:dyDescent="0.25">
      <c r="A1710" t="s">
        <v>26</v>
      </c>
      <c r="B1710" t="s">
        <v>2908</v>
      </c>
      <c r="C1710" t="s">
        <v>106</v>
      </c>
      <c r="D1710" t="s">
        <v>789</v>
      </c>
      <c r="E1710" t="s">
        <v>30</v>
      </c>
      <c r="F1710" t="s">
        <v>61</v>
      </c>
      <c r="G1710" t="s">
        <v>32</v>
      </c>
      <c r="H1710" t="s">
        <v>87</v>
      </c>
      <c r="I1710" s="1" t="s">
        <v>2951</v>
      </c>
      <c r="J1710" s="1" t="s">
        <v>481</v>
      </c>
    </row>
    <row r="1711" spans="1:11" ht="105" x14ac:dyDescent="0.25">
      <c r="A1711" t="s">
        <v>26</v>
      </c>
      <c r="B1711" t="s">
        <v>2908</v>
      </c>
      <c r="C1711" t="s">
        <v>240</v>
      </c>
      <c r="D1711" t="s">
        <v>2094</v>
      </c>
      <c r="E1711" t="s">
        <v>30</v>
      </c>
      <c r="F1711" t="s">
        <v>182</v>
      </c>
      <c r="G1711" t="s">
        <v>81</v>
      </c>
      <c r="H1711" t="s">
        <v>173</v>
      </c>
      <c r="I1711" s="1" t="s">
        <v>2952</v>
      </c>
      <c r="J1711" s="1" t="s">
        <v>104</v>
      </c>
      <c r="K1711" s="1" t="s">
        <v>2953</v>
      </c>
    </row>
    <row r="1712" spans="1:11" ht="45" x14ac:dyDescent="0.25">
      <c r="A1712" t="s">
        <v>26</v>
      </c>
      <c r="B1712" t="s">
        <v>2908</v>
      </c>
      <c r="C1712" t="s">
        <v>38</v>
      </c>
      <c r="D1712" t="s">
        <v>2954</v>
      </c>
      <c r="E1712" t="s">
        <v>30</v>
      </c>
      <c r="F1712" t="s">
        <v>446</v>
      </c>
      <c r="G1712" t="s">
        <v>32</v>
      </c>
      <c r="H1712" t="s">
        <v>33</v>
      </c>
      <c r="I1712" s="1" t="s">
        <v>2955</v>
      </c>
      <c r="J1712" s="1" t="s">
        <v>481</v>
      </c>
      <c r="K1712" s="1" t="s">
        <v>2852</v>
      </c>
    </row>
    <row r="1713" spans="1:11" ht="30" x14ac:dyDescent="0.25">
      <c r="A1713" t="s">
        <v>26</v>
      </c>
      <c r="B1713" t="s">
        <v>2908</v>
      </c>
      <c r="C1713" t="s">
        <v>44</v>
      </c>
      <c r="D1713" t="s">
        <v>215</v>
      </c>
      <c r="E1713" t="s">
        <v>30</v>
      </c>
      <c r="F1713" t="s">
        <v>112</v>
      </c>
      <c r="G1713" t="s">
        <v>32</v>
      </c>
      <c r="H1713" t="s">
        <v>87</v>
      </c>
      <c r="I1713" s="1" t="s">
        <v>2956</v>
      </c>
      <c r="J1713" s="1" t="s">
        <v>17</v>
      </c>
      <c r="K1713" s="1" t="s">
        <v>2957</v>
      </c>
    </row>
    <row r="1714" spans="1:11" ht="30" x14ac:dyDescent="0.25">
      <c r="A1714" t="s">
        <v>26</v>
      </c>
      <c r="B1714" t="s">
        <v>2908</v>
      </c>
      <c r="C1714" t="s">
        <v>38</v>
      </c>
      <c r="D1714" t="s">
        <v>489</v>
      </c>
      <c r="E1714" t="s">
        <v>30</v>
      </c>
      <c r="F1714" t="s">
        <v>154</v>
      </c>
      <c r="G1714" t="s">
        <v>32</v>
      </c>
      <c r="H1714" t="s">
        <v>33</v>
      </c>
      <c r="I1714" s="1" t="s">
        <v>2958</v>
      </c>
      <c r="J1714" s="1" t="s">
        <v>426</v>
      </c>
    </row>
    <row r="1715" spans="1:11" ht="105" x14ac:dyDescent="0.25">
      <c r="A1715" t="s">
        <v>26</v>
      </c>
      <c r="B1715" t="s">
        <v>2908</v>
      </c>
      <c r="C1715" t="s">
        <v>240</v>
      </c>
      <c r="D1715" t="s">
        <v>1309</v>
      </c>
      <c r="E1715" t="s">
        <v>30</v>
      </c>
      <c r="F1715" t="s">
        <v>61</v>
      </c>
      <c r="G1715" t="s">
        <v>69</v>
      </c>
      <c r="H1715" t="s">
        <v>87</v>
      </c>
      <c r="I1715" s="1" t="s">
        <v>2959</v>
      </c>
      <c r="J1715" s="1" t="s">
        <v>481</v>
      </c>
      <c r="K1715" s="1" t="s">
        <v>2960</v>
      </c>
    </row>
    <row r="1716" spans="1:11" ht="105" x14ac:dyDescent="0.25">
      <c r="A1716" t="s">
        <v>26</v>
      </c>
      <c r="B1716" t="s">
        <v>2908</v>
      </c>
      <c r="C1716" t="s">
        <v>235</v>
      </c>
      <c r="D1716" t="s">
        <v>2961</v>
      </c>
      <c r="E1716" t="s">
        <v>30</v>
      </c>
      <c r="F1716" t="s">
        <v>140</v>
      </c>
      <c r="G1716" t="s">
        <v>32</v>
      </c>
      <c r="H1716" t="s">
        <v>33</v>
      </c>
      <c r="I1716" s="1" t="s">
        <v>2962</v>
      </c>
      <c r="J1716" s="1" t="s">
        <v>1867</v>
      </c>
      <c r="K1716" s="1" t="s">
        <v>2963</v>
      </c>
    </row>
    <row r="1717" spans="1:11" ht="75" x14ac:dyDescent="0.25">
      <c r="A1717" t="s">
        <v>26</v>
      </c>
      <c r="B1717" t="s">
        <v>2908</v>
      </c>
      <c r="C1717" t="s">
        <v>28</v>
      </c>
      <c r="D1717" t="s">
        <v>2102</v>
      </c>
      <c r="E1717" t="s">
        <v>30</v>
      </c>
      <c r="F1717" t="s">
        <v>166</v>
      </c>
      <c r="G1717" t="s">
        <v>38</v>
      </c>
      <c r="H1717" t="s">
        <v>87</v>
      </c>
      <c r="I1717" s="1" t="s">
        <v>2964</v>
      </c>
      <c r="J1717" s="1" t="s">
        <v>436</v>
      </c>
    </row>
    <row r="1718" spans="1:11" ht="30" x14ac:dyDescent="0.25">
      <c r="A1718" t="s">
        <v>26</v>
      </c>
      <c r="B1718" t="s">
        <v>2908</v>
      </c>
      <c r="C1718" t="s">
        <v>38</v>
      </c>
      <c r="D1718" t="s">
        <v>718</v>
      </c>
      <c r="E1718" t="s">
        <v>30</v>
      </c>
      <c r="F1718" t="s">
        <v>2011</v>
      </c>
      <c r="G1718" t="s">
        <v>32</v>
      </c>
      <c r="H1718" t="s">
        <v>33</v>
      </c>
      <c r="I1718" s="1" t="s">
        <v>2965</v>
      </c>
      <c r="J1718" s="1" t="s">
        <v>426</v>
      </c>
    </row>
    <row r="1719" spans="1:11" ht="60" x14ac:dyDescent="0.25">
      <c r="A1719" t="s">
        <v>26</v>
      </c>
      <c r="B1719" t="s">
        <v>2908</v>
      </c>
      <c r="C1719" t="s">
        <v>106</v>
      </c>
      <c r="D1719" t="s">
        <v>2966</v>
      </c>
      <c r="E1719" t="s">
        <v>79</v>
      </c>
      <c r="F1719" t="s">
        <v>177</v>
      </c>
      <c r="G1719" t="s">
        <v>32</v>
      </c>
      <c r="H1719" t="s">
        <v>33</v>
      </c>
      <c r="I1719" s="1" t="s">
        <v>2967</v>
      </c>
      <c r="J1719" s="1" t="s">
        <v>481</v>
      </c>
      <c r="K1719" s="1" t="s">
        <v>2852</v>
      </c>
    </row>
    <row r="1720" spans="1:11" ht="90" x14ac:dyDescent="0.25">
      <c r="A1720" t="s">
        <v>26</v>
      </c>
      <c r="B1720" t="s">
        <v>2908</v>
      </c>
      <c r="C1720" t="s">
        <v>69</v>
      </c>
      <c r="D1720" t="s">
        <v>2968</v>
      </c>
      <c r="E1720" t="s">
        <v>30</v>
      </c>
      <c r="F1720" t="s">
        <v>94</v>
      </c>
      <c r="G1720" t="s">
        <v>32</v>
      </c>
      <c r="H1720" t="s">
        <v>33</v>
      </c>
      <c r="I1720" s="1" t="s">
        <v>2969</v>
      </c>
      <c r="J1720" s="1" t="s">
        <v>426</v>
      </c>
    </row>
    <row r="1721" spans="1:11" ht="45" x14ac:dyDescent="0.25">
      <c r="A1721" t="s">
        <v>26</v>
      </c>
      <c r="B1721" t="s">
        <v>2908</v>
      </c>
      <c r="C1721" t="s">
        <v>55</v>
      </c>
      <c r="D1721" t="s">
        <v>1462</v>
      </c>
      <c r="E1721" t="s">
        <v>30</v>
      </c>
      <c r="F1721" t="s">
        <v>365</v>
      </c>
      <c r="G1721" t="s">
        <v>32</v>
      </c>
      <c r="H1721" t="s">
        <v>33</v>
      </c>
      <c r="I1721" s="1" t="s">
        <v>2970</v>
      </c>
      <c r="J1721" s="1" t="s">
        <v>426</v>
      </c>
    </row>
    <row r="1722" spans="1:11" ht="105" x14ac:dyDescent="0.25">
      <c r="A1722" t="s">
        <v>26</v>
      </c>
      <c r="B1722" t="s">
        <v>2908</v>
      </c>
      <c r="C1722" t="s">
        <v>472</v>
      </c>
      <c r="D1722" t="s">
        <v>1301</v>
      </c>
      <c r="E1722" t="s">
        <v>30</v>
      </c>
      <c r="F1722" t="s">
        <v>161</v>
      </c>
      <c r="G1722" t="s">
        <v>32</v>
      </c>
      <c r="H1722" t="s">
        <v>87</v>
      </c>
      <c r="I1722" s="1" t="s">
        <v>2971</v>
      </c>
      <c r="J1722" s="1" t="s">
        <v>21</v>
      </c>
      <c r="K1722" s="1" t="s">
        <v>2972</v>
      </c>
    </row>
    <row r="1723" spans="1:11" ht="30" x14ac:dyDescent="0.25">
      <c r="A1723" t="s">
        <v>26</v>
      </c>
      <c r="B1723" t="s">
        <v>2908</v>
      </c>
      <c r="C1723" t="s">
        <v>235</v>
      </c>
      <c r="D1723" t="s">
        <v>327</v>
      </c>
      <c r="E1723" t="s">
        <v>30</v>
      </c>
      <c r="F1723" t="s">
        <v>681</v>
      </c>
      <c r="G1723" t="s">
        <v>69</v>
      </c>
      <c r="H1723" t="s">
        <v>173</v>
      </c>
      <c r="I1723" s="1" t="s">
        <v>2973</v>
      </c>
      <c r="J1723" s="1" t="s">
        <v>436</v>
      </c>
    </row>
    <row r="1724" spans="1:11" ht="45" x14ac:dyDescent="0.25">
      <c r="A1724" t="s">
        <v>26</v>
      </c>
      <c r="B1724" t="s">
        <v>2908</v>
      </c>
      <c r="C1724" t="s">
        <v>69</v>
      </c>
      <c r="D1724" t="s">
        <v>507</v>
      </c>
      <c r="E1724" t="s">
        <v>30</v>
      </c>
      <c r="F1724" t="s">
        <v>94</v>
      </c>
      <c r="G1724" t="s">
        <v>32</v>
      </c>
      <c r="H1724" t="s">
        <v>33</v>
      </c>
      <c r="I1724" s="1" t="s">
        <v>2974</v>
      </c>
      <c r="J1724" s="1" t="s">
        <v>481</v>
      </c>
      <c r="K1724" s="1" t="s">
        <v>2852</v>
      </c>
    </row>
    <row r="1725" spans="1:11" ht="105" x14ac:dyDescent="0.25">
      <c r="A1725" t="s">
        <v>49</v>
      </c>
      <c r="B1725" t="s">
        <v>2908</v>
      </c>
      <c r="C1725" t="s">
        <v>240</v>
      </c>
      <c r="D1725" t="s">
        <v>882</v>
      </c>
      <c r="E1725" t="s">
        <v>30</v>
      </c>
      <c r="F1725" t="s">
        <v>205</v>
      </c>
      <c r="G1725" t="s">
        <v>69</v>
      </c>
      <c r="H1725" t="s">
        <v>173</v>
      </c>
      <c r="I1725" s="1" t="s">
        <v>2975</v>
      </c>
      <c r="J1725" s="1" t="s">
        <v>426</v>
      </c>
    </row>
    <row r="1726" spans="1:11" ht="105" x14ac:dyDescent="0.25">
      <c r="A1726" t="s">
        <v>26</v>
      </c>
      <c r="B1726" t="s">
        <v>2908</v>
      </c>
      <c r="C1726" t="s">
        <v>235</v>
      </c>
      <c r="D1726" t="s">
        <v>270</v>
      </c>
      <c r="E1726" t="s">
        <v>30</v>
      </c>
      <c r="F1726" t="s">
        <v>161</v>
      </c>
      <c r="G1726" t="s">
        <v>69</v>
      </c>
      <c r="H1726" t="s">
        <v>87</v>
      </c>
      <c r="I1726" s="1" t="s">
        <v>2976</v>
      </c>
      <c r="J1726" s="1" t="s">
        <v>17</v>
      </c>
      <c r="K1726" s="1" t="s">
        <v>2977</v>
      </c>
    </row>
    <row r="1727" spans="1:11" ht="45" x14ac:dyDescent="0.25">
      <c r="A1727" t="s">
        <v>26</v>
      </c>
      <c r="B1727" t="s">
        <v>2908</v>
      </c>
      <c r="C1727" t="s">
        <v>235</v>
      </c>
      <c r="D1727" t="s">
        <v>427</v>
      </c>
      <c r="E1727" t="s">
        <v>30</v>
      </c>
      <c r="F1727" t="s">
        <v>52</v>
      </c>
      <c r="G1727" t="s">
        <v>81</v>
      </c>
      <c r="H1727" t="s">
        <v>87</v>
      </c>
      <c r="I1727" s="1" t="s">
        <v>2978</v>
      </c>
      <c r="J1727" s="1" t="s">
        <v>17</v>
      </c>
      <c r="K1727" s="1" t="s">
        <v>2979</v>
      </c>
    </row>
    <row r="1728" spans="1:11" ht="105" x14ac:dyDescent="0.25">
      <c r="A1728" t="s">
        <v>26</v>
      </c>
      <c r="B1728" t="s">
        <v>2908</v>
      </c>
      <c r="C1728" t="s">
        <v>85</v>
      </c>
      <c r="D1728" t="s">
        <v>1168</v>
      </c>
      <c r="E1728" t="s">
        <v>30</v>
      </c>
      <c r="F1728" t="s">
        <v>166</v>
      </c>
      <c r="G1728" t="s">
        <v>32</v>
      </c>
      <c r="H1728" t="s">
        <v>173</v>
      </c>
      <c r="I1728" s="1" t="s">
        <v>2980</v>
      </c>
      <c r="J1728" s="1" t="s">
        <v>436</v>
      </c>
    </row>
    <row r="1729" spans="1:11" ht="45" x14ac:dyDescent="0.25">
      <c r="A1729" t="s">
        <v>49</v>
      </c>
      <c r="B1729" t="s">
        <v>2908</v>
      </c>
      <c r="C1729" t="s">
        <v>69</v>
      </c>
      <c r="D1729" t="s">
        <v>1473</v>
      </c>
      <c r="E1729" t="s">
        <v>30</v>
      </c>
      <c r="F1729" t="s">
        <v>154</v>
      </c>
      <c r="G1729" t="s">
        <v>32</v>
      </c>
      <c r="H1729" t="s">
        <v>33</v>
      </c>
      <c r="I1729" s="1" t="s">
        <v>2981</v>
      </c>
      <c r="J1729" s="1" t="s">
        <v>426</v>
      </c>
    </row>
    <row r="1730" spans="1:11" ht="75" x14ac:dyDescent="0.25">
      <c r="A1730" t="s">
        <v>49</v>
      </c>
      <c r="B1730" t="s">
        <v>2908</v>
      </c>
      <c r="C1730" t="s">
        <v>249</v>
      </c>
      <c r="D1730" t="s">
        <v>880</v>
      </c>
      <c r="E1730" t="s">
        <v>30</v>
      </c>
      <c r="F1730" t="s">
        <v>98</v>
      </c>
      <c r="G1730" t="s">
        <v>69</v>
      </c>
      <c r="H1730" t="s">
        <v>33</v>
      </c>
      <c r="I1730" s="1" t="s">
        <v>2982</v>
      </c>
      <c r="J1730" s="1" t="s">
        <v>426</v>
      </c>
    </row>
    <row r="1731" spans="1:11" ht="90" x14ac:dyDescent="0.25">
      <c r="A1731" t="s">
        <v>26</v>
      </c>
      <c r="B1731" t="s">
        <v>2908</v>
      </c>
      <c r="C1731" t="s">
        <v>50</v>
      </c>
      <c r="D1731" t="s">
        <v>322</v>
      </c>
      <c r="E1731" t="s">
        <v>79</v>
      </c>
      <c r="F1731" t="s">
        <v>130</v>
      </c>
      <c r="G1731" t="s">
        <v>32</v>
      </c>
      <c r="H1731" t="s">
        <v>33</v>
      </c>
      <c r="I1731" s="1" t="s">
        <v>2983</v>
      </c>
      <c r="J1731" s="1" t="s">
        <v>426</v>
      </c>
    </row>
    <row r="1732" spans="1:11" ht="60" x14ac:dyDescent="0.25">
      <c r="A1732" t="s">
        <v>49</v>
      </c>
      <c r="B1732" t="s">
        <v>2908</v>
      </c>
      <c r="C1732" t="s">
        <v>44</v>
      </c>
      <c r="D1732" t="s">
        <v>165</v>
      </c>
      <c r="E1732" t="s">
        <v>30</v>
      </c>
      <c r="F1732" t="s">
        <v>94</v>
      </c>
      <c r="G1732" t="s">
        <v>32</v>
      </c>
      <c r="H1732" t="s">
        <v>173</v>
      </c>
      <c r="I1732" s="1" t="s">
        <v>2984</v>
      </c>
      <c r="J1732" s="1" t="s">
        <v>697</v>
      </c>
      <c r="K1732" s="1" t="s">
        <v>2985</v>
      </c>
    </row>
    <row r="1733" spans="1:11" ht="75" x14ac:dyDescent="0.25">
      <c r="A1733" t="s">
        <v>37</v>
      </c>
      <c r="B1733" t="s">
        <v>2908</v>
      </c>
      <c r="C1733" t="s">
        <v>96</v>
      </c>
      <c r="D1733" t="s">
        <v>1064</v>
      </c>
      <c r="E1733" t="s">
        <v>30</v>
      </c>
      <c r="F1733" t="s">
        <v>46</v>
      </c>
      <c r="G1733" t="s">
        <v>69</v>
      </c>
      <c r="H1733" t="s">
        <v>87</v>
      </c>
      <c r="I1733" s="1" t="s">
        <v>2986</v>
      </c>
      <c r="J1733" s="1" t="s">
        <v>481</v>
      </c>
    </row>
    <row r="1734" spans="1:11" ht="105" x14ac:dyDescent="0.25">
      <c r="A1734" t="s">
        <v>91</v>
      </c>
      <c r="B1734" t="s">
        <v>2908</v>
      </c>
      <c r="C1734" t="s">
        <v>240</v>
      </c>
      <c r="D1734" t="s">
        <v>882</v>
      </c>
      <c r="E1734" t="s">
        <v>79</v>
      </c>
      <c r="F1734" t="s">
        <v>102</v>
      </c>
      <c r="G1734" t="s">
        <v>32</v>
      </c>
      <c r="H1734" t="s">
        <v>33</v>
      </c>
      <c r="I1734" s="1" t="s">
        <v>2987</v>
      </c>
      <c r="J1734" s="1" t="s">
        <v>426</v>
      </c>
    </row>
    <row r="1735" spans="1:11" ht="75" x14ac:dyDescent="0.25">
      <c r="A1735" t="s">
        <v>26</v>
      </c>
      <c r="B1735" t="s">
        <v>2908</v>
      </c>
      <c r="C1735" t="s">
        <v>44</v>
      </c>
      <c r="D1735" t="s">
        <v>68</v>
      </c>
      <c r="E1735" t="s">
        <v>30</v>
      </c>
      <c r="F1735" t="s">
        <v>389</v>
      </c>
      <c r="G1735" t="s">
        <v>32</v>
      </c>
      <c r="H1735" t="s">
        <v>33</v>
      </c>
      <c r="I1735" s="1" t="s">
        <v>2988</v>
      </c>
      <c r="J1735" s="1" t="s">
        <v>426</v>
      </c>
    </row>
    <row r="1736" spans="1:11" ht="105" x14ac:dyDescent="0.25">
      <c r="A1736" t="s">
        <v>49</v>
      </c>
      <c r="B1736" t="s">
        <v>2908</v>
      </c>
      <c r="C1736" t="s">
        <v>85</v>
      </c>
      <c r="D1736" t="s">
        <v>2989</v>
      </c>
      <c r="E1736" t="s">
        <v>30</v>
      </c>
      <c r="F1736" t="s">
        <v>94</v>
      </c>
      <c r="G1736" t="s">
        <v>69</v>
      </c>
      <c r="H1736" t="s">
        <v>87</v>
      </c>
      <c r="I1736" s="1" t="s">
        <v>2990</v>
      </c>
      <c r="J1736" s="1" t="s">
        <v>426</v>
      </c>
    </row>
    <row r="1737" spans="1:11" ht="90" x14ac:dyDescent="0.25">
      <c r="A1737" t="s">
        <v>26</v>
      </c>
      <c r="B1737" t="s">
        <v>2908</v>
      </c>
      <c r="C1737" t="s">
        <v>85</v>
      </c>
      <c r="D1737" t="s">
        <v>899</v>
      </c>
      <c r="E1737" t="s">
        <v>30</v>
      </c>
      <c r="F1737" t="s">
        <v>166</v>
      </c>
      <c r="G1737" t="s">
        <v>32</v>
      </c>
      <c r="H1737" t="s">
        <v>33</v>
      </c>
      <c r="I1737" s="1" t="s">
        <v>2991</v>
      </c>
      <c r="J1737" s="1" t="s">
        <v>426</v>
      </c>
    </row>
    <row r="1738" spans="1:11" ht="90" x14ac:dyDescent="0.25">
      <c r="A1738" t="s">
        <v>49</v>
      </c>
      <c r="B1738" t="s">
        <v>2908</v>
      </c>
      <c r="C1738" t="s">
        <v>28</v>
      </c>
      <c r="D1738" t="s">
        <v>751</v>
      </c>
      <c r="E1738" t="s">
        <v>30</v>
      </c>
      <c r="F1738" t="s">
        <v>61</v>
      </c>
      <c r="G1738" t="s">
        <v>81</v>
      </c>
      <c r="H1738" t="s">
        <v>87</v>
      </c>
      <c r="I1738" s="1" t="s">
        <v>2992</v>
      </c>
      <c r="J1738" s="1" t="s">
        <v>2149</v>
      </c>
    </row>
    <row r="1739" spans="1:11" ht="75" x14ac:dyDescent="0.25">
      <c r="A1739" t="s">
        <v>26</v>
      </c>
      <c r="B1739" t="s">
        <v>2908</v>
      </c>
      <c r="C1739" t="s">
        <v>28</v>
      </c>
      <c r="D1739" t="s">
        <v>946</v>
      </c>
      <c r="E1739" t="s">
        <v>30</v>
      </c>
      <c r="F1739" t="s">
        <v>189</v>
      </c>
      <c r="G1739" t="s">
        <v>69</v>
      </c>
      <c r="H1739" t="s">
        <v>33</v>
      </c>
      <c r="I1739" s="1" t="s">
        <v>2993</v>
      </c>
      <c r="J1739" s="1" t="s">
        <v>426</v>
      </c>
    </row>
    <row r="1740" spans="1:11" ht="45" x14ac:dyDescent="0.25">
      <c r="A1740" t="s">
        <v>91</v>
      </c>
      <c r="B1740" t="s">
        <v>2908</v>
      </c>
      <c r="C1740" t="s">
        <v>240</v>
      </c>
      <c r="D1740" t="s">
        <v>1008</v>
      </c>
      <c r="E1740" t="s">
        <v>30</v>
      </c>
      <c r="F1740" t="s">
        <v>492</v>
      </c>
      <c r="G1740" t="s">
        <v>32</v>
      </c>
      <c r="H1740" t="s">
        <v>33</v>
      </c>
      <c r="I1740" s="1" t="s">
        <v>2994</v>
      </c>
      <c r="J1740" s="1" t="s">
        <v>481</v>
      </c>
      <c r="K1740" s="1" t="s">
        <v>2515</v>
      </c>
    </row>
    <row r="1741" spans="1:11" ht="30" x14ac:dyDescent="0.25">
      <c r="A1741" t="s">
        <v>49</v>
      </c>
      <c r="B1741" t="s">
        <v>2908</v>
      </c>
      <c r="C1741" t="s">
        <v>92</v>
      </c>
      <c r="D1741" t="s">
        <v>111</v>
      </c>
      <c r="E1741" t="s">
        <v>30</v>
      </c>
      <c r="F1741" t="s">
        <v>446</v>
      </c>
      <c r="G1741" t="s">
        <v>32</v>
      </c>
      <c r="H1741" t="s">
        <v>33</v>
      </c>
      <c r="I1741" s="1" t="s">
        <v>2995</v>
      </c>
      <c r="J1741" s="1" t="s">
        <v>1867</v>
      </c>
      <c r="K1741" s="1" t="s">
        <v>2515</v>
      </c>
    </row>
    <row r="1742" spans="1:11" ht="105" x14ac:dyDescent="0.25">
      <c r="A1742" t="s">
        <v>37</v>
      </c>
      <c r="B1742" t="s">
        <v>2908</v>
      </c>
      <c r="C1742" t="s">
        <v>28</v>
      </c>
      <c r="D1742" t="s">
        <v>946</v>
      </c>
      <c r="E1742" t="s">
        <v>30</v>
      </c>
      <c r="F1742" t="s">
        <v>140</v>
      </c>
      <c r="G1742" t="s">
        <v>69</v>
      </c>
      <c r="H1742" t="s">
        <v>87</v>
      </c>
      <c r="I1742" s="1" t="s">
        <v>2996</v>
      </c>
      <c r="J1742" s="1" t="s">
        <v>21</v>
      </c>
    </row>
    <row r="1743" spans="1:11" ht="60" x14ac:dyDescent="0.25">
      <c r="A1743" t="s">
        <v>49</v>
      </c>
      <c r="B1743" t="s">
        <v>2908</v>
      </c>
      <c r="C1743" t="s">
        <v>106</v>
      </c>
      <c r="D1743" t="s">
        <v>539</v>
      </c>
      <c r="E1743" t="s">
        <v>30</v>
      </c>
      <c r="F1743" t="s">
        <v>166</v>
      </c>
      <c r="G1743" t="s">
        <v>32</v>
      </c>
      <c r="H1743" t="s">
        <v>33</v>
      </c>
      <c r="I1743" s="1" t="s">
        <v>2997</v>
      </c>
      <c r="J1743" s="1" t="s">
        <v>481</v>
      </c>
      <c r="K1743" s="1" t="s">
        <v>2515</v>
      </c>
    </row>
    <row r="1744" spans="1:11" ht="45" x14ac:dyDescent="0.25">
      <c r="A1744" t="s">
        <v>64</v>
      </c>
      <c r="B1744" t="s">
        <v>2908</v>
      </c>
      <c r="C1744" t="s">
        <v>249</v>
      </c>
      <c r="D1744" t="s">
        <v>424</v>
      </c>
      <c r="E1744" t="s">
        <v>79</v>
      </c>
      <c r="F1744" t="s">
        <v>46</v>
      </c>
      <c r="G1744" t="s">
        <v>32</v>
      </c>
      <c r="H1744" t="s">
        <v>33</v>
      </c>
      <c r="I1744" s="1" t="s">
        <v>2998</v>
      </c>
      <c r="J1744" s="1" t="s">
        <v>17</v>
      </c>
      <c r="K1744" s="1" t="s">
        <v>2999</v>
      </c>
    </row>
    <row r="1745" spans="1:11" ht="105" x14ac:dyDescent="0.25">
      <c r="A1745" t="s">
        <v>37</v>
      </c>
      <c r="B1745" t="s">
        <v>2908</v>
      </c>
      <c r="C1745" t="s">
        <v>38</v>
      </c>
      <c r="D1745" t="s">
        <v>466</v>
      </c>
      <c r="E1745" t="s">
        <v>30</v>
      </c>
      <c r="F1745" t="s">
        <v>98</v>
      </c>
      <c r="G1745" t="s">
        <v>69</v>
      </c>
      <c r="H1745" t="s">
        <v>33</v>
      </c>
      <c r="I1745" s="1" t="s">
        <v>3000</v>
      </c>
      <c r="J1745" s="1" t="s">
        <v>426</v>
      </c>
    </row>
    <row r="1746" spans="1:11" ht="30" x14ac:dyDescent="0.25">
      <c r="A1746" t="s">
        <v>37</v>
      </c>
      <c r="B1746" t="s">
        <v>2908</v>
      </c>
      <c r="C1746" t="s">
        <v>235</v>
      </c>
      <c r="D1746" t="s">
        <v>537</v>
      </c>
      <c r="E1746" t="s">
        <v>30</v>
      </c>
      <c r="F1746" t="s">
        <v>189</v>
      </c>
      <c r="G1746" t="s">
        <v>32</v>
      </c>
      <c r="H1746" t="s">
        <v>33</v>
      </c>
      <c r="I1746" s="1" t="s">
        <v>3001</v>
      </c>
      <c r="J1746" s="1" t="s">
        <v>426</v>
      </c>
    </row>
    <row r="1747" spans="1:11" ht="60" x14ac:dyDescent="0.25">
      <c r="A1747" t="s">
        <v>26</v>
      </c>
      <c r="B1747" t="s">
        <v>2913</v>
      </c>
      <c r="C1747" t="s">
        <v>249</v>
      </c>
      <c r="D1747" t="s">
        <v>909</v>
      </c>
      <c r="E1747" t="s">
        <v>79</v>
      </c>
      <c r="F1747" t="s">
        <v>94</v>
      </c>
      <c r="G1747" t="s">
        <v>32</v>
      </c>
      <c r="H1747" t="s">
        <v>33</v>
      </c>
      <c r="I1747" s="1" t="s">
        <v>3002</v>
      </c>
      <c r="J1747" s="1" t="s">
        <v>481</v>
      </c>
      <c r="K1747" s="1" t="s">
        <v>2515</v>
      </c>
    </row>
    <row r="1748" spans="1:11" ht="60" x14ac:dyDescent="0.25">
      <c r="A1748" t="s">
        <v>26</v>
      </c>
      <c r="B1748" t="s">
        <v>2913</v>
      </c>
      <c r="C1748" t="s">
        <v>249</v>
      </c>
      <c r="D1748" t="s">
        <v>2663</v>
      </c>
      <c r="E1748" t="s">
        <v>30</v>
      </c>
      <c r="F1748" t="s">
        <v>46</v>
      </c>
      <c r="G1748" t="s">
        <v>32</v>
      </c>
      <c r="H1748" t="s">
        <v>33</v>
      </c>
      <c r="I1748" s="1" t="s">
        <v>3003</v>
      </c>
      <c r="J1748" s="1" t="s">
        <v>1917</v>
      </c>
      <c r="K1748" s="1" t="s">
        <v>3004</v>
      </c>
    </row>
    <row r="1749" spans="1:11" ht="45" x14ac:dyDescent="0.25">
      <c r="A1749" t="s">
        <v>26</v>
      </c>
      <c r="B1749" t="s">
        <v>2913</v>
      </c>
      <c r="C1749" t="s">
        <v>249</v>
      </c>
      <c r="D1749" t="s">
        <v>639</v>
      </c>
      <c r="E1749" t="s">
        <v>30</v>
      </c>
      <c r="F1749" t="s">
        <v>94</v>
      </c>
      <c r="G1749" t="s">
        <v>32</v>
      </c>
      <c r="H1749" t="s">
        <v>87</v>
      </c>
      <c r="I1749" s="1" t="s">
        <v>3005</v>
      </c>
      <c r="J1749" s="1" t="s">
        <v>697</v>
      </c>
      <c r="K1749" s="1" t="s">
        <v>3006</v>
      </c>
    </row>
    <row r="1750" spans="1:11" ht="105" x14ac:dyDescent="0.25">
      <c r="A1750" t="s">
        <v>26</v>
      </c>
      <c r="B1750" t="s">
        <v>2913</v>
      </c>
      <c r="C1750" t="s">
        <v>249</v>
      </c>
      <c r="D1750" t="s">
        <v>657</v>
      </c>
      <c r="E1750" t="s">
        <v>79</v>
      </c>
      <c r="F1750" t="s">
        <v>126</v>
      </c>
      <c r="G1750" t="s">
        <v>32</v>
      </c>
      <c r="H1750" t="s">
        <v>87</v>
      </c>
      <c r="I1750" s="1" t="s">
        <v>3007</v>
      </c>
      <c r="J1750" s="1" t="s">
        <v>701</v>
      </c>
      <c r="K1750" s="1" t="s">
        <v>3008</v>
      </c>
    </row>
    <row r="1751" spans="1:11" ht="105" x14ac:dyDescent="0.25">
      <c r="A1751" t="s">
        <v>26</v>
      </c>
      <c r="B1751" t="s">
        <v>2913</v>
      </c>
      <c r="C1751" t="s">
        <v>96</v>
      </c>
      <c r="D1751" t="s">
        <v>3009</v>
      </c>
      <c r="E1751" t="s">
        <v>30</v>
      </c>
      <c r="F1751" t="s">
        <v>46</v>
      </c>
      <c r="G1751" t="s">
        <v>81</v>
      </c>
      <c r="H1751" t="s">
        <v>87</v>
      </c>
      <c r="I1751" s="1" t="s">
        <v>3010</v>
      </c>
      <c r="J1751" s="1" t="s">
        <v>15</v>
      </c>
      <c r="K1751" s="1" t="s">
        <v>3011</v>
      </c>
    </row>
    <row r="1752" spans="1:11" x14ac:dyDescent="0.25">
      <c r="A1752" t="s">
        <v>26</v>
      </c>
      <c r="B1752" t="s">
        <v>2913</v>
      </c>
      <c r="C1752" t="s">
        <v>249</v>
      </c>
      <c r="D1752" t="s">
        <v>776</v>
      </c>
      <c r="E1752" t="s">
        <v>30</v>
      </c>
      <c r="F1752" t="s">
        <v>61</v>
      </c>
      <c r="G1752" t="s">
        <v>32</v>
      </c>
      <c r="H1752" t="s">
        <v>33</v>
      </c>
      <c r="I1752" s="1" t="s">
        <v>3012</v>
      </c>
      <c r="J1752" s="1" t="s">
        <v>426</v>
      </c>
    </row>
    <row r="1753" spans="1:11" x14ac:dyDescent="0.25">
      <c r="A1753" t="s">
        <v>26</v>
      </c>
      <c r="B1753" t="s">
        <v>2913</v>
      </c>
      <c r="C1753" t="s">
        <v>73</v>
      </c>
      <c r="D1753" t="s">
        <v>1123</v>
      </c>
      <c r="E1753" t="s">
        <v>79</v>
      </c>
      <c r="F1753" t="s">
        <v>136</v>
      </c>
      <c r="G1753" t="s">
        <v>32</v>
      </c>
      <c r="H1753" t="s">
        <v>33</v>
      </c>
      <c r="I1753" s="1" t="s">
        <v>3013</v>
      </c>
      <c r="J1753" s="1" t="s">
        <v>17</v>
      </c>
      <c r="K1753" s="1" t="s">
        <v>2464</v>
      </c>
    </row>
    <row r="1754" spans="1:11" ht="105" x14ac:dyDescent="0.25">
      <c r="A1754" t="s">
        <v>26</v>
      </c>
      <c r="B1754" t="s">
        <v>2913</v>
      </c>
      <c r="C1754" t="s">
        <v>249</v>
      </c>
      <c r="D1754" t="s">
        <v>776</v>
      </c>
      <c r="E1754" t="s">
        <v>30</v>
      </c>
      <c r="F1754" t="s">
        <v>126</v>
      </c>
      <c r="G1754" t="s">
        <v>81</v>
      </c>
      <c r="H1754" t="s">
        <v>87</v>
      </c>
      <c r="I1754" s="1" t="s">
        <v>3014</v>
      </c>
      <c r="J1754" s="1" t="s">
        <v>104</v>
      </c>
      <c r="K1754" s="1" t="s">
        <v>3015</v>
      </c>
    </row>
    <row r="1755" spans="1:11" ht="30" x14ac:dyDescent="0.25">
      <c r="A1755" t="s">
        <v>26</v>
      </c>
      <c r="B1755" t="s">
        <v>2913</v>
      </c>
      <c r="C1755" t="s">
        <v>96</v>
      </c>
      <c r="D1755" t="s">
        <v>1672</v>
      </c>
      <c r="E1755" t="s">
        <v>30</v>
      </c>
      <c r="F1755" t="s">
        <v>182</v>
      </c>
      <c r="G1755" t="s">
        <v>69</v>
      </c>
      <c r="H1755" t="s">
        <v>87</v>
      </c>
      <c r="I1755" s="1" t="s">
        <v>3016</v>
      </c>
      <c r="J1755" s="1" t="s">
        <v>15</v>
      </c>
      <c r="K1755" s="1" t="s">
        <v>3017</v>
      </c>
    </row>
    <row r="1756" spans="1:11" ht="105" x14ac:dyDescent="0.25">
      <c r="A1756" t="s">
        <v>26</v>
      </c>
      <c r="B1756" t="s">
        <v>2913</v>
      </c>
      <c r="C1756" t="s">
        <v>92</v>
      </c>
      <c r="D1756" t="s">
        <v>477</v>
      </c>
      <c r="E1756" t="s">
        <v>30</v>
      </c>
      <c r="F1756" t="s">
        <v>627</v>
      </c>
      <c r="G1756" t="s">
        <v>32</v>
      </c>
      <c r="H1756" t="s">
        <v>173</v>
      </c>
      <c r="I1756" s="1" t="s">
        <v>3018</v>
      </c>
      <c r="J1756" s="1" t="s">
        <v>15</v>
      </c>
      <c r="K1756" s="1" t="s">
        <v>3019</v>
      </c>
    </row>
    <row r="1757" spans="1:11" ht="75" x14ac:dyDescent="0.25">
      <c r="A1757" t="s">
        <v>26</v>
      </c>
      <c r="B1757" t="s">
        <v>2913</v>
      </c>
      <c r="C1757" t="s">
        <v>73</v>
      </c>
      <c r="D1757" t="s">
        <v>253</v>
      </c>
      <c r="E1757" t="s">
        <v>30</v>
      </c>
      <c r="F1757" t="s">
        <v>189</v>
      </c>
      <c r="G1757" t="s">
        <v>32</v>
      </c>
      <c r="H1757" t="s">
        <v>33</v>
      </c>
      <c r="I1757" s="1" t="s">
        <v>3020</v>
      </c>
      <c r="J1757" s="1" t="s">
        <v>21</v>
      </c>
      <c r="K1757" s="1" t="s">
        <v>3021</v>
      </c>
    </row>
    <row r="1758" spans="1:11" ht="90" x14ac:dyDescent="0.25">
      <c r="A1758" t="s">
        <v>26</v>
      </c>
      <c r="B1758" t="s">
        <v>2913</v>
      </c>
      <c r="C1758" t="s">
        <v>73</v>
      </c>
      <c r="D1758" t="s">
        <v>253</v>
      </c>
      <c r="E1758" t="s">
        <v>30</v>
      </c>
      <c r="F1758" t="s">
        <v>102</v>
      </c>
      <c r="G1758" t="s">
        <v>32</v>
      </c>
      <c r="H1758" t="s">
        <v>33</v>
      </c>
      <c r="I1758" s="1" t="s">
        <v>3022</v>
      </c>
      <c r="J1758" s="1" t="s">
        <v>426</v>
      </c>
    </row>
    <row r="1759" spans="1:11" ht="105" x14ac:dyDescent="0.25">
      <c r="A1759" t="s">
        <v>26</v>
      </c>
      <c r="B1759" t="s">
        <v>2913</v>
      </c>
      <c r="C1759" t="s">
        <v>235</v>
      </c>
      <c r="D1759" t="s">
        <v>1026</v>
      </c>
      <c r="E1759" t="s">
        <v>30</v>
      </c>
      <c r="F1759" t="s">
        <v>130</v>
      </c>
      <c r="G1759" t="s">
        <v>32</v>
      </c>
      <c r="H1759" t="s">
        <v>33</v>
      </c>
      <c r="I1759" s="1" t="s">
        <v>3023</v>
      </c>
      <c r="J1759" s="1" t="s">
        <v>426</v>
      </c>
    </row>
    <row r="1760" spans="1:11" ht="60" x14ac:dyDescent="0.25">
      <c r="A1760" t="s">
        <v>26</v>
      </c>
      <c r="B1760" t="s">
        <v>2913</v>
      </c>
      <c r="C1760" t="s">
        <v>96</v>
      </c>
      <c r="D1760" t="s">
        <v>195</v>
      </c>
      <c r="E1760" t="s">
        <v>30</v>
      </c>
      <c r="F1760" t="s">
        <v>140</v>
      </c>
      <c r="G1760" t="s">
        <v>32</v>
      </c>
      <c r="H1760" t="s">
        <v>87</v>
      </c>
      <c r="I1760" s="1" t="s">
        <v>3024</v>
      </c>
      <c r="J1760" s="1" t="s">
        <v>2190</v>
      </c>
      <c r="K1760" s="1" t="s">
        <v>3025</v>
      </c>
    </row>
    <row r="1761" spans="1:11" ht="90" x14ac:dyDescent="0.25">
      <c r="A1761" t="s">
        <v>26</v>
      </c>
      <c r="B1761" t="s">
        <v>2913</v>
      </c>
      <c r="C1761" t="s">
        <v>50</v>
      </c>
      <c r="D1761" t="s">
        <v>1567</v>
      </c>
      <c r="E1761" t="s">
        <v>79</v>
      </c>
      <c r="F1761" t="s">
        <v>246</v>
      </c>
      <c r="G1761" t="s">
        <v>32</v>
      </c>
      <c r="H1761" t="s">
        <v>33</v>
      </c>
      <c r="I1761" s="1" t="s">
        <v>3026</v>
      </c>
      <c r="J1761" s="1" t="s">
        <v>426</v>
      </c>
    </row>
    <row r="1762" spans="1:11" ht="30" x14ac:dyDescent="0.25">
      <c r="A1762" t="s">
        <v>26</v>
      </c>
      <c r="B1762" t="s">
        <v>2913</v>
      </c>
      <c r="C1762" t="s">
        <v>106</v>
      </c>
      <c r="D1762" t="s">
        <v>150</v>
      </c>
      <c r="E1762" t="s">
        <v>30</v>
      </c>
      <c r="F1762" t="s">
        <v>205</v>
      </c>
      <c r="G1762" t="s">
        <v>32</v>
      </c>
      <c r="H1762" t="s">
        <v>33</v>
      </c>
      <c r="I1762" s="1" t="s">
        <v>3027</v>
      </c>
      <c r="J1762" s="1" t="s">
        <v>481</v>
      </c>
      <c r="K1762" s="1" t="s">
        <v>2515</v>
      </c>
    </row>
    <row r="1763" spans="1:11" ht="90" x14ac:dyDescent="0.25">
      <c r="A1763" t="s">
        <v>26</v>
      </c>
      <c r="B1763" t="s">
        <v>2913</v>
      </c>
      <c r="C1763" t="s">
        <v>50</v>
      </c>
      <c r="D1763" t="s">
        <v>801</v>
      </c>
      <c r="E1763" t="s">
        <v>30</v>
      </c>
      <c r="F1763" t="s">
        <v>61</v>
      </c>
      <c r="G1763" t="s">
        <v>69</v>
      </c>
      <c r="H1763" t="s">
        <v>87</v>
      </c>
      <c r="I1763" s="1" t="s">
        <v>3028</v>
      </c>
      <c r="J1763" s="1" t="s">
        <v>15</v>
      </c>
      <c r="K1763" s="1" t="s">
        <v>3029</v>
      </c>
    </row>
    <row r="1764" spans="1:11" ht="45" x14ac:dyDescent="0.25">
      <c r="A1764" t="s">
        <v>26</v>
      </c>
      <c r="B1764" t="s">
        <v>2913</v>
      </c>
      <c r="C1764" t="s">
        <v>235</v>
      </c>
      <c r="D1764" t="s">
        <v>403</v>
      </c>
      <c r="E1764" t="s">
        <v>30</v>
      </c>
      <c r="F1764" t="s">
        <v>154</v>
      </c>
      <c r="G1764" t="s">
        <v>32</v>
      </c>
      <c r="H1764" t="s">
        <v>33</v>
      </c>
      <c r="I1764" s="1" t="s">
        <v>3030</v>
      </c>
      <c r="J1764" s="1" t="s">
        <v>426</v>
      </c>
    </row>
    <row r="1765" spans="1:11" ht="30" x14ac:dyDescent="0.25">
      <c r="A1765" t="s">
        <v>26</v>
      </c>
      <c r="B1765" t="s">
        <v>2913</v>
      </c>
      <c r="C1765" t="s">
        <v>44</v>
      </c>
      <c r="D1765" t="s">
        <v>616</v>
      </c>
      <c r="E1765" t="s">
        <v>30</v>
      </c>
      <c r="F1765" t="s">
        <v>61</v>
      </c>
      <c r="G1765" t="s">
        <v>32</v>
      </c>
      <c r="H1765" t="s">
        <v>173</v>
      </c>
      <c r="I1765" s="1" t="s">
        <v>3031</v>
      </c>
      <c r="J1765" s="1" t="s">
        <v>1917</v>
      </c>
      <c r="K1765" s="1" t="s">
        <v>3032</v>
      </c>
    </row>
    <row r="1766" spans="1:11" ht="105" x14ac:dyDescent="0.25">
      <c r="A1766" t="s">
        <v>26</v>
      </c>
      <c r="B1766" t="s">
        <v>2913</v>
      </c>
      <c r="C1766" t="s">
        <v>50</v>
      </c>
      <c r="D1766" t="s">
        <v>810</v>
      </c>
      <c r="E1766" t="s">
        <v>30</v>
      </c>
      <c r="F1766" t="s">
        <v>446</v>
      </c>
      <c r="G1766" t="s">
        <v>32</v>
      </c>
      <c r="H1766" t="s">
        <v>33</v>
      </c>
      <c r="I1766" s="1" t="s">
        <v>3033</v>
      </c>
      <c r="J1766" s="1" t="s">
        <v>426</v>
      </c>
    </row>
    <row r="1767" spans="1:11" ht="45" x14ac:dyDescent="0.25">
      <c r="A1767" t="s">
        <v>26</v>
      </c>
      <c r="B1767" t="s">
        <v>2913</v>
      </c>
      <c r="C1767" t="s">
        <v>50</v>
      </c>
      <c r="D1767" t="s">
        <v>3034</v>
      </c>
      <c r="E1767" t="s">
        <v>30</v>
      </c>
      <c r="F1767" t="s">
        <v>543</v>
      </c>
      <c r="G1767" t="s">
        <v>69</v>
      </c>
      <c r="H1767" t="s">
        <v>87</v>
      </c>
      <c r="I1767" s="1" t="s">
        <v>3035</v>
      </c>
      <c r="J1767" s="1" t="s">
        <v>436</v>
      </c>
    </row>
    <row r="1768" spans="1:11" ht="105" x14ac:dyDescent="0.25">
      <c r="A1768" t="s">
        <v>26</v>
      </c>
      <c r="B1768" t="s">
        <v>2913</v>
      </c>
      <c r="C1768" t="s">
        <v>180</v>
      </c>
      <c r="D1768" t="s">
        <v>1105</v>
      </c>
      <c r="E1768" t="s">
        <v>30</v>
      </c>
      <c r="F1768" t="s">
        <v>98</v>
      </c>
      <c r="G1768" t="s">
        <v>32</v>
      </c>
      <c r="H1768" t="s">
        <v>173</v>
      </c>
      <c r="I1768" s="1" t="s">
        <v>3036</v>
      </c>
      <c r="J1768" s="1" t="s">
        <v>21</v>
      </c>
      <c r="K1768" s="1" t="s">
        <v>3037</v>
      </c>
    </row>
    <row r="1769" spans="1:11" ht="75" x14ac:dyDescent="0.25">
      <c r="A1769" t="s">
        <v>26</v>
      </c>
      <c r="B1769" t="s">
        <v>2913</v>
      </c>
      <c r="C1769" t="s">
        <v>28</v>
      </c>
      <c r="D1769" t="s">
        <v>470</v>
      </c>
      <c r="E1769" t="s">
        <v>30</v>
      </c>
      <c r="F1769" t="s">
        <v>290</v>
      </c>
      <c r="G1769" t="s">
        <v>69</v>
      </c>
      <c r="H1769" t="s">
        <v>87</v>
      </c>
      <c r="I1769" s="1" t="s">
        <v>3038</v>
      </c>
      <c r="J1769" s="1" t="s">
        <v>697</v>
      </c>
      <c r="K1769" s="1" t="s">
        <v>3039</v>
      </c>
    </row>
    <row r="1770" spans="1:11" ht="45" x14ac:dyDescent="0.25">
      <c r="A1770" t="s">
        <v>26</v>
      </c>
      <c r="B1770" t="s">
        <v>2913</v>
      </c>
      <c r="C1770" t="s">
        <v>50</v>
      </c>
      <c r="D1770" t="s">
        <v>1150</v>
      </c>
      <c r="E1770" t="s">
        <v>30</v>
      </c>
      <c r="F1770" t="s">
        <v>119</v>
      </c>
      <c r="G1770" t="s">
        <v>263</v>
      </c>
      <c r="H1770" t="s">
        <v>173</v>
      </c>
      <c r="I1770" s="1" t="s">
        <v>3040</v>
      </c>
      <c r="J1770" s="1" t="s">
        <v>481</v>
      </c>
      <c r="K1770" s="1" t="s">
        <v>3041</v>
      </c>
    </row>
    <row r="1771" spans="1:11" ht="90" x14ac:dyDescent="0.25">
      <c r="A1771" t="s">
        <v>49</v>
      </c>
      <c r="B1771" t="s">
        <v>2913</v>
      </c>
      <c r="C1771" t="s">
        <v>240</v>
      </c>
      <c r="D1771" t="s">
        <v>1595</v>
      </c>
      <c r="E1771" t="s">
        <v>30</v>
      </c>
      <c r="F1771" t="s">
        <v>602</v>
      </c>
      <c r="G1771" t="s">
        <v>32</v>
      </c>
      <c r="H1771" t="s">
        <v>33</v>
      </c>
      <c r="I1771" s="1" t="s">
        <v>3042</v>
      </c>
      <c r="J1771" s="1" t="s">
        <v>426</v>
      </c>
    </row>
    <row r="1772" spans="1:11" ht="45" x14ac:dyDescent="0.25">
      <c r="A1772" t="s">
        <v>49</v>
      </c>
      <c r="B1772" t="s">
        <v>2913</v>
      </c>
      <c r="C1772" t="s">
        <v>240</v>
      </c>
      <c r="D1772" t="s">
        <v>703</v>
      </c>
      <c r="E1772" t="s">
        <v>30</v>
      </c>
      <c r="F1772" t="s">
        <v>102</v>
      </c>
      <c r="G1772" t="s">
        <v>32</v>
      </c>
      <c r="H1772" t="s">
        <v>33</v>
      </c>
      <c r="I1772" s="1" t="s">
        <v>3043</v>
      </c>
      <c r="J1772" s="1" t="s">
        <v>426</v>
      </c>
    </row>
    <row r="1773" spans="1:11" ht="45" x14ac:dyDescent="0.25">
      <c r="A1773" t="s">
        <v>49</v>
      </c>
      <c r="B1773" t="s">
        <v>2913</v>
      </c>
      <c r="C1773" t="s">
        <v>249</v>
      </c>
      <c r="D1773" t="s">
        <v>355</v>
      </c>
      <c r="E1773" t="s">
        <v>30</v>
      </c>
      <c r="F1773" t="s">
        <v>287</v>
      </c>
      <c r="G1773" t="s">
        <v>32</v>
      </c>
      <c r="H1773" t="s">
        <v>33</v>
      </c>
      <c r="I1773" s="1" t="s">
        <v>3044</v>
      </c>
      <c r="J1773" s="1" t="s">
        <v>104</v>
      </c>
      <c r="K1773" s="1" t="s">
        <v>3045</v>
      </c>
    </row>
    <row r="1774" spans="1:11" ht="75" x14ac:dyDescent="0.25">
      <c r="A1774" t="s">
        <v>26</v>
      </c>
      <c r="B1774" t="s">
        <v>2913</v>
      </c>
      <c r="C1774" t="s">
        <v>180</v>
      </c>
      <c r="D1774" t="s">
        <v>1105</v>
      </c>
      <c r="E1774" t="s">
        <v>30</v>
      </c>
      <c r="F1774" t="s">
        <v>119</v>
      </c>
      <c r="G1774" t="s">
        <v>32</v>
      </c>
      <c r="H1774" t="s">
        <v>33</v>
      </c>
      <c r="I1774" s="1" t="s">
        <v>3046</v>
      </c>
      <c r="J1774" s="1" t="s">
        <v>426</v>
      </c>
    </row>
    <row r="1775" spans="1:11" ht="45" x14ac:dyDescent="0.25">
      <c r="A1775" t="s">
        <v>37</v>
      </c>
      <c r="B1775" t="s">
        <v>2913</v>
      </c>
      <c r="C1775" t="s">
        <v>106</v>
      </c>
      <c r="D1775" t="s">
        <v>605</v>
      </c>
      <c r="E1775" t="s">
        <v>30</v>
      </c>
      <c r="F1775" t="s">
        <v>112</v>
      </c>
      <c r="G1775" t="s">
        <v>69</v>
      </c>
      <c r="H1775" t="s">
        <v>33</v>
      </c>
      <c r="I1775" s="1" t="s">
        <v>3047</v>
      </c>
      <c r="J1775" s="1" t="s">
        <v>426</v>
      </c>
    </row>
    <row r="1776" spans="1:11" ht="75" x14ac:dyDescent="0.25">
      <c r="A1776" t="s">
        <v>49</v>
      </c>
      <c r="B1776" t="s">
        <v>2913</v>
      </c>
      <c r="C1776" t="s">
        <v>240</v>
      </c>
      <c r="D1776" t="s">
        <v>703</v>
      </c>
      <c r="E1776" t="s">
        <v>30</v>
      </c>
      <c r="F1776" t="s">
        <v>154</v>
      </c>
      <c r="G1776" t="s">
        <v>32</v>
      </c>
      <c r="H1776" t="s">
        <v>33</v>
      </c>
      <c r="I1776" s="1" t="s">
        <v>3048</v>
      </c>
      <c r="J1776" s="1" t="s">
        <v>104</v>
      </c>
      <c r="K1776" s="1" t="s">
        <v>3045</v>
      </c>
    </row>
    <row r="1777" spans="1:11" ht="45" x14ac:dyDescent="0.25">
      <c r="A1777" t="s">
        <v>49</v>
      </c>
      <c r="B1777" t="s">
        <v>2913</v>
      </c>
      <c r="C1777" t="s">
        <v>106</v>
      </c>
      <c r="D1777" t="s">
        <v>192</v>
      </c>
      <c r="E1777" t="s">
        <v>30</v>
      </c>
      <c r="F1777" t="s">
        <v>52</v>
      </c>
      <c r="G1777" t="s">
        <v>69</v>
      </c>
      <c r="H1777" t="s">
        <v>87</v>
      </c>
      <c r="I1777" s="1" t="s">
        <v>3049</v>
      </c>
      <c r="J1777" s="1" t="s">
        <v>697</v>
      </c>
      <c r="K1777" s="1" t="s">
        <v>3050</v>
      </c>
    </row>
    <row r="1778" spans="1:11" ht="30" x14ac:dyDescent="0.25">
      <c r="A1778" t="s">
        <v>26</v>
      </c>
      <c r="B1778" t="s">
        <v>2913</v>
      </c>
      <c r="C1778" t="s">
        <v>44</v>
      </c>
      <c r="D1778" t="s">
        <v>655</v>
      </c>
      <c r="E1778" t="s">
        <v>79</v>
      </c>
      <c r="F1778" t="s">
        <v>166</v>
      </c>
      <c r="G1778" t="s">
        <v>81</v>
      </c>
      <c r="H1778" t="s">
        <v>173</v>
      </c>
      <c r="I1778" s="1" t="s">
        <v>3051</v>
      </c>
      <c r="J1778" s="1" t="s">
        <v>21</v>
      </c>
      <c r="K1778" s="1" t="s">
        <v>3052</v>
      </c>
    </row>
    <row r="1779" spans="1:11" ht="105" x14ac:dyDescent="0.25">
      <c r="A1779" t="s">
        <v>37</v>
      </c>
      <c r="B1779" t="s">
        <v>2913</v>
      </c>
      <c r="C1779" t="s">
        <v>472</v>
      </c>
      <c r="D1779" t="s">
        <v>690</v>
      </c>
      <c r="E1779" t="s">
        <v>30</v>
      </c>
      <c r="F1779" t="s">
        <v>786</v>
      </c>
      <c r="G1779" t="s">
        <v>69</v>
      </c>
      <c r="H1779" t="s">
        <v>87</v>
      </c>
      <c r="I1779" s="1" t="s">
        <v>3053</v>
      </c>
      <c r="J1779" s="1" t="s">
        <v>21</v>
      </c>
      <c r="K1779" s="1" t="s">
        <v>3054</v>
      </c>
    </row>
    <row r="1780" spans="1:11" ht="30" x14ac:dyDescent="0.25">
      <c r="A1780" t="s">
        <v>49</v>
      </c>
      <c r="B1780" t="s">
        <v>2913</v>
      </c>
      <c r="C1780" t="s">
        <v>50</v>
      </c>
      <c r="D1780" t="s">
        <v>3055</v>
      </c>
      <c r="E1780" t="s">
        <v>30</v>
      </c>
      <c r="F1780" t="s">
        <v>61</v>
      </c>
      <c r="G1780" t="s">
        <v>32</v>
      </c>
      <c r="H1780" t="s">
        <v>33</v>
      </c>
      <c r="I1780" s="1" t="s">
        <v>3056</v>
      </c>
      <c r="J1780" s="1" t="s">
        <v>481</v>
      </c>
      <c r="K1780" s="1" t="s">
        <v>2515</v>
      </c>
    </row>
    <row r="1781" spans="1:11" ht="30" x14ac:dyDescent="0.25">
      <c r="A1781" t="s">
        <v>49</v>
      </c>
      <c r="B1781" t="s">
        <v>2913</v>
      </c>
      <c r="C1781" t="s">
        <v>96</v>
      </c>
      <c r="D1781" t="s">
        <v>3057</v>
      </c>
      <c r="E1781" t="s">
        <v>30</v>
      </c>
      <c r="F1781" t="s">
        <v>154</v>
      </c>
      <c r="G1781" t="s">
        <v>81</v>
      </c>
      <c r="H1781" t="s">
        <v>173</v>
      </c>
      <c r="I1781" s="1" t="s">
        <v>3058</v>
      </c>
      <c r="J1781" s="1" t="s">
        <v>21</v>
      </c>
      <c r="K1781" s="1" t="s">
        <v>3032</v>
      </c>
    </row>
    <row r="1782" spans="1:11" ht="60" x14ac:dyDescent="0.25">
      <c r="A1782" t="s">
        <v>49</v>
      </c>
      <c r="B1782" t="s">
        <v>2913</v>
      </c>
      <c r="C1782" t="s">
        <v>106</v>
      </c>
      <c r="D1782" t="s">
        <v>118</v>
      </c>
      <c r="E1782" t="s">
        <v>30</v>
      </c>
      <c r="F1782" t="s">
        <v>130</v>
      </c>
      <c r="G1782" t="s">
        <v>32</v>
      </c>
      <c r="H1782" t="s">
        <v>87</v>
      </c>
      <c r="I1782" s="1" t="s">
        <v>3059</v>
      </c>
      <c r="J1782" s="1" t="s">
        <v>1880</v>
      </c>
      <c r="K1782" s="1" t="s">
        <v>3060</v>
      </c>
    </row>
    <row r="1783" spans="1:11" ht="60" x14ac:dyDescent="0.25">
      <c r="A1783" t="s">
        <v>49</v>
      </c>
      <c r="B1783" t="s">
        <v>2913</v>
      </c>
      <c r="C1783" t="s">
        <v>28</v>
      </c>
      <c r="D1783" t="s">
        <v>846</v>
      </c>
      <c r="E1783" t="s">
        <v>30</v>
      </c>
      <c r="F1783" t="s">
        <v>602</v>
      </c>
      <c r="G1783" t="s">
        <v>81</v>
      </c>
      <c r="H1783" t="s">
        <v>173</v>
      </c>
      <c r="I1783" s="1" t="s">
        <v>3061</v>
      </c>
      <c r="J1783" s="1" t="s">
        <v>481</v>
      </c>
      <c r="K1783" s="1" t="s">
        <v>3062</v>
      </c>
    </row>
    <row r="1784" spans="1:11" ht="60" x14ac:dyDescent="0.25">
      <c r="A1784" t="s">
        <v>49</v>
      </c>
      <c r="B1784" t="s">
        <v>2913</v>
      </c>
      <c r="C1784" t="s">
        <v>44</v>
      </c>
      <c r="D1784" t="s">
        <v>146</v>
      </c>
      <c r="E1784" t="s">
        <v>30</v>
      </c>
      <c r="F1784" t="s">
        <v>40</v>
      </c>
      <c r="G1784" t="s">
        <v>32</v>
      </c>
      <c r="H1784" t="s">
        <v>87</v>
      </c>
      <c r="I1784" s="1" t="s">
        <v>3063</v>
      </c>
      <c r="J1784" s="1" t="s">
        <v>21</v>
      </c>
      <c r="K1784" s="1" t="s">
        <v>3064</v>
      </c>
    </row>
    <row r="1785" spans="1:11" ht="45" x14ac:dyDescent="0.25">
      <c r="A1785" t="s">
        <v>37</v>
      </c>
      <c r="B1785" t="s">
        <v>2913</v>
      </c>
      <c r="C1785" t="s">
        <v>106</v>
      </c>
      <c r="D1785" t="s">
        <v>605</v>
      </c>
      <c r="E1785" t="s">
        <v>30</v>
      </c>
      <c r="F1785" t="s">
        <v>140</v>
      </c>
      <c r="G1785" t="s">
        <v>32</v>
      </c>
      <c r="H1785" t="s">
        <v>33</v>
      </c>
      <c r="I1785" s="1" t="s">
        <v>3065</v>
      </c>
      <c r="J1785" s="1" t="s">
        <v>426</v>
      </c>
    </row>
    <row r="1786" spans="1:11" ht="75" x14ac:dyDescent="0.25">
      <c r="A1786" t="s">
        <v>49</v>
      </c>
      <c r="B1786" t="s">
        <v>2913</v>
      </c>
      <c r="C1786" t="s">
        <v>96</v>
      </c>
      <c r="D1786" t="s">
        <v>769</v>
      </c>
      <c r="E1786" t="s">
        <v>30</v>
      </c>
      <c r="F1786" t="s">
        <v>98</v>
      </c>
      <c r="G1786" t="s">
        <v>32</v>
      </c>
      <c r="H1786" t="s">
        <v>33</v>
      </c>
      <c r="I1786" s="1" t="s">
        <v>3066</v>
      </c>
      <c r="J1786" s="1" t="s">
        <v>1867</v>
      </c>
      <c r="K1786" s="1" t="s">
        <v>3045</v>
      </c>
    </row>
    <row r="1787" spans="1:11" ht="30" x14ac:dyDescent="0.25">
      <c r="A1787" t="s">
        <v>49</v>
      </c>
      <c r="B1787" t="s">
        <v>2913</v>
      </c>
      <c r="C1787" t="s">
        <v>28</v>
      </c>
      <c r="D1787" t="s">
        <v>763</v>
      </c>
      <c r="E1787" t="s">
        <v>30</v>
      </c>
      <c r="F1787" t="s">
        <v>681</v>
      </c>
      <c r="G1787" t="s">
        <v>38</v>
      </c>
      <c r="H1787" t="s">
        <v>87</v>
      </c>
      <c r="I1787" s="1" t="s">
        <v>3067</v>
      </c>
      <c r="J1787" s="1" t="s">
        <v>426</v>
      </c>
      <c r="K1787" s="1" t="s">
        <v>3068</v>
      </c>
    </row>
    <row r="1788" spans="1:11" ht="75" x14ac:dyDescent="0.25">
      <c r="A1788" t="s">
        <v>49</v>
      </c>
      <c r="B1788" t="s">
        <v>2913</v>
      </c>
      <c r="C1788" t="s">
        <v>180</v>
      </c>
      <c r="D1788" t="s">
        <v>3069</v>
      </c>
      <c r="E1788" t="s">
        <v>30</v>
      </c>
      <c r="F1788" t="s">
        <v>112</v>
      </c>
      <c r="G1788" t="s">
        <v>32</v>
      </c>
      <c r="H1788" t="s">
        <v>173</v>
      </c>
      <c r="I1788" s="1" t="s">
        <v>3070</v>
      </c>
      <c r="J1788" s="1" t="s">
        <v>21</v>
      </c>
      <c r="K1788" s="1" t="s">
        <v>3071</v>
      </c>
    </row>
    <row r="1789" spans="1:11" ht="60" x14ac:dyDescent="0.25">
      <c r="A1789" t="s">
        <v>49</v>
      </c>
      <c r="B1789" t="s">
        <v>2913</v>
      </c>
      <c r="C1789" t="s">
        <v>28</v>
      </c>
      <c r="D1789" t="s">
        <v>955</v>
      </c>
      <c r="E1789" t="s">
        <v>30</v>
      </c>
      <c r="F1789" t="s">
        <v>287</v>
      </c>
      <c r="G1789" t="s">
        <v>32</v>
      </c>
      <c r="H1789" t="s">
        <v>87</v>
      </c>
      <c r="I1789" s="1" t="s">
        <v>3072</v>
      </c>
      <c r="J1789" s="1" t="s">
        <v>481</v>
      </c>
    </row>
    <row r="1790" spans="1:11" x14ac:dyDescent="0.25">
      <c r="A1790" t="s">
        <v>49</v>
      </c>
      <c r="B1790" t="s">
        <v>2913</v>
      </c>
      <c r="C1790" t="s">
        <v>85</v>
      </c>
      <c r="D1790" t="s">
        <v>2308</v>
      </c>
      <c r="E1790" t="s">
        <v>30</v>
      </c>
      <c r="F1790" t="s">
        <v>136</v>
      </c>
      <c r="G1790" t="s">
        <v>32</v>
      </c>
      <c r="H1790" t="s">
        <v>33</v>
      </c>
      <c r="I1790" s="1" t="s">
        <v>3073</v>
      </c>
      <c r="J1790" s="1" t="s">
        <v>426</v>
      </c>
    </row>
    <row r="1791" spans="1:11" ht="45" x14ac:dyDescent="0.25">
      <c r="A1791" t="s">
        <v>91</v>
      </c>
      <c r="B1791" t="s">
        <v>2913</v>
      </c>
      <c r="C1791" t="s">
        <v>180</v>
      </c>
      <c r="D1791" t="s">
        <v>1835</v>
      </c>
      <c r="E1791" t="s">
        <v>30</v>
      </c>
      <c r="F1791" t="s">
        <v>119</v>
      </c>
      <c r="G1791" t="s">
        <v>32</v>
      </c>
      <c r="H1791" t="s">
        <v>87</v>
      </c>
      <c r="I1791" s="1" t="s">
        <v>3074</v>
      </c>
      <c r="J1791" s="1" t="s">
        <v>17</v>
      </c>
      <c r="K1791" s="1" t="s">
        <v>2979</v>
      </c>
    </row>
    <row r="1792" spans="1:11" ht="45" x14ac:dyDescent="0.25">
      <c r="A1792" t="s">
        <v>91</v>
      </c>
      <c r="B1792" t="s">
        <v>2913</v>
      </c>
      <c r="C1792" t="s">
        <v>44</v>
      </c>
      <c r="D1792" t="s">
        <v>68</v>
      </c>
      <c r="E1792" t="s">
        <v>30</v>
      </c>
      <c r="F1792" t="s">
        <v>119</v>
      </c>
      <c r="G1792" t="s">
        <v>32</v>
      </c>
      <c r="H1792" t="s">
        <v>33</v>
      </c>
      <c r="I1792" s="1" t="s">
        <v>3075</v>
      </c>
      <c r="J1792" s="1" t="s">
        <v>2353</v>
      </c>
      <c r="K1792" s="1" t="s">
        <v>3076</v>
      </c>
    </row>
    <row r="1793" spans="1:11" ht="105" x14ac:dyDescent="0.25">
      <c r="A1793" t="s">
        <v>37</v>
      </c>
      <c r="B1793" t="s">
        <v>2913</v>
      </c>
      <c r="C1793" t="s">
        <v>240</v>
      </c>
      <c r="D1793" t="s">
        <v>1008</v>
      </c>
      <c r="E1793" t="s">
        <v>30</v>
      </c>
      <c r="F1793" t="s">
        <v>182</v>
      </c>
      <c r="G1793" t="s">
        <v>38</v>
      </c>
      <c r="H1793" t="s">
        <v>173</v>
      </c>
      <c r="I1793" s="1" t="s">
        <v>3077</v>
      </c>
      <c r="J1793" s="1" t="s">
        <v>15</v>
      </c>
      <c r="K1793" s="1" t="s">
        <v>3078</v>
      </c>
    </row>
    <row r="1794" spans="1:11" ht="30" x14ac:dyDescent="0.25">
      <c r="A1794" t="s">
        <v>37</v>
      </c>
      <c r="B1794" t="s">
        <v>2913</v>
      </c>
      <c r="C1794" t="s">
        <v>96</v>
      </c>
      <c r="D1794" t="s">
        <v>676</v>
      </c>
      <c r="E1794" t="s">
        <v>30</v>
      </c>
      <c r="F1794" t="s">
        <v>130</v>
      </c>
      <c r="G1794" t="s">
        <v>263</v>
      </c>
      <c r="H1794" t="s">
        <v>173</v>
      </c>
      <c r="I1794" s="1" t="s">
        <v>3079</v>
      </c>
      <c r="J1794" s="1" t="s">
        <v>17</v>
      </c>
      <c r="K1794" s="1" t="s">
        <v>3080</v>
      </c>
    </row>
    <row r="1795" spans="1:11" ht="45" x14ac:dyDescent="0.25">
      <c r="A1795" t="s">
        <v>37</v>
      </c>
      <c r="B1795" t="s">
        <v>2913</v>
      </c>
      <c r="C1795" t="s">
        <v>96</v>
      </c>
      <c r="D1795" t="s">
        <v>201</v>
      </c>
      <c r="E1795" t="s">
        <v>30</v>
      </c>
      <c r="F1795" t="s">
        <v>543</v>
      </c>
      <c r="G1795" t="s">
        <v>32</v>
      </c>
      <c r="H1795" t="s">
        <v>33</v>
      </c>
      <c r="I1795" s="1" t="s">
        <v>3081</v>
      </c>
      <c r="J1795" s="1" t="s">
        <v>16</v>
      </c>
      <c r="K1795" s="1" t="s">
        <v>3082</v>
      </c>
    </row>
    <row r="1796" spans="1:11" ht="105" x14ac:dyDescent="0.25">
      <c r="A1796" t="s">
        <v>64</v>
      </c>
      <c r="B1796" t="s">
        <v>2913</v>
      </c>
      <c r="C1796" t="s">
        <v>50</v>
      </c>
      <c r="D1796" t="s">
        <v>569</v>
      </c>
      <c r="E1796" t="s">
        <v>30</v>
      </c>
      <c r="F1796" t="s">
        <v>294</v>
      </c>
      <c r="G1796" t="s">
        <v>69</v>
      </c>
      <c r="H1796" t="s">
        <v>33</v>
      </c>
      <c r="I1796" s="1" t="s">
        <v>3083</v>
      </c>
      <c r="J1796" s="1" t="s">
        <v>426</v>
      </c>
    </row>
    <row r="1797" spans="1:11" ht="75" x14ac:dyDescent="0.25">
      <c r="A1797" t="s">
        <v>37</v>
      </c>
      <c r="B1797" t="s">
        <v>2913</v>
      </c>
      <c r="C1797" t="s">
        <v>69</v>
      </c>
      <c r="D1797" t="s">
        <v>507</v>
      </c>
      <c r="E1797" t="s">
        <v>30</v>
      </c>
      <c r="F1797" t="s">
        <v>102</v>
      </c>
      <c r="G1797" t="s">
        <v>81</v>
      </c>
      <c r="H1797" t="s">
        <v>173</v>
      </c>
      <c r="I1797" s="1" t="s">
        <v>3084</v>
      </c>
      <c r="J1797" s="1" t="s">
        <v>481</v>
      </c>
      <c r="K1797" s="1" t="s">
        <v>3085</v>
      </c>
    </row>
    <row r="1798" spans="1:11" ht="45" x14ac:dyDescent="0.25">
      <c r="A1798" t="s">
        <v>64</v>
      </c>
      <c r="B1798" t="s">
        <v>2913</v>
      </c>
      <c r="C1798" t="s">
        <v>28</v>
      </c>
      <c r="D1798" t="s">
        <v>2151</v>
      </c>
      <c r="E1798" t="s">
        <v>30</v>
      </c>
      <c r="F1798" t="s">
        <v>808</v>
      </c>
      <c r="G1798" t="s">
        <v>32</v>
      </c>
      <c r="H1798" t="s">
        <v>33</v>
      </c>
      <c r="I1798" s="1" t="s">
        <v>3086</v>
      </c>
      <c r="J1798" s="1" t="s">
        <v>481</v>
      </c>
      <c r="K1798" s="1" t="s">
        <v>2489</v>
      </c>
    </row>
    <row r="1799" spans="1:11" ht="195" x14ac:dyDescent="0.25">
      <c r="A1799" t="s">
        <v>26</v>
      </c>
      <c r="B1799" t="s">
        <v>2918</v>
      </c>
      <c r="C1799" t="s">
        <v>92</v>
      </c>
      <c r="D1799" t="s">
        <v>111</v>
      </c>
      <c r="E1799" t="s">
        <v>30</v>
      </c>
      <c r="F1799" t="s">
        <v>94</v>
      </c>
      <c r="G1799" t="s">
        <v>69</v>
      </c>
      <c r="H1799" t="s">
        <v>87</v>
      </c>
      <c r="I1799" s="1" t="s">
        <v>3087</v>
      </c>
      <c r="J1799" s="1" t="s">
        <v>823</v>
      </c>
      <c r="K1799" s="1" t="s">
        <v>3087</v>
      </c>
    </row>
    <row r="1800" spans="1:11" ht="75" x14ac:dyDescent="0.25">
      <c r="A1800" t="s">
        <v>26</v>
      </c>
      <c r="B1800" t="s">
        <v>2918</v>
      </c>
      <c r="C1800" t="s">
        <v>263</v>
      </c>
      <c r="D1800" t="s">
        <v>1739</v>
      </c>
      <c r="E1800" t="s">
        <v>30</v>
      </c>
      <c r="F1800" t="s">
        <v>98</v>
      </c>
      <c r="G1800" t="s">
        <v>32</v>
      </c>
      <c r="H1800" t="s">
        <v>173</v>
      </c>
      <c r="I1800" s="1" t="s">
        <v>3088</v>
      </c>
      <c r="J1800" s="1" t="s">
        <v>15</v>
      </c>
      <c r="K1800" s="1" t="s">
        <v>3089</v>
      </c>
    </row>
    <row r="1801" spans="1:11" x14ac:dyDescent="0.25">
      <c r="A1801" t="s">
        <v>26</v>
      </c>
      <c r="B1801" t="s">
        <v>2918</v>
      </c>
      <c r="C1801" t="s">
        <v>249</v>
      </c>
      <c r="D1801" t="s">
        <v>424</v>
      </c>
      <c r="E1801" t="s">
        <v>30</v>
      </c>
      <c r="F1801" t="s">
        <v>61</v>
      </c>
      <c r="G1801" t="s">
        <v>32</v>
      </c>
      <c r="H1801" t="s">
        <v>33</v>
      </c>
      <c r="I1801" s="1" t="s">
        <v>3090</v>
      </c>
      <c r="J1801" s="1" t="s">
        <v>3091</v>
      </c>
      <c r="K1801" s="1" t="s">
        <v>3092</v>
      </c>
    </row>
    <row r="1802" spans="1:11" ht="30" x14ac:dyDescent="0.25">
      <c r="A1802" t="s">
        <v>26</v>
      </c>
      <c r="B1802" t="s">
        <v>2918</v>
      </c>
      <c r="C1802" t="s">
        <v>92</v>
      </c>
      <c r="D1802" t="s">
        <v>3093</v>
      </c>
      <c r="E1802" t="s">
        <v>30</v>
      </c>
      <c r="F1802" t="s">
        <v>1181</v>
      </c>
      <c r="G1802" t="s">
        <v>32</v>
      </c>
      <c r="H1802" t="s">
        <v>33</v>
      </c>
      <c r="I1802" s="1" t="s">
        <v>3094</v>
      </c>
      <c r="J1802" s="1" t="s">
        <v>481</v>
      </c>
      <c r="K1802" s="1" t="s">
        <v>2515</v>
      </c>
    </row>
    <row r="1803" spans="1:11" ht="180" x14ac:dyDescent="0.25">
      <c r="A1803" t="s">
        <v>26</v>
      </c>
      <c r="B1803" t="s">
        <v>2918</v>
      </c>
      <c r="C1803" t="s">
        <v>96</v>
      </c>
      <c r="D1803" t="s">
        <v>3095</v>
      </c>
      <c r="E1803" t="s">
        <v>30</v>
      </c>
      <c r="F1803" t="s">
        <v>189</v>
      </c>
      <c r="G1803" t="s">
        <v>69</v>
      </c>
      <c r="H1803" t="s">
        <v>87</v>
      </c>
      <c r="I1803" s="1" t="s">
        <v>3096</v>
      </c>
      <c r="J1803" s="1" t="s">
        <v>701</v>
      </c>
      <c r="K1803" s="1" t="s">
        <v>3097</v>
      </c>
    </row>
    <row r="1804" spans="1:11" ht="105" x14ac:dyDescent="0.25">
      <c r="A1804" t="s">
        <v>26</v>
      </c>
      <c r="B1804" t="s">
        <v>2918</v>
      </c>
      <c r="C1804" t="s">
        <v>44</v>
      </c>
      <c r="D1804" t="s">
        <v>215</v>
      </c>
      <c r="E1804" t="s">
        <v>30</v>
      </c>
      <c r="F1804" t="s">
        <v>287</v>
      </c>
      <c r="G1804" t="s">
        <v>32</v>
      </c>
      <c r="H1804" t="s">
        <v>33</v>
      </c>
      <c r="I1804" s="1" t="s">
        <v>3098</v>
      </c>
      <c r="J1804" s="1" t="s">
        <v>16</v>
      </c>
    </row>
    <row r="1805" spans="1:11" ht="105" x14ac:dyDescent="0.25">
      <c r="A1805" t="s">
        <v>26</v>
      </c>
      <c r="B1805" t="s">
        <v>2918</v>
      </c>
      <c r="C1805" t="s">
        <v>50</v>
      </c>
      <c r="D1805" t="s">
        <v>1013</v>
      </c>
      <c r="E1805" t="s">
        <v>30</v>
      </c>
      <c r="F1805" t="s">
        <v>108</v>
      </c>
      <c r="G1805" t="s">
        <v>32</v>
      </c>
      <c r="H1805" t="s">
        <v>33</v>
      </c>
      <c r="I1805" s="1" t="s">
        <v>3099</v>
      </c>
      <c r="J1805" s="1" t="s">
        <v>426</v>
      </c>
    </row>
    <row r="1806" spans="1:11" ht="60" x14ac:dyDescent="0.25">
      <c r="A1806" t="s">
        <v>49</v>
      </c>
      <c r="B1806" t="s">
        <v>2918</v>
      </c>
      <c r="C1806" t="s">
        <v>180</v>
      </c>
      <c r="D1806" t="s">
        <v>1105</v>
      </c>
      <c r="E1806" t="s">
        <v>30</v>
      </c>
      <c r="F1806" t="s">
        <v>216</v>
      </c>
      <c r="G1806" t="s">
        <v>69</v>
      </c>
      <c r="H1806" t="s">
        <v>173</v>
      </c>
      <c r="I1806" s="1" t="s">
        <v>3100</v>
      </c>
      <c r="J1806" s="1" t="s">
        <v>481</v>
      </c>
      <c r="K1806" s="1" t="s">
        <v>3101</v>
      </c>
    </row>
    <row r="1807" spans="1:11" ht="30" x14ac:dyDescent="0.25">
      <c r="A1807" t="s">
        <v>26</v>
      </c>
      <c r="B1807" t="s">
        <v>2918</v>
      </c>
      <c r="C1807" t="s">
        <v>180</v>
      </c>
      <c r="D1807" t="s">
        <v>893</v>
      </c>
      <c r="E1807" t="s">
        <v>30</v>
      </c>
      <c r="F1807" t="s">
        <v>154</v>
      </c>
      <c r="G1807" t="s">
        <v>32</v>
      </c>
      <c r="H1807" t="s">
        <v>173</v>
      </c>
      <c r="I1807" s="1" t="s">
        <v>3102</v>
      </c>
      <c r="J1807" s="1" t="s">
        <v>21</v>
      </c>
      <c r="K1807" s="1" t="s">
        <v>2645</v>
      </c>
    </row>
    <row r="1808" spans="1:11" ht="75" x14ac:dyDescent="0.25">
      <c r="A1808" t="s">
        <v>49</v>
      </c>
      <c r="B1808" t="s">
        <v>2918</v>
      </c>
      <c r="C1808" t="s">
        <v>73</v>
      </c>
      <c r="D1808" t="s">
        <v>1147</v>
      </c>
      <c r="E1808" t="s">
        <v>30</v>
      </c>
      <c r="F1808" t="s">
        <v>94</v>
      </c>
      <c r="G1808" t="s">
        <v>32</v>
      </c>
      <c r="H1808" t="s">
        <v>173</v>
      </c>
      <c r="I1808" s="1" t="s">
        <v>3103</v>
      </c>
      <c r="J1808" s="1" t="s">
        <v>21</v>
      </c>
      <c r="K1808" s="1" t="s">
        <v>2645</v>
      </c>
    </row>
    <row r="1809" spans="1:11" ht="75" x14ac:dyDescent="0.25">
      <c r="A1809" t="s">
        <v>26</v>
      </c>
      <c r="B1809" t="s">
        <v>2918</v>
      </c>
      <c r="C1809" t="s">
        <v>44</v>
      </c>
      <c r="D1809" t="s">
        <v>2232</v>
      </c>
      <c r="E1809" t="s">
        <v>30</v>
      </c>
      <c r="F1809" t="s">
        <v>40</v>
      </c>
      <c r="G1809" t="s">
        <v>69</v>
      </c>
      <c r="H1809" t="s">
        <v>87</v>
      </c>
      <c r="I1809" s="1" t="s">
        <v>3104</v>
      </c>
      <c r="J1809" s="1" t="s">
        <v>753</v>
      </c>
    </row>
    <row r="1810" spans="1:11" ht="45" x14ac:dyDescent="0.25">
      <c r="A1810" t="s">
        <v>49</v>
      </c>
      <c r="B1810" t="s">
        <v>2918</v>
      </c>
      <c r="C1810" t="s">
        <v>32</v>
      </c>
      <c r="D1810" t="s">
        <v>208</v>
      </c>
      <c r="E1810" t="s">
        <v>79</v>
      </c>
      <c r="F1810" t="s">
        <v>446</v>
      </c>
      <c r="G1810" t="s">
        <v>32</v>
      </c>
      <c r="H1810" t="s">
        <v>173</v>
      </c>
      <c r="I1810" s="1" t="s">
        <v>3105</v>
      </c>
      <c r="J1810" s="1" t="s">
        <v>15</v>
      </c>
    </row>
    <row r="1811" spans="1:11" ht="60" x14ac:dyDescent="0.25">
      <c r="A1811" t="s">
        <v>26</v>
      </c>
      <c r="B1811" t="s">
        <v>2918</v>
      </c>
      <c r="C1811" t="s">
        <v>28</v>
      </c>
      <c r="D1811" t="s">
        <v>526</v>
      </c>
      <c r="E1811" t="s">
        <v>30</v>
      </c>
      <c r="F1811" t="s">
        <v>602</v>
      </c>
      <c r="G1811" t="s">
        <v>32</v>
      </c>
      <c r="H1811" t="s">
        <v>87</v>
      </c>
      <c r="I1811" s="1" t="s">
        <v>3106</v>
      </c>
      <c r="J1811" s="1" t="s">
        <v>15</v>
      </c>
    </row>
    <row r="1812" spans="1:11" ht="45" x14ac:dyDescent="0.25">
      <c r="A1812" t="s">
        <v>49</v>
      </c>
      <c r="B1812" t="s">
        <v>2918</v>
      </c>
      <c r="C1812" t="s">
        <v>85</v>
      </c>
      <c r="D1812" t="s">
        <v>1529</v>
      </c>
      <c r="E1812" t="s">
        <v>30</v>
      </c>
      <c r="F1812" t="s">
        <v>216</v>
      </c>
      <c r="G1812" t="s">
        <v>69</v>
      </c>
      <c r="H1812" t="s">
        <v>173</v>
      </c>
      <c r="I1812" s="1" t="s">
        <v>3107</v>
      </c>
      <c r="J1812" s="1" t="s">
        <v>15</v>
      </c>
      <c r="K1812" s="1" t="s">
        <v>3108</v>
      </c>
    </row>
    <row r="1813" spans="1:11" ht="105" x14ac:dyDescent="0.25">
      <c r="A1813" t="s">
        <v>49</v>
      </c>
      <c r="B1813" t="s">
        <v>2918</v>
      </c>
      <c r="C1813" t="s">
        <v>28</v>
      </c>
      <c r="D1813" t="s">
        <v>594</v>
      </c>
      <c r="E1813" t="s">
        <v>30</v>
      </c>
      <c r="F1813" t="s">
        <v>102</v>
      </c>
      <c r="G1813" t="s">
        <v>69</v>
      </c>
      <c r="H1813" t="s">
        <v>173</v>
      </c>
      <c r="I1813" s="1" t="s">
        <v>3109</v>
      </c>
      <c r="J1813" s="1" t="s">
        <v>753</v>
      </c>
    </row>
    <row r="1814" spans="1:11" ht="30" x14ac:dyDescent="0.25">
      <c r="A1814" t="s">
        <v>49</v>
      </c>
      <c r="B1814" t="s">
        <v>2918</v>
      </c>
      <c r="C1814" t="s">
        <v>55</v>
      </c>
      <c r="D1814" t="s">
        <v>965</v>
      </c>
      <c r="E1814" t="s">
        <v>30</v>
      </c>
      <c r="F1814" t="s">
        <v>294</v>
      </c>
      <c r="G1814" t="s">
        <v>32</v>
      </c>
      <c r="H1814" t="s">
        <v>33</v>
      </c>
      <c r="I1814" s="1" t="s">
        <v>3110</v>
      </c>
      <c r="J1814" s="1" t="s">
        <v>426</v>
      </c>
    </row>
    <row r="1815" spans="1:11" ht="30" x14ac:dyDescent="0.25">
      <c r="A1815" t="s">
        <v>49</v>
      </c>
      <c r="B1815" t="s">
        <v>2918</v>
      </c>
      <c r="C1815" t="s">
        <v>240</v>
      </c>
      <c r="D1815" t="s">
        <v>597</v>
      </c>
      <c r="E1815" t="s">
        <v>30</v>
      </c>
      <c r="F1815" t="s">
        <v>154</v>
      </c>
      <c r="G1815" t="s">
        <v>32</v>
      </c>
      <c r="H1815" t="s">
        <v>33</v>
      </c>
      <c r="I1815" s="1" t="s">
        <v>3111</v>
      </c>
      <c r="J1815" s="1" t="s">
        <v>426</v>
      </c>
    </row>
    <row r="1816" spans="1:11" ht="30" x14ac:dyDescent="0.25">
      <c r="A1816" t="s">
        <v>37</v>
      </c>
      <c r="B1816" t="s">
        <v>2918</v>
      </c>
      <c r="C1816" t="s">
        <v>235</v>
      </c>
      <c r="D1816" t="s">
        <v>270</v>
      </c>
      <c r="E1816" t="s">
        <v>30</v>
      </c>
      <c r="F1816" t="s">
        <v>140</v>
      </c>
      <c r="G1816" t="s">
        <v>69</v>
      </c>
      <c r="H1816" t="s">
        <v>33</v>
      </c>
      <c r="I1816" s="1" t="s">
        <v>3112</v>
      </c>
      <c r="J1816" s="1" t="s">
        <v>481</v>
      </c>
      <c r="K1816" s="1" t="s">
        <v>3113</v>
      </c>
    </row>
    <row r="1817" spans="1:11" ht="90" x14ac:dyDescent="0.25">
      <c r="A1817" t="s">
        <v>37</v>
      </c>
      <c r="B1817" t="s">
        <v>2918</v>
      </c>
      <c r="C1817" t="s">
        <v>55</v>
      </c>
      <c r="D1817" t="s">
        <v>929</v>
      </c>
      <c r="E1817" t="s">
        <v>30</v>
      </c>
      <c r="F1817" t="s">
        <v>202</v>
      </c>
      <c r="G1817" t="s">
        <v>81</v>
      </c>
      <c r="H1817" t="s">
        <v>87</v>
      </c>
      <c r="I1817" s="1" t="s">
        <v>3114</v>
      </c>
      <c r="J1817" s="1" t="s">
        <v>481</v>
      </c>
    </row>
    <row r="1818" spans="1:11" ht="30" x14ac:dyDescent="0.25">
      <c r="A1818" t="s">
        <v>26</v>
      </c>
      <c r="B1818" t="s">
        <v>2922</v>
      </c>
      <c r="C1818" t="s">
        <v>263</v>
      </c>
      <c r="D1818" t="s">
        <v>310</v>
      </c>
      <c r="E1818" t="s">
        <v>30</v>
      </c>
      <c r="F1818" t="s">
        <v>112</v>
      </c>
      <c r="G1818" t="s">
        <v>32</v>
      </c>
      <c r="H1818" t="s">
        <v>173</v>
      </c>
      <c r="I1818" s="1" t="s">
        <v>3115</v>
      </c>
      <c r="J1818" s="1" t="s">
        <v>21</v>
      </c>
      <c r="K1818" s="1" t="s">
        <v>3032</v>
      </c>
    </row>
    <row r="1819" spans="1:11" ht="105" x14ac:dyDescent="0.25">
      <c r="A1819" t="s">
        <v>26</v>
      </c>
      <c r="B1819" t="s">
        <v>2922</v>
      </c>
      <c r="C1819" t="s">
        <v>249</v>
      </c>
      <c r="D1819" t="s">
        <v>1185</v>
      </c>
      <c r="E1819" t="s">
        <v>30</v>
      </c>
      <c r="F1819" t="s">
        <v>119</v>
      </c>
      <c r="G1819" t="s">
        <v>69</v>
      </c>
      <c r="H1819" t="s">
        <v>87</v>
      </c>
      <c r="I1819" s="1" t="s">
        <v>3116</v>
      </c>
      <c r="J1819" s="1" t="s">
        <v>15</v>
      </c>
      <c r="K1819" s="1" t="s">
        <v>3117</v>
      </c>
    </row>
    <row r="1820" spans="1:11" ht="60" x14ac:dyDescent="0.25">
      <c r="A1820" t="s">
        <v>26</v>
      </c>
      <c r="B1820" t="s">
        <v>2922</v>
      </c>
      <c r="C1820" t="s">
        <v>249</v>
      </c>
      <c r="D1820" t="s">
        <v>657</v>
      </c>
      <c r="E1820" t="s">
        <v>30</v>
      </c>
      <c r="F1820" t="s">
        <v>112</v>
      </c>
      <c r="G1820" t="s">
        <v>69</v>
      </c>
      <c r="H1820" t="s">
        <v>33</v>
      </c>
      <c r="I1820" s="1" t="s">
        <v>3118</v>
      </c>
      <c r="J1820" s="1" t="s">
        <v>481</v>
      </c>
      <c r="K1820" s="1" t="s">
        <v>2515</v>
      </c>
    </row>
    <row r="1821" spans="1:11" ht="60" x14ac:dyDescent="0.25">
      <c r="A1821" t="s">
        <v>26</v>
      </c>
      <c r="B1821" t="s">
        <v>2922</v>
      </c>
      <c r="C1821" t="s">
        <v>263</v>
      </c>
      <c r="D1821" t="s">
        <v>457</v>
      </c>
      <c r="E1821" t="s">
        <v>30</v>
      </c>
      <c r="F1821" t="s">
        <v>61</v>
      </c>
      <c r="G1821" t="s">
        <v>32</v>
      </c>
      <c r="H1821" t="s">
        <v>33</v>
      </c>
      <c r="I1821" s="1" t="s">
        <v>3119</v>
      </c>
      <c r="J1821" s="1" t="s">
        <v>426</v>
      </c>
    </row>
    <row r="1822" spans="1:11" ht="90" x14ac:dyDescent="0.25">
      <c r="A1822" t="s">
        <v>26</v>
      </c>
      <c r="B1822" t="s">
        <v>2922</v>
      </c>
      <c r="C1822" t="s">
        <v>263</v>
      </c>
      <c r="D1822" t="s">
        <v>650</v>
      </c>
      <c r="E1822" t="s">
        <v>30</v>
      </c>
      <c r="F1822" t="s">
        <v>112</v>
      </c>
      <c r="G1822" t="s">
        <v>32</v>
      </c>
      <c r="H1822" t="s">
        <v>33</v>
      </c>
      <c r="I1822" s="1" t="s">
        <v>3120</v>
      </c>
      <c r="J1822" s="1" t="s">
        <v>426</v>
      </c>
    </row>
    <row r="1823" spans="1:11" ht="105" x14ac:dyDescent="0.25">
      <c r="A1823" t="s">
        <v>26</v>
      </c>
      <c r="B1823" t="s">
        <v>2922</v>
      </c>
      <c r="C1823" t="s">
        <v>249</v>
      </c>
      <c r="D1823" t="s">
        <v>1700</v>
      </c>
      <c r="E1823" t="s">
        <v>30</v>
      </c>
      <c r="F1823" t="s">
        <v>40</v>
      </c>
      <c r="G1823" t="s">
        <v>81</v>
      </c>
      <c r="H1823" t="s">
        <v>87</v>
      </c>
      <c r="I1823" s="1" t="s">
        <v>3121</v>
      </c>
      <c r="J1823" s="1" t="s">
        <v>684</v>
      </c>
      <c r="K1823" s="1" t="s">
        <v>3122</v>
      </c>
    </row>
    <row r="1824" spans="1:11" ht="90" x14ac:dyDescent="0.25">
      <c r="A1824" t="s">
        <v>26</v>
      </c>
      <c r="B1824" t="s">
        <v>2922</v>
      </c>
      <c r="C1824" t="s">
        <v>73</v>
      </c>
      <c r="D1824" t="s">
        <v>798</v>
      </c>
      <c r="E1824" t="s">
        <v>30</v>
      </c>
      <c r="F1824" t="s">
        <v>112</v>
      </c>
      <c r="G1824" t="s">
        <v>69</v>
      </c>
      <c r="H1824" t="s">
        <v>173</v>
      </c>
      <c r="I1824" s="1" t="s">
        <v>3123</v>
      </c>
      <c r="J1824" s="1" t="s">
        <v>481</v>
      </c>
      <c r="K1824" s="1" t="s">
        <v>3124</v>
      </c>
    </row>
    <row r="1825" spans="1:11" ht="105" x14ac:dyDescent="0.25">
      <c r="A1825" t="s">
        <v>26</v>
      </c>
      <c r="B1825" t="s">
        <v>2922</v>
      </c>
      <c r="C1825" t="s">
        <v>263</v>
      </c>
      <c r="D1825" t="s">
        <v>462</v>
      </c>
      <c r="E1825" t="s">
        <v>30</v>
      </c>
      <c r="F1825" t="s">
        <v>196</v>
      </c>
      <c r="G1825" t="s">
        <v>32</v>
      </c>
      <c r="H1825" t="s">
        <v>87</v>
      </c>
      <c r="I1825" s="1" t="s">
        <v>3125</v>
      </c>
      <c r="J1825" s="1" t="s">
        <v>436</v>
      </c>
    </row>
    <row r="1826" spans="1:11" ht="105" x14ac:dyDescent="0.25">
      <c r="A1826" t="s">
        <v>26</v>
      </c>
      <c r="B1826" t="s">
        <v>2922</v>
      </c>
      <c r="C1826" t="s">
        <v>73</v>
      </c>
      <c r="D1826" t="s">
        <v>157</v>
      </c>
      <c r="E1826" t="s">
        <v>30</v>
      </c>
      <c r="F1826" t="s">
        <v>209</v>
      </c>
      <c r="G1826" t="s">
        <v>81</v>
      </c>
      <c r="H1826" t="s">
        <v>87</v>
      </c>
      <c r="I1826" s="1" t="s">
        <v>3126</v>
      </c>
      <c r="J1826" s="1" t="s">
        <v>436</v>
      </c>
    </row>
    <row r="1827" spans="1:11" ht="30" x14ac:dyDescent="0.25">
      <c r="A1827" t="s">
        <v>26</v>
      </c>
      <c r="B1827" t="s">
        <v>2922</v>
      </c>
      <c r="C1827" t="s">
        <v>240</v>
      </c>
      <c r="D1827" t="s">
        <v>1119</v>
      </c>
      <c r="E1827" t="s">
        <v>30</v>
      </c>
      <c r="F1827" t="s">
        <v>61</v>
      </c>
      <c r="G1827" t="s">
        <v>32</v>
      </c>
      <c r="H1827" t="s">
        <v>33</v>
      </c>
      <c r="I1827" s="1" t="s">
        <v>3127</v>
      </c>
      <c r="J1827" s="1" t="s">
        <v>481</v>
      </c>
      <c r="K1827" s="1" t="s">
        <v>2515</v>
      </c>
    </row>
    <row r="1828" spans="1:11" ht="105" x14ac:dyDescent="0.25">
      <c r="A1828" t="s">
        <v>26</v>
      </c>
      <c r="B1828" t="s">
        <v>2922</v>
      </c>
      <c r="C1828" t="s">
        <v>240</v>
      </c>
      <c r="D1828" t="s">
        <v>267</v>
      </c>
      <c r="E1828" t="s">
        <v>30</v>
      </c>
      <c r="F1828" t="s">
        <v>61</v>
      </c>
      <c r="G1828" t="s">
        <v>32</v>
      </c>
      <c r="H1828" t="s">
        <v>173</v>
      </c>
      <c r="I1828" s="1" t="s">
        <v>3128</v>
      </c>
      <c r="J1828" s="1" t="s">
        <v>1917</v>
      </c>
      <c r="K1828" s="1" t="s">
        <v>2878</v>
      </c>
    </row>
    <row r="1829" spans="1:11" ht="60" x14ac:dyDescent="0.25">
      <c r="A1829" t="s">
        <v>26</v>
      </c>
      <c r="B1829" t="s">
        <v>2922</v>
      </c>
      <c r="C1829" t="s">
        <v>249</v>
      </c>
      <c r="D1829" t="s">
        <v>1317</v>
      </c>
      <c r="E1829" t="s">
        <v>30</v>
      </c>
      <c r="F1829" t="s">
        <v>112</v>
      </c>
      <c r="G1829" t="s">
        <v>32</v>
      </c>
      <c r="H1829" t="s">
        <v>173</v>
      </c>
      <c r="I1829" s="1" t="s">
        <v>3129</v>
      </c>
      <c r="J1829" s="1" t="s">
        <v>1917</v>
      </c>
      <c r="K1829" s="1" t="s">
        <v>3130</v>
      </c>
    </row>
    <row r="1830" spans="1:11" ht="45" x14ac:dyDescent="0.25">
      <c r="A1830" t="s">
        <v>26</v>
      </c>
      <c r="B1830" t="s">
        <v>2922</v>
      </c>
      <c r="C1830" t="s">
        <v>92</v>
      </c>
      <c r="D1830" t="s">
        <v>316</v>
      </c>
      <c r="E1830" t="s">
        <v>30</v>
      </c>
      <c r="F1830" t="s">
        <v>446</v>
      </c>
      <c r="G1830" t="s">
        <v>69</v>
      </c>
      <c r="H1830" t="s">
        <v>87</v>
      </c>
      <c r="I1830" s="1" t="s">
        <v>3131</v>
      </c>
      <c r="J1830" s="1" t="s">
        <v>481</v>
      </c>
      <c r="K1830" s="1" t="s">
        <v>3132</v>
      </c>
    </row>
    <row r="1831" spans="1:11" ht="75" x14ac:dyDescent="0.25">
      <c r="A1831" t="s">
        <v>26</v>
      </c>
      <c r="B1831" t="s">
        <v>2922</v>
      </c>
      <c r="C1831" t="s">
        <v>106</v>
      </c>
      <c r="D1831" t="s">
        <v>605</v>
      </c>
      <c r="E1831" t="s">
        <v>30</v>
      </c>
      <c r="F1831" t="s">
        <v>561</v>
      </c>
      <c r="G1831" t="s">
        <v>69</v>
      </c>
      <c r="H1831" t="s">
        <v>87</v>
      </c>
      <c r="I1831" s="1" t="s">
        <v>3133</v>
      </c>
      <c r="J1831" s="1" t="s">
        <v>697</v>
      </c>
      <c r="K1831" s="1" t="s">
        <v>3134</v>
      </c>
    </row>
    <row r="1832" spans="1:11" ht="30" x14ac:dyDescent="0.25">
      <c r="A1832" t="s">
        <v>26</v>
      </c>
      <c r="B1832" t="s">
        <v>2922</v>
      </c>
      <c r="C1832" t="s">
        <v>240</v>
      </c>
      <c r="D1832" t="s">
        <v>1404</v>
      </c>
      <c r="E1832" t="s">
        <v>30</v>
      </c>
      <c r="F1832" t="s">
        <v>202</v>
      </c>
      <c r="G1832" t="s">
        <v>32</v>
      </c>
      <c r="H1832" t="s">
        <v>173</v>
      </c>
      <c r="I1832" s="1" t="s">
        <v>3135</v>
      </c>
      <c r="J1832" s="1" t="s">
        <v>17</v>
      </c>
      <c r="K1832" s="1" t="s">
        <v>2464</v>
      </c>
    </row>
    <row r="1833" spans="1:11" ht="90" x14ac:dyDescent="0.25">
      <c r="A1833" t="s">
        <v>26</v>
      </c>
      <c r="B1833" t="s">
        <v>2922</v>
      </c>
      <c r="C1833" t="s">
        <v>240</v>
      </c>
      <c r="D1833" t="s">
        <v>703</v>
      </c>
      <c r="E1833" t="s">
        <v>79</v>
      </c>
      <c r="F1833" t="s">
        <v>223</v>
      </c>
      <c r="G1833" t="s">
        <v>81</v>
      </c>
      <c r="H1833" t="s">
        <v>87</v>
      </c>
      <c r="I1833" s="1" t="s">
        <v>3136</v>
      </c>
      <c r="J1833" s="1" t="s">
        <v>481</v>
      </c>
    </row>
    <row r="1834" spans="1:11" ht="30" x14ac:dyDescent="0.25">
      <c r="A1834" t="s">
        <v>26</v>
      </c>
      <c r="B1834" t="s">
        <v>2922</v>
      </c>
      <c r="C1834" t="s">
        <v>106</v>
      </c>
      <c r="D1834" t="s">
        <v>1675</v>
      </c>
      <c r="E1834" t="s">
        <v>30</v>
      </c>
      <c r="F1834" t="s">
        <v>446</v>
      </c>
      <c r="G1834" t="s">
        <v>32</v>
      </c>
      <c r="H1834" t="s">
        <v>33</v>
      </c>
      <c r="I1834" s="1" t="s">
        <v>3137</v>
      </c>
      <c r="J1834" s="1" t="s">
        <v>426</v>
      </c>
    </row>
    <row r="1835" spans="1:11" ht="30" x14ac:dyDescent="0.25">
      <c r="A1835" t="s">
        <v>26</v>
      </c>
      <c r="B1835" t="s">
        <v>2922</v>
      </c>
      <c r="C1835" t="s">
        <v>472</v>
      </c>
      <c r="D1835" t="s">
        <v>3138</v>
      </c>
      <c r="E1835" t="s">
        <v>30</v>
      </c>
      <c r="F1835" t="s">
        <v>216</v>
      </c>
      <c r="G1835" t="s">
        <v>32</v>
      </c>
      <c r="H1835" t="s">
        <v>173</v>
      </c>
      <c r="I1835" s="1" t="s">
        <v>3139</v>
      </c>
      <c r="J1835" s="1" t="s">
        <v>17</v>
      </c>
      <c r="K1835" s="1" t="s">
        <v>2464</v>
      </c>
    </row>
    <row r="1836" spans="1:11" ht="30" x14ac:dyDescent="0.25">
      <c r="A1836" t="s">
        <v>26</v>
      </c>
      <c r="B1836" t="s">
        <v>2922</v>
      </c>
      <c r="C1836" t="s">
        <v>472</v>
      </c>
      <c r="D1836" t="s">
        <v>2201</v>
      </c>
      <c r="E1836" t="s">
        <v>30</v>
      </c>
      <c r="F1836" t="s">
        <v>189</v>
      </c>
      <c r="G1836" t="s">
        <v>32</v>
      </c>
      <c r="H1836" t="s">
        <v>33</v>
      </c>
      <c r="I1836" s="1" t="s">
        <v>3140</v>
      </c>
      <c r="J1836" s="1" t="s">
        <v>426</v>
      </c>
    </row>
    <row r="1837" spans="1:11" ht="60" x14ac:dyDescent="0.25">
      <c r="A1837" t="s">
        <v>26</v>
      </c>
      <c r="B1837" t="s">
        <v>2922</v>
      </c>
      <c r="C1837" t="s">
        <v>106</v>
      </c>
      <c r="D1837" t="s">
        <v>1958</v>
      </c>
      <c r="E1837" t="s">
        <v>30</v>
      </c>
      <c r="F1837" t="s">
        <v>202</v>
      </c>
      <c r="G1837" t="s">
        <v>32</v>
      </c>
      <c r="H1837" t="s">
        <v>87</v>
      </c>
      <c r="I1837" s="1" t="s">
        <v>3141</v>
      </c>
      <c r="J1837" s="1" t="s">
        <v>436</v>
      </c>
    </row>
    <row r="1838" spans="1:11" ht="60" x14ac:dyDescent="0.25">
      <c r="A1838" t="s">
        <v>26</v>
      </c>
      <c r="B1838" t="s">
        <v>2922</v>
      </c>
      <c r="C1838" t="s">
        <v>106</v>
      </c>
      <c r="D1838" t="s">
        <v>475</v>
      </c>
      <c r="E1838" t="s">
        <v>30</v>
      </c>
      <c r="F1838" t="s">
        <v>307</v>
      </c>
      <c r="G1838" t="s">
        <v>32</v>
      </c>
      <c r="H1838" t="s">
        <v>33</v>
      </c>
      <c r="I1838" s="1" t="s">
        <v>3142</v>
      </c>
      <c r="J1838" s="1" t="s">
        <v>17</v>
      </c>
    </row>
    <row r="1839" spans="1:11" ht="90" x14ac:dyDescent="0.25">
      <c r="A1839" t="s">
        <v>26</v>
      </c>
      <c r="B1839" t="s">
        <v>2922</v>
      </c>
      <c r="C1839" t="s">
        <v>235</v>
      </c>
      <c r="D1839" t="s">
        <v>2146</v>
      </c>
      <c r="E1839" t="s">
        <v>30</v>
      </c>
      <c r="F1839" t="s">
        <v>94</v>
      </c>
      <c r="G1839" t="s">
        <v>32</v>
      </c>
      <c r="H1839" t="s">
        <v>173</v>
      </c>
      <c r="I1839" s="1" t="s">
        <v>3143</v>
      </c>
      <c r="J1839" s="1" t="s">
        <v>481</v>
      </c>
    </row>
    <row r="1840" spans="1:11" ht="75" x14ac:dyDescent="0.25">
      <c r="A1840" t="s">
        <v>26</v>
      </c>
      <c r="B1840" t="s">
        <v>2922</v>
      </c>
      <c r="C1840" t="s">
        <v>235</v>
      </c>
      <c r="D1840" t="s">
        <v>537</v>
      </c>
      <c r="E1840" t="s">
        <v>30</v>
      </c>
      <c r="F1840" t="s">
        <v>102</v>
      </c>
      <c r="G1840" t="s">
        <v>32</v>
      </c>
      <c r="H1840" t="s">
        <v>33</v>
      </c>
      <c r="I1840" s="1" t="s">
        <v>3144</v>
      </c>
      <c r="J1840" s="1" t="s">
        <v>426</v>
      </c>
    </row>
    <row r="1841" spans="1:11" ht="60" x14ac:dyDescent="0.25">
      <c r="A1841" t="s">
        <v>26</v>
      </c>
      <c r="B1841" t="s">
        <v>2922</v>
      </c>
      <c r="C1841" t="s">
        <v>38</v>
      </c>
      <c r="D1841" t="s">
        <v>712</v>
      </c>
      <c r="E1841" t="s">
        <v>30</v>
      </c>
      <c r="F1841" t="s">
        <v>108</v>
      </c>
      <c r="G1841" t="s">
        <v>38</v>
      </c>
      <c r="H1841" t="s">
        <v>87</v>
      </c>
      <c r="I1841" s="1" t="s">
        <v>3145</v>
      </c>
      <c r="J1841" s="1" t="s">
        <v>436</v>
      </c>
      <c r="K1841" s="1" t="s">
        <v>3068</v>
      </c>
    </row>
    <row r="1842" spans="1:11" ht="30" x14ac:dyDescent="0.25">
      <c r="A1842" t="s">
        <v>26</v>
      </c>
      <c r="B1842" t="s">
        <v>2922</v>
      </c>
      <c r="C1842" t="s">
        <v>106</v>
      </c>
      <c r="D1842" t="s">
        <v>3146</v>
      </c>
      <c r="E1842" t="s">
        <v>30</v>
      </c>
      <c r="F1842" t="s">
        <v>98</v>
      </c>
      <c r="G1842" t="s">
        <v>32</v>
      </c>
      <c r="H1842" t="s">
        <v>33</v>
      </c>
      <c r="I1842" s="1" t="s">
        <v>3147</v>
      </c>
      <c r="J1842" s="1" t="s">
        <v>481</v>
      </c>
      <c r="K1842" s="1" t="s">
        <v>2489</v>
      </c>
    </row>
    <row r="1843" spans="1:11" ht="90" x14ac:dyDescent="0.25">
      <c r="A1843" t="s">
        <v>26</v>
      </c>
      <c r="B1843" t="s">
        <v>2922</v>
      </c>
      <c r="C1843" t="s">
        <v>235</v>
      </c>
      <c r="D1843" t="s">
        <v>327</v>
      </c>
      <c r="E1843" t="s">
        <v>30</v>
      </c>
      <c r="F1843" t="s">
        <v>119</v>
      </c>
      <c r="G1843" t="s">
        <v>32</v>
      </c>
      <c r="H1843" t="s">
        <v>87</v>
      </c>
      <c r="I1843" s="1" t="s">
        <v>3148</v>
      </c>
      <c r="J1843" s="1" t="s">
        <v>436</v>
      </c>
    </row>
    <row r="1844" spans="1:11" ht="75" x14ac:dyDescent="0.25">
      <c r="A1844" t="s">
        <v>26</v>
      </c>
      <c r="B1844" t="s">
        <v>2922</v>
      </c>
      <c r="C1844" t="s">
        <v>235</v>
      </c>
      <c r="D1844" t="s">
        <v>1256</v>
      </c>
      <c r="E1844" t="s">
        <v>79</v>
      </c>
      <c r="F1844" t="s">
        <v>287</v>
      </c>
      <c r="G1844" t="s">
        <v>69</v>
      </c>
      <c r="H1844" t="s">
        <v>87</v>
      </c>
      <c r="I1844" s="1" t="s">
        <v>3149</v>
      </c>
      <c r="J1844" s="1" t="s">
        <v>436</v>
      </c>
    </row>
    <row r="1845" spans="1:11" ht="60" x14ac:dyDescent="0.25">
      <c r="A1845" t="s">
        <v>26</v>
      </c>
      <c r="B1845" t="s">
        <v>2922</v>
      </c>
      <c r="C1845" t="s">
        <v>472</v>
      </c>
      <c r="D1845" t="s">
        <v>839</v>
      </c>
      <c r="E1845" t="s">
        <v>30</v>
      </c>
      <c r="F1845" t="s">
        <v>205</v>
      </c>
      <c r="G1845" t="s">
        <v>69</v>
      </c>
      <c r="H1845" t="s">
        <v>87</v>
      </c>
      <c r="I1845" s="1" t="s">
        <v>3150</v>
      </c>
      <c r="J1845" s="1" t="s">
        <v>1849</v>
      </c>
      <c r="K1845" s="1" t="s">
        <v>3151</v>
      </c>
    </row>
    <row r="1846" spans="1:11" ht="105" x14ac:dyDescent="0.25">
      <c r="A1846" t="s">
        <v>26</v>
      </c>
      <c r="B1846" t="s">
        <v>2922</v>
      </c>
      <c r="C1846" t="s">
        <v>106</v>
      </c>
      <c r="D1846" t="s">
        <v>1121</v>
      </c>
      <c r="E1846" t="s">
        <v>30</v>
      </c>
      <c r="F1846" t="s">
        <v>180</v>
      </c>
      <c r="G1846" t="s">
        <v>32</v>
      </c>
      <c r="H1846" t="s">
        <v>87</v>
      </c>
      <c r="I1846" s="1" t="s">
        <v>3152</v>
      </c>
      <c r="J1846" s="1" t="s">
        <v>689</v>
      </c>
    </row>
    <row r="1847" spans="1:11" ht="45" x14ac:dyDescent="0.25">
      <c r="A1847" t="s">
        <v>26</v>
      </c>
      <c r="B1847" t="s">
        <v>2922</v>
      </c>
      <c r="C1847" t="s">
        <v>44</v>
      </c>
      <c r="D1847" t="s">
        <v>68</v>
      </c>
      <c r="E1847" t="s">
        <v>30</v>
      </c>
      <c r="F1847" t="s">
        <v>389</v>
      </c>
      <c r="G1847" t="s">
        <v>32</v>
      </c>
      <c r="H1847" t="s">
        <v>173</v>
      </c>
      <c r="I1847" s="1" t="s">
        <v>3153</v>
      </c>
      <c r="J1847" s="1" t="s">
        <v>436</v>
      </c>
    </row>
    <row r="1848" spans="1:11" ht="60" x14ac:dyDescent="0.25">
      <c r="A1848" t="s">
        <v>26</v>
      </c>
      <c r="B1848" t="s">
        <v>2922</v>
      </c>
      <c r="C1848" t="s">
        <v>50</v>
      </c>
      <c r="D1848" t="s">
        <v>362</v>
      </c>
      <c r="E1848" t="s">
        <v>30</v>
      </c>
      <c r="F1848" t="s">
        <v>186</v>
      </c>
      <c r="G1848" t="s">
        <v>32</v>
      </c>
      <c r="H1848" t="s">
        <v>173</v>
      </c>
      <c r="I1848" s="1" t="s">
        <v>3154</v>
      </c>
      <c r="J1848" s="1" t="s">
        <v>15</v>
      </c>
      <c r="K1848" s="1" t="s">
        <v>3155</v>
      </c>
    </row>
    <row r="1849" spans="1:11" ht="105" x14ac:dyDescent="0.25">
      <c r="A1849" t="s">
        <v>26</v>
      </c>
      <c r="B1849" t="s">
        <v>2922</v>
      </c>
      <c r="C1849" t="s">
        <v>69</v>
      </c>
      <c r="D1849" t="s">
        <v>1258</v>
      </c>
      <c r="E1849" t="s">
        <v>79</v>
      </c>
      <c r="F1849" t="s">
        <v>492</v>
      </c>
      <c r="G1849" t="s">
        <v>38</v>
      </c>
      <c r="H1849" t="s">
        <v>87</v>
      </c>
      <c r="I1849" s="1" t="s">
        <v>3156</v>
      </c>
      <c r="J1849" s="1" t="s">
        <v>481</v>
      </c>
      <c r="K1849" s="1" t="s">
        <v>3157</v>
      </c>
    </row>
    <row r="1850" spans="1:11" ht="90" x14ac:dyDescent="0.25">
      <c r="A1850" t="s">
        <v>26</v>
      </c>
      <c r="B1850" t="s">
        <v>2922</v>
      </c>
      <c r="C1850" t="s">
        <v>106</v>
      </c>
      <c r="D1850" t="s">
        <v>484</v>
      </c>
      <c r="E1850" t="s">
        <v>30</v>
      </c>
      <c r="F1850" t="s">
        <v>216</v>
      </c>
      <c r="G1850" t="s">
        <v>69</v>
      </c>
      <c r="H1850" t="s">
        <v>87</v>
      </c>
      <c r="I1850" s="1" t="s">
        <v>3158</v>
      </c>
      <c r="J1850" s="1" t="s">
        <v>436</v>
      </c>
    </row>
    <row r="1851" spans="1:11" ht="30" x14ac:dyDescent="0.25">
      <c r="A1851" t="s">
        <v>26</v>
      </c>
      <c r="B1851" t="s">
        <v>2922</v>
      </c>
      <c r="C1851" t="s">
        <v>44</v>
      </c>
      <c r="D1851" t="s">
        <v>146</v>
      </c>
      <c r="E1851" t="s">
        <v>30</v>
      </c>
      <c r="F1851" t="s">
        <v>140</v>
      </c>
      <c r="G1851" t="s">
        <v>32</v>
      </c>
      <c r="H1851" t="s">
        <v>33</v>
      </c>
      <c r="I1851" s="1" t="s">
        <v>3159</v>
      </c>
      <c r="J1851" s="1" t="s">
        <v>781</v>
      </c>
      <c r="K1851" s="1" t="s">
        <v>3160</v>
      </c>
    </row>
    <row r="1852" spans="1:11" ht="45" x14ac:dyDescent="0.25">
      <c r="A1852" t="s">
        <v>26</v>
      </c>
      <c r="B1852" t="s">
        <v>2922</v>
      </c>
      <c r="C1852" t="s">
        <v>50</v>
      </c>
      <c r="D1852" t="s">
        <v>817</v>
      </c>
      <c r="E1852" t="s">
        <v>30</v>
      </c>
      <c r="F1852" t="s">
        <v>154</v>
      </c>
      <c r="G1852" t="s">
        <v>32</v>
      </c>
      <c r="H1852" t="s">
        <v>33</v>
      </c>
      <c r="I1852" s="1" t="s">
        <v>3161</v>
      </c>
      <c r="J1852" s="1" t="s">
        <v>481</v>
      </c>
      <c r="K1852" s="1" t="s">
        <v>2515</v>
      </c>
    </row>
    <row r="1853" spans="1:11" ht="45" x14ac:dyDescent="0.25">
      <c r="A1853" t="s">
        <v>26</v>
      </c>
      <c r="B1853" t="s">
        <v>2922</v>
      </c>
      <c r="C1853" t="s">
        <v>44</v>
      </c>
      <c r="D1853" t="s">
        <v>616</v>
      </c>
      <c r="E1853" t="s">
        <v>30</v>
      </c>
      <c r="F1853" t="s">
        <v>31</v>
      </c>
      <c r="G1853" t="s">
        <v>32</v>
      </c>
      <c r="H1853" t="s">
        <v>173</v>
      </c>
      <c r="I1853" s="1" t="s">
        <v>3162</v>
      </c>
      <c r="J1853" s="1" t="s">
        <v>1917</v>
      </c>
      <c r="K1853" s="1" t="s">
        <v>3163</v>
      </c>
    </row>
    <row r="1854" spans="1:11" ht="90" x14ac:dyDescent="0.25">
      <c r="A1854" t="s">
        <v>26</v>
      </c>
      <c r="B1854" t="s">
        <v>2922</v>
      </c>
      <c r="C1854" t="s">
        <v>96</v>
      </c>
      <c r="D1854" t="s">
        <v>1064</v>
      </c>
      <c r="E1854" t="s">
        <v>30</v>
      </c>
      <c r="F1854" t="s">
        <v>154</v>
      </c>
      <c r="G1854" t="s">
        <v>38</v>
      </c>
      <c r="H1854" t="s">
        <v>87</v>
      </c>
      <c r="I1854" s="1" t="s">
        <v>3164</v>
      </c>
      <c r="J1854" s="1" t="s">
        <v>481</v>
      </c>
    </row>
    <row r="1855" spans="1:11" ht="75" x14ac:dyDescent="0.25">
      <c r="A1855" t="s">
        <v>26</v>
      </c>
      <c r="B1855" t="s">
        <v>2922</v>
      </c>
      <c r="C1855" t="s">
        <v>44</v>
      </c>
      <c r="D1855" t="s">
        <v>616</v>
      </c>
      <c r="E1855" t="s">
        <v>30</v>
      </c>
      <c r="F1855" t="s">
        <v>102</v>
      </c>
      <c r="G1855" t="s">
        <v>32</v>
      </c>
      <c r="H1855" t="s">
        <v>173</v>
      </c>
      <c r="I1855" s="1" t="s">
        <v>3165</v>
      </c>
      <c r="J1855" s="1" t="s">
        <v>701</v>
      </c>
      <c r="K1855" s="1" t="s">
        <v>3165</v>
      </c>
    </row>
    <row r="1856" spans="1:11" ht="60" x14ac:dyDescent="0.25">
      <c r="A1856" t="s">
        <v>26</v>
      </c>
      <c r="B1856" t="s">
        <v>2922</v>
      </c>
      <c r="C1856" t="s">
        <v>44</v>
      </c>
      <c r="D1856" t="s">
        <v>165</v>
      </c>
      <c r="E1856" t="s">
        <v>30</v>
      </c>
      <c r="F1856" t="s">
        <v>543</v>
      </c>
      <c r="G1856" t="s">
        <v>32</v>
      </c>
      <c r="H1856" t="s">
        <v>87</v>
      </c>
      <c r="I1856" s="1" t="s">
        <v>3166</v>
      </c>
      <c r="J1856" s="1" t="s">
        <v>697</v>
      </c>
      <c r="K1856" s="1" t="s">
        <v>3167</v>
      </c>
    </row>
    <row r="1857" spans="1:11" ht="75" x14ac:dyDescent="0.25">
      <c r="A1857" t="s">
        <v>26</v>
      </c>
      <c r="B1857" t="s">
        <v>2922</v>
      </c>
      <c r="C1857" t="s">
        <v>85</v>
      </c>
      <c r="D1857" t="s">
        <v>1527</v>
      </c>
      <c r="E1857" t="s">
        <v>30</v>
      </c>
      <c r="F1857" t="s">
        <v>1181</v>
      </c>
      <c r="G1857" t="s">
        <v>32</v>
      </c>
      <c r="H1857" t="s">
        <v>33</v>
      </c>
      <c r="I1857" s="1" t="s">
        <v>3168</v>
      </c>
      <c r="J1857" s="1" t="s">
        <v>426</v>
      </c>
    </row>
    <row r="1858" spans="1:11" ht="45" x14ac:dyDescent="0.25">
      <c r="A1858" t="s">
        <v>26</v>
      </c>
      <c r="B1858" t="s">
        <v>2922</v>
      </c>
      <c r="C1858" t="s">
        <v>96</v>
      </c>
      <c r="D1858" t="s">
        <v>176</v>
      </c>
      <c r="E1858" t="s">
        <v>30</v>
      </c>
      <c r="F1858" t="s">
        <v>61</v>
      </c>
      <c r="G1858" t="s">
        <v>69</v>
      </c>
      <c r="H1858" t="s">
        <v>173</v>
      </c>
      <c r="I1858" s="1" t="s">
        <v>3169</v>
      </c>
      <c r="J1858" s="1" t="s">
        <v>1917</v>
      </c>
      <c r="K1858" s="1" t="s">
        <v>3170</v>
      </c>
    </row>
    <row r="1859" spans="1:11" ht="90" x14ac:dyDescent="0.25">
      <c r="A1859" t="s">
        <v>26</v>
      </c>
      <c r="B1859" t="s">
        <v>2922</v>
      </c>
      <c r="C1859" t="s">
        <v>44</v>
      </c>
      <c r="D1859" t="s">
        <v>45</v>
      </c>
      <c r="E1859" t="s">
        <v>30</v>
      </c>
      <c r="F1859" t="s">
        <v>182</v>
      </c>
      <c r="G1859" t="s">
        <v>32</v>
      </c>
      <c r="H1859" t="s">
        <v>173</v>
      </c>
      <c r="I1859" s="1" t="s">
        <v>3171</v>
      </c>
      <c r="J1859" s="1" t="s">
        <v>426</v>
      </c>
    </row>
    <row r="1860" spans="1:11" ht="105" x14ac:dyDescent="0.25">
      <c r="A1860" t="s">
        <v>26</v>
      </c>
      <c r="B1860" t="s">
        <v>2922</v>
      </c>
      <c r="C1860" t="s">
        <v>44</v>
      </c>
      <c r="D1860" t="s">
        <v>68</v>
      </c>
      <c r="E1860" t="s">
        <v>30</v>
      </c>
      <c r="F1860" t="s">
        <v>186</v>
      </c>
      <c r="G1860" t="s">
        <v>32</v>
      </c>
      <c r="H1860" t="s">
        <v>87</v>
      </c>
      <c r="I1860" s="1" t="s">
        <v>3172</v>
      </c>
      <c r="J1860" s="1" t="s">
        <v>436</v>
      </c>
    </row>
    <row r="1861" spans="1:11" ht="60" x14ac:dyDescent="0.25">
      <c r="A1861" t="s">
        <v>26</v>
      </c>
      <c r="B1861" t="s">
        <v>2922</v>
      </c>
      <c r="C1861" t="s">
        <v>85</v>
      </c>
      <c r="D1861" t="s">
        <v>1824</v>
      </c>
      <c r="E1861" t="s">
        <v>30</v>
      </c>
      <c r="F1861" t="s">
        <v>61</v>
      </c>
      <c r="G1861" t="s">
        <v>69</v>
      </c>
      <c r="H1861" t="s">
        <v>33</v>
      </c>
      <c r="I1861" s="1" t="s">
        <v>3173</v>
      </c>
      <c r="J1861" s="1" t="s">
        <v>436</v>
      </c>
    </row>
    <row r="1862" spans="1:11" ht="105" x14ac:dyDescent="0.25">
      <c r="A1862" t="s">
        <v>26</v>
      </c>
      <c r="B1862" t="s">
        <v>2922</v>
      </c>
      <c r="C1862" t="s">
        <v>235</v>
      </c>
      <c r="D1862" t="s">
        <v>327</v>
      </c>
      <c r="E1862" t="s">
        <v>30</v>
      </c>
      <c r="F1862" t="s">
        <v>189</v>
      </c>
      <c r="G1862" t="s">
        <v>69</v>
      </c>
      <c r="H1862" t="s">
        <v>33</v>
      </c>
      <c r="I1862" s="1" t="s">
        <v>3174</v>
      </c>
      <c r="J1862" s="1" t="s">
        <v>1867</v>
      </c>
      <c r="K1862" s="1" t="s">
        <v>3175</v>
      </c>
    </row>
    <row r="1863" spans="1:11" ht="45" x14ac:dyDescent="0.25">
      <c r="A1863" t="s">
        <v>26</v>
      </c>
      <c r="B1863" t="s">
        <v>2922</v>
      </c>
      <c r="C1863" t="s">
        <v>85</v>
      </c>
      <c r="D1863" t="s">
        <v>1168</v>
      </c>
      <c r="E1863" t="s">
        <v>30</v>
      </c>
      <c r="F1863" t="s">
        <v>205</v>
      </c>
      <c r="G1863" t="s">
        <v>32</v>
      </c>
      <c r="H1863" t="s">
        <v>33</v>
      </c>
      <c r="I1863" s="1" t="s">
        <v>3176</v>
      </c>
      <c r="J1863" s="1" t="s">
        <v>426</v>
      </c>
    </row>
    <row r="1864" spans="1:11" ht="90" x14ac:dyDescent="0.25">
      <c r="A1864" t="s">
        <v>26</v>
      </c>
      <c r="B1864" t="s">
        <v>2922</v>
      </c>
      <c r="C1864" t="s">
        <v>85</v>
      </c>
      <c r="D1864" t="s">
        <v>1450</v>
      </c>
      <c r="E1864" t="s">
        <v>30</v>
      </c>
      <c r="F1864" t="s">
        <v>492</v>
      </c>
      <c r="G1864" t="s">
        <v>69</v>
      </c>
      <c r="H1864" t="s">
        <v>173</v>
      </c>
      <c r="I1864" s="1" t="s">
        <v>3177</v>
      </c>
      <c r="J1864" s="1" t="s">
        <v>15</v>
      </c>
      <c r="K1864" s="1" t="s">
        <v>3178</v>
      </c>
    </row>
    <row r="1865" spans="1:11" ht="135" x14ac:dyDescent="0.25">
      <c r="A1865" t="s">
        <v>26</v>
      </c>
      <c r="B1865" t="s">
        <v>2922</v>
      </c>
      <c r="C1865" t="s">
        <v>28</v>
      </c>
      <c r="D1865" t="s">
        <v>1515</v>
      </c>
      <c r="E1865" t="s">
        <v>79</v>
      </c>
      <c r="F1865" t="s">
        <v>102</v>
      </c>
      <c r="G1865" t="s">
        <v>69</v>
      </c>
      <c r="H1865" t="s">
        <v>33</v>
      </c>
      <c r="I1865" s="1" t="s">
        <v>3179</v>
      </c>
      <c r="J1865" s="1" t="s">
        <v>689</v>
      </c>
    </row>
    <row r="1866" spans="1:11" ht="45" x14ac:dyDescent="0.25">
      <c r="A1866" t="s">
        <v>26</v>
      </c>
      <c r="B1866" t="s">
        <v>2922</v>
      </c>
      <c r="C1866" t="s">
        <v>235</v>
      </c>
      <c r="D1866" t="s">
        <v>1158</v>
      </c>
      <c r="E1866" t="s">
        <v>30</v>
      </c>
      <c r="F1866" t="s">
        <v>61</v>
      </c>
      <c r="G1866" t="s">
        <v>69</v>
      </c>
      <c r="H1866" t="s">
        <v>173</v>
      </c>
      <c r="I1866" s="1" t="s">
        <v>3180</v>
      </c>
      <c r="J1866" s="1" t="s">
        <v>16</v>
      </c>
      <c r="K1866" s="1" t="s">
        <v>3181</v>
      </c>
    </row>
    <row r="1867" spans="1:11" ht="30" x14ac:dyDescent="0.25">
      <c r="A1867" t="s">
        <v>26</v>
      </c>
      <c r="B1867" t="s">
        <v>2922</v>
      </c>
      <c r="C1867" t="s">
        <v>28</v>
      </c>
      <c r="D1867" t="s">
        <v>388</v>
      </c>
      <c r="E1867" t="s">
        <v>30</v>
      </c>
      <c r="F1867" t="s">
        <v>389</v>
      </c>
      <c r="G1867" t="s">
        <v>69</v>
      </c>
      <c r="H1867" t="s">
        <v>87</v>
      </c>
      <c r="I1867" s="1" t="s">
        <v>3182</v>
      </c>
      <c r="J1867" s="1" t="s">
        <v>15</v>
      </c>
      <c r="K1867" s="1" t="s">
        <v>3183</v>
      </c>
    </row>
    <row r="1868" spans="1:11" ht="45" x14ac:dyDescent="0.25">
      <c r="A1868" t="s">
        <v>26</v>
      </c>
      <c r="B1868" t="s">
        <v>2922</v>
      </c>
      <c r="C1868" t="s">
        <v>28</v>
      </c>
      <c r="D1868" t="s">
        <v>1761</v>
      </c>
      <c r="E1868" t="s">
        <v>30</v>
      </c>
      <c r="F1868" t="s">
        <v>61</v>
      </c>
      <c r="G1868" t="s">
        <v>32</v>
      </c>
      <c r="H1868" t="s">
        <v>87</v>
      </c>
      <c r="I1868" s="1" t="s">
        <v>3184</v>
      </c>
      <c r="J1868" s="1" t="s">
        <v>697</v>
      </c>
      <c r="K1868" s="1" t="s">
        <v>3185</v>
      </c>
    </row>
    <row r="1869" spans="1:11" ht="90" x14ac:dyDescent="0.25">
      <c r="A1869" t="s">
        <v>26</v>
      </c>
      <c r="B1869" t="s">
        <v>2922</v>
      </c>
      <c r="C1869" t="s">
        <v>28</v>
      </c>
      <c r="D1869" t="s">
        <v>522</v>
      </c>
      <c r="E1869" t="s">
        <v>30</v>
      </c>
      <c r="F1869" t="s">
        <v>290</v>
      </c>
      <c r="G1869" t="s">
        <v>32</v>
      </c>
      <c r="H1869" t="s">
        <v>33</v>
      </c>
      <c r="I1869" s="1" t="s">
        <v>3186</v>
      </c>
      <c r="J1869" s="1" t="s">
        <v>426</v>
      </c>
    </row>
    <row r="1870" spans="1:11" ht="285" x14ac:dyDescent="0.25">
      <c r="A1870" t="s">
        <v>26</v>
      </c>
      <c r="B1870" t="s">
        <v>2922</v>
      </c>
      <c r="C1870" t="s">
        <v>180</v>
      </c>
      <c r="D1870" t="s">
        <v>1105</v>
      </c>
      <c r="E1870" t="s">
        <v>30</v>
      </c>
      <c r="F1870" t="s">
        <v>189</v>
      </c>
      <c r="G1870" t="s">
        <v>69</v>
      </c>
      <c r="H1870" t="s">
        <v>87</v>
      </c>
      <c r="I1870" s="1" t="s">
        <v>3187</v>
      </c>
      <c r="J1870" s="1" t="s">
        <v>1917</v>
      </c>
      <c r="K1870" s="1" t="s">
        <v>3187</v>
      </c>
    </row>
    <row r="1871" spans="1:11" ht="75" x14ac:dyDescent="0.25">
      <c r="A1871" t="s">
        <v>26</v>
      </c>
      <c r="B1871" t="s">
        <v>2922</v>
      </c>
      <c r="C1871" t="s">
        <v>28</v>
      </c>
      <c r="D1871" t="s">
        <v>388</v>
      </c>
      <c r="E1871" t="s">
        <v>30</v>
      </c>
      <c r="F1871" t="s">
        <v>154</v>
      </c>
      <c r="G1871" t="s">
        <v>32</v>
      </c>
      <c r="H1871" t="s">
        <v>87</v>
      </c>
      <c r="I1871" s="1" t="s">
        <v>3188</v>
      </c>
      <c r="J1871" s="1" t="s">
        <v>481</v>
      </c>
      <c r="K1871" s="1" t="s">
        <v>3189</v>
      </c>
    </row>
    <row r="1872" spans="1:11" ht="30" x14ac:dyDescent="0.25">
      <c r="A1872" t="s">
        <v>26</v>
      </c>
      <c r="B1872" t="s">
        <v>2922</v>
      </c>
      <c r="C1872" t="s">
        <v>28</v>
      </c>
      <c r="D1872" t="s">
        <v>153</v>
      </c>
      <c r="E1872" t="s">
        <v>79</v>
      </c>
      <c r="F1872" t="s">
        <v>136</v>
      </c>
      <c r="G1872" t="s">
        <v>32</v>
      </c>
      <c r="H1872" t="s">
        <v>33</v>
      </c>
      <c r="I1872" s="1" t="s">
        <v>3190</v>
      </c>
      <c r="J1872" s="1" t="s">
        <v>426</v>
      </c>
    </row>
    <row r="1873" spans="1:11" ht="60" x14ac:dyDescent="0.25">
      <c r="A1873" t="s">
        <v>26</v>
      </c>
      <c r="B1873" t="s">
        <v>2922</v>
      </c>
      <c r="C1873" t="s">
        <v>28</v>
      </c>
      <c r="D1873" t="s">
        <v>1621</v>
      </c>
      <c r="E1873" t="s">
        <v>30</v>
      </c>
      <c r="F1873" t="s">
        <v>102</v>
      </c>
      <c r="G1873" t="s">
        <v>32</v>
      </c>
      <c r="H1873" t="s">
        <v>173</v>
      </c>
      <c r="I1873" s="1" t="s">
        <v>3191</v>
      </c>
      <c r="J1873" s="1" t="s">
        <v>481</v>
      </c>
    </row>
    <row r="1874" spans="1:11" ht="75" x14ac:dyDescent="0.25">
      <c r="A1874" t="s">
        <v>26</v>
      </c>
      <c r="B1874" t="s">
        <v>2922</v>
      </c>
      <c r="C1874" t="s">
        <v>69</v>
      </c>
      <c r="D1874" t="s">
        <v>160</v>
      </c>
      <c r="E1874" t="s">
        <v>30</v>
      </c>
      <c r="F1874" t="s">
        <v>290</v>
      </c>
      <c r="G1874" t="s">
        <v>81</v>
      </c>
      <c r="H1874" t="s">
        <v>173</v>
      </c>
      <c r="I1874" s="1" t="s">
        <v>3192</v>
      </c>
      <c r="J1874" s="1" t="s">
        <v>823</v>
      </c>
      <c r="K1874" s="1" t="s">
        <v>3193</v>
      </c>
    </row>
    <row r="1875" spans="1:11" ht="105" x14ac:dyDescent="0.25">
      <c r="A1875" t="s">
        <v>26</v>
      </c>
      <c r="B1875" t="s">
        <v>2922</v>
      </c>
      <c r="C1875" t="s">
        <v>55</v>
      </c>
      <c r="D1875" t="s">
        <v>56</v>
      </c>
      <c r="E1875" t="s">
        <v>30</v>
      </c>
      <c r="F1875" t="s">
        <v>492</v>
      </c>
      <c r="G1875" t="s">
        <v>81</v>
      </c>
      <c r="H1875" t="s">
        <v>87</v>
      </c>
      <c r="I1875" s="1" t="s">
        <v>3194</v>
      </c>
      <c r="J1875" s="1" t="s">
        <v>104</v>
      </c>
      <c r="K1875" s="1" t="s">
        <v>3195</v>
      </c>
    </row>
    <row r="1876" spans="1:11" ht="105" x14ac:dyDescent="0.25">
      <c r="A1876" t="s">
        <v>26</v>
      </c>
      <c r="B1876" t="s">
        <v>2922</v>
      </c>
      <c r="C1876" t="s">
        <v>28</v>
      </c>
      <c r="D1876" t="s">
        <v>946</v>
      </c>
      <c r="E1876" t="s">
        <v>30</v>
      </c>
      <c r="F1876" t="s">
        <v>205</v>
      </c>
      <c r="G1876" t="s">
        <v>32</v>
      </c>
      <c r="H1876" t="s">
        <v>173</v>
      </c>
      <c r="I1876" s="1" t="s">
        <v>3196</v>
      </c>
      <c r="J1876" s="1" t="s">
        <v>1941</v>
      </c>
      <c r="K1876" s="1" t="s">
        <v>3196</v>
      </c>
    </row>
    <row r="1877" spans="1:11" ht="105" x14ac:dyDescent="0.25">
      <c r="A1877" t="s">
        <v>26</v>
      </c>
      <c r="B1877" t="s">
        <v>2922</v>
      </c>
      <c r="C1877" t="s">
        <v>28</v>
      </c>
      <c r="D1877" t="s">
        <v>528</v>
      </c>
      <c r="E1877" t="s">
        <v>30</v>
      </c>
      <c r="F1877" t="s">
        <v>61</v>
      </c>
      <c r="G1877" t="s">
        <v>32</v>
      </c>
      <c r="H1877" t="s">
        <v>173</v>
      </c>
      <c r="I1877" s="1" t="s">
        <v>3197</v>
      </c>
      <c r="J1877" s="1" t="s">
        <v>15</v>
      </c>
      <c r="K1877" s="1" t="s">
        <v>3198</v>
      </c>
    </row>
    <row r="1878" spans="1:11" ht="105" x14ac:dyDescent="0.25">
      <c r="A1878" t="s">
        <v>26</v>
      </c>
      <c r="B1878" t="s">
        <v>2922</v>
      </c>
      <c r="C1878" t="s">
        <v>32</v>
      </c>
      <c r="D1878" t="s">
        <v>1915</v>
      </c>
      <c r="E1878" t="s">
        <v>30</v>
      </c>
      <c r="F1878" t="s">
        <v>31</v>
      </c>
      <c r="G1878" t="s">
        <v>32</v>
      </c>
      <c r="H1878" t="s">
        <v>33</v>
      </c>
      <c r="I1878" s="1" t="s">
        <v>3199</v>
      </c>
      <c r="J1878" s="1" t="s">
        <v>1867</v>
      </c>
      <c r="K1878" s="1" t="s">
        <v>2489</v>
      </c>
    </row>
    <row r="1879" spans="1:11" ht="60" x14ac:dyDescent="0.25">
      <c r="A1879" t="s">
        <v>49</v>
      </c>
      <c r="B1879" t="s">
        <v>2922</v>
      </c>
      <c r="C1879" t="s">
        <v>106</v>
      </c>
      <c r="D1879" t="s">
        <v>192</v>
      </c>
      <c r="E1879" t="s">
        <v>30</v>
      </c>
      <c r="F1879" t="s">
        <v>189</v>
      </c>
      <c r="G1879" t="s">
        <v>69</v>
      </c>
      <c r="H1879" t="s">
        <v>173</v>
      </c>
      <c r="I1879" s="1" t="s">
        <v>3200</v>
      </c>
      <c r="J1879" s="1" t="s">
        <v>2066</v>
      </c>
      <c r="K1879" s="1" t="s">
        <v>3201</v>
      </c>
    </row>
    <row r="1880" spans="1:11" ht="60" x14ac:dyDescent="0.25">
      <c r="A1880" t="s">
        <v>26</v>
      </c>
      <c r="B1880" t="s">
        <v>2922</v>
      </c>
      <c r="C1880" t="s">
        <v>55</v>
      </c>
      <c r="D1880" t="s">
        <v>929</v>
      </c>
      <c r="E1880" t="s">
        <v>30</v>
      </c>
      <c r="F1880" t="s">
        <v>119</v>
      </c>
      <c r="G1880" t="s">
        <v>32</v>
      </c>
      <c r="H1880" t="s">
        <v>173</v>
      </c>
      <c r="I1880" s="1" t="s">
        <v>3202</v>
      </c>
      <c r="J1880" s="1" t="s">
        <v>697</v>
      </c>
      <c r="K1880" s="1" t="s">
        <v>3203</v>
      </c>
    </row>
    <row r="1881" spans="1:11" ht="60" x14ac:dyDescent="0.25">
      <c r="A1881" t="s">
        <v>26</v>
      </c>
      <c r="B1881" t="s">
        <v>2922</v>
      </c>
      <c r="C1881" t="s">
        <v>28</v>
      </c>
      <c r="D1881" t="s">
        <v>153</v>
      </c>
      <c r="E1881" t="s">
        <v>30</v>
      </c>
      <c r="F1881" t="s">
        <v>52</v>
      </c>
      <c r="G1881" t="s">
        <v>81</v>
      </c>
      <c r="H1881" t="s">
        <v>173</v>
      </c>
      <c r="I1881" s="1" t="s">
        <v>3204</v>
      </c>
      <c r="J1881" s="1" t="s">
        <v>2190</v>
      </c>
      <c r="K1881" s="1" t="s">
        <v>3205</v>
      </c>
    </row>
    <row r="1882" spans="1:11" ht="105" x14ac:dyDescent="0.25">
      <c r="A1882" t="s">
        <v>26</v>
      </c>
      <c r="B1882" t="s">
        <v>2922</v>
      </c>
      <c r="C1882" t="s">
        <v>44</v>
      </c>
      <c r="D1882" t="s">
        <v>146</v>
      </c>
      <c r="E1882" t="s">
        <v>30</v>
      </c>
      <c r="F1882" t="s">
        <v>136</v>
      </c>
      <c r="G1882" t="s">
        <v>81</v>
      </c>
      <c r="H1882" t="s">
        <v>87</v>
      </c>
      <c r="I1882" s="1" t="s">
        <v>3206</v>
      </c>
      <c r="J1882" s="1" t="s">
        <v>697</v>
      </c>
      <c r="K1882" s="1" t="s">
        <v>3207</v>
      </c>
    </row>
    <row r="1883" spans="1:11" ht="30" x14ac:dyDescent="0.25">
      <c r="A1883" t="s">
        <v>49</v>
      </c>
      <c r="B1883" t="s">
        <v>2922</v>
      </c>
      <c r="C1883" t="s">
        <v>50</v>
      </c>
      <c r="D1883" t="s">
        <v>322</v>
      </c>
      <c r="E1883" t="s">
        <v>30</v>
      </c>
      <c r="F1883" t="s">
        <v>1078</v>
      </c>
      <c r="G1883" t="s">
        <v>32</v>
      </c>
      <c r="H1883" t="s">
        <v>173</v>
      </c>
      <c r="I1883" s="1" t="s">
        <v>3208</v>
      </c>
      <c r="J1883" s="1" t="s">
        <v>15</v>
      </c>
      <c r="K1883" s="1" t="s">
        <v>3209</v>
      </c>
    </row>
    <row r="1884" spans="1:11" ht="45" x14ac:dyDescent="0.25">
      <c r="A1884" t="s">
        <v>49</v>
      </c>
      <c r="B1884" t="s">
        <v>2922</v>
      </c>
      <c r="C1884" t="s">
        <v>249</v>
      </c>
      <c r="D1884" t="s">
        <v>306</v>
      </c>
      <c r="E1884" t="s">
        <v>30</v>
      </c>
      <c r="F1884" t="s">
        <v>98</v>
      </c>
      <c r="G1884" t="s">
        <v>32</v>
      </c>
      <c r="H1884" t="s">
        <v>173</v>
      </c>
      <c r="I1884" s="1" t="s">
        <v>3210</v>
      </c>
      <c r="J1884" s="1" t="s">
        <v>481</v>
      </c>
      <c r="K1884" s="1" t="s">
        <v>2812</v>
      </c>
    </row>
    <row r="1885" spans="1:11" ht="90" x14ac:dyDescent="0.25">
      <c r="A1885" t="s">
        <v>26</v>
      </c>
      <c r="B1885" t="s">
        <v>2922</v>
      </c>
      <c r="C1885" t="s">
        <v>28</v>
      </c>
      <c r="D1885" t="s">
        <v>153</v>
      </c>
      <c r="E1885" t="s">
        <v>30</v>
      </c>
      <c r="F1885" t="s">
        <v>119</v>
      </c>
      <c r="G1885" t="s">
        <v>32</v>
      </c>
      <c r="H1885" t="s">
        <v>33</v>
      </c>
      <c r="I1885" s="1" t="s">
        <v>3211</v>
      </c>
      <c r="J1885" s="1" t="s">
        <v>481</v>
      </c>
      <c r="K1885" s="1" t="s">
        <v>2489</v>
      </c>
    </row>
    <row r="1886" spans="1:11" x14ac:dyDescent="0.25">
      <c r="A1886" t="s">
        <v>26</v>
      </c>
      <c r="B1886" t="s">
        <v>2922</v>
      </c>
      <c r="C1886" t="s">
        <v>44</v>
      </c>
      <c r="D1886" t="s">
        <v>616</v>
      </c>
      <c r="E1886" t="s">
        <v>30</v>
      </c>
      <c r="F1886" t="s">
        <v>205</v>
      </c>
      <c r="G1886" t="s">
        <v>32</v>
      </c>
      <c r="H1886" t="s">
        <v>173</v>
      </c>
      <c r="I1886" s="1" t="s">
        <v>3212</v>
      </c>
      <c r="J1886" s="1" t="s">
        <v>15</v>
      </c>
    </row>
    <row r="1887" spans="1:11" ht="60" x14ac:dyDescent="0.25">
      <c r="A1887" t="s">
        <v>49</v>
      </c>
      <c r="B1887" t="s">
        <v>2922</v>
      </c>
      <c r="C1887" t="s">
        <v>85</v>
      </c>
      <c r="D1887" t="s">
        <v>519</v>
      </c>
      <c r="E1887" t="s">
        <v>30</v>
      </c>
      <c r="F1887" t="s">
        <v>389</v>
      </c>
      <c r="G1887" t="s">
        <v>32</v>
      </c>
      <c r="H1887" t="s">
        <v>33</v>
      </c>
      <c r="I1887" s="1" t="s">
        <v>3213</v>
      </c>
      <c r="J1887" s="1" t="s">
        <v>426</v>
      </c>
    </row>
    <row r="1888" spans="1:11" ht="60" x14ac:dyDescent="0.25">
      <c r="A1888" t="s">
        <v>49</v>
      </c>
      <c r="B1888" t="s">
        <v>2922</v>
      </c>
      <c r="C1888" t="s">
        <v>73</v>
      </c>
      <c r="D1888" t="s">
        <v>3214</v>
      </c>
      <c r="E1888" t="s">
        <v>30</v>
      </c>
      <c r="F1888" t="s">
        <v>177</v>
      </c>
      <c r="G1888" t="s">
        <v>32</v>
      </c>
      <c r="H1888" t="s">
        <v>33</v>
      </c>
      <c r="I1888" s="1" t="s">
        <v>3215</v>
      </c>
      <c r="J1888" s="1" t="s">
        <v>14</v>
      </c>
      <c r="K1888" s="1" t="s">
        <v>3216</v>
      </c>
    </row>
    <row r="1889" spans="1:11" ht="45" x14ac:dyDescent="0.25">
      <c r="A1889" t="s">
        <v>49</v>
      </c>
      <c r="B1889" t="s">
        <v>2922</v>
      </c>
      <c r="C1889" t="s">
        <v>73</v>
      </c>
      <c r="D1889" t="s">
        <v>1147</v>
      </c>
      <c r="E1889" t="s">
        <v>30</v>
      </c>
      <c r="F1889" t="s">
        <v>112</v>
      </c>
      <c r="G1889" t="s">
        <v>32</v>
      </c>
      <c r="H1889" t="s">
        <v>173</v>
      </c>
      <c r="I1889" s="1" t="s">
        <v>3217</v>
      </c>
      <c r="J1889" s="1" t="s">
        <v>17</v>
      </c>
      <c r="K1889" s="1" t="s">
        <v>3032</v>
      </c>
    </row>
    <row r="1890" spans="1:11" ht="60" x14ac:dyDescent="0.25">
      <c r="A1890" t="s">
        <v>26</v>
      </c>
      <c r="B1890" t="s">
        <v>2922</v>
      </c>
      <c r="C1890" t="s">
        <v>44</v>
      </c>
      <c r="D1890" t="s">
        <v>754</v>
      </c>
      <c r="E1890" t="s">
        <v>30</v>
      </c>
      <c r="F1890" t="s">
        <v>40</v>
      </c>
      <c r="G1890" t="s">
        <v>32</v>
      </c>
      <c r="H1890" t="s">
        <v>173</v>
      </c>
      <c r="I1890" s="1" t="s">
        <v>3218</v>
      </c>
      <c r="J1890" s="1" t="s">
        <v>1849</v>
      </c>
      <c r="K1890" s="1" t="s">
        <v>3219</v>
      </c>
    </row>
    <row r="1891" spans="1:11" ht="105" x14ac:dyDescent="0.25">
      <c r="A1891" t="s">
        <v>49</v>
      </c>
      <c r="B1891" t="s">
        <v>2922</v>
      </c>
      <c r="C1891" t="s">
        <v>28</v>
      </c>
      <c r="D1891" t="s">
        <v>528</v>
      </c>
      <c r="E1891" t="s">
        <v>30</v>
      </c>
      <c r="F1891" t="s">
        <v>46</v>
      </c>
      <c r="G1891" t="s">
        <v>32</v>
      </c>
      <c r="H1891" t="s">
        <v>33</v>
      </c>
      <c r="I1891" s="1" t="s">
        <v>3220</v>
      </c>
      <c r="J1891" s="1" t="s">
        <v>426</v>
      </c>
    </row>
    <row r="1892" spans="1:11" ht="60" x14ac:dyDescent="0.25">
      <c r="A1892" t="s">
        <v>49</v>
      </c>
      <c r="B1892" t="s">
        <v>2922</v>
      </c>
      <c r="C1892" t="s">
        <v>106</v>
      </c>
      <c r="D1892" t="s">
        <v>1315</v>
      </c>
      <c r="E1892" t="s">
        <v>30</v>
      </c>
      <c r="F1892" t="s">
        <v>287</v>
      </c>
      <c r="G1892" t="s">
        <v>32</v>
      </c>
      <c r="H1892" t="s">
        <v>87</v>
      </c>
      <c r="I1892" s="1" t="s">
        <v>3221</v>
      </c>
      <c r="J1892" s="1" t="s">
        <v>15</v>
      </c>
      <c r="K1892" s="1" t="s">
        <v>3222</v>
      </c>
    </row>
    <row r="1893" spans="1:11" ht="105" x14ac:dyDescent="0.25">
      <c r="A1893" t="s">
        <v>49</v>
      </c>
      <c r="B1893" t="s">
        <v>2922</v>
      </c>
      <c r="C1893" t="s">
        <v>96</v>
      </c>
      <c r="D1893" t="s">
        <v>769</v>
      </c>
      <c r="E1893" t="s">
        <v>30</v>
      </c>
      <c r="F1893" t="s">
        <v>154</v>
      </c>
      <c r="G1893" t="s">
        <v>32</v>
      </c>
      <c r="H1893" t="s">
        <v>33</v>
      </c>
      <c r="I1893" s="1" t="s">
        <v>3223</v>
      </c>
      <c r="J1893" s="1" t="s">
        <v>426</v>
      </c>
    </row>
    <row r="1894" spans="1:11" ht="120" x14ac:dyDescent="0.25">
      <c r="A1894" t="s">
        <v>26</v>
      </c>
      <c r="B1894" t="s">
        <v>2922</v>
      </c>
      <c r="C1894" t="s">
        <v>28</v>
      </c>
      <c r="D1894" t="s">
        <v>528</v>
      </c>
      <c r="E1894" t="s">
        <v>30</v>
      </c>
      <c r="F1894" t="s">
        <v>166</v>
      </c>
      <c r="G1894" t="s">
        <v>69</v>
      </c>
      <c r="H1894" t="s">
        <v>173</v>
      </c>
      <c r="I1894" s="1" t="s">
        <v>3224</v>
      </c>
      <c r="J1894" s="1" t="s">
        <v>1917</v>
      </c>
      <c r="K1894" s="1" t="s">
        <v>3224</v>
      </c>
    </row>
    <row r="1895" spans="1:11" ht="105" x14ac:dyDescent="0.25">
      <c r="A1895" t="s">
        <v>49</v>
      </c>
      <c r="B1895" t="s">
        <v>2922</v>
      </c>
      <c r="C1895" t="s">
        <v>28</v>
      </c>
      <c r="D1895" t="s">
        <v>1888</v>
      </c>
      <c r="E1895" t="s">
        <v>30</v>
      </c>
      <c r="F1895" t="s">
        <v>417</v>
      </c>
      <c r="G1895" t="s">
        <v>32</v>
      </c>
      <c r="H1895" t="s">
        <v>173</v>
      </c>
      <c r="I1895" s="1" t="s">
        <v>3225</v>
      </c>
      <c r="J1895" s="1" t="s">
        <v>689</v>
      </c>
    </row>
    <row r="1896" spans="1:11" ht="105" x14ac:dyDescent="0.25">
      <c r="A1896" t="s">
        <v>49</v>
      </c>
      <c r="B1896" t="s">
        <v>2922</v>
      </c>
      <c r="C1896" t="s">
        <v>96</v>
      </c>
      <c r="D1896" t="s">
        <v>201</v>
      </c>
      <c r="E1896" t="s">
        <v>30</v>
      </c>
      <c r="F1896" t="s">
        <v>154</v>
      </c>
      <c r="G1896" t="s">
        <v>69</v>
      </c>
      <c r="H1896" t="s">
        <v>87</v>
      </c>
      <c r="I1896" s="1" t="s">
        <v>3226</v>
      </c>
      <c r="J1896" s="1" t="s">
        <v>781</v>
      </c>
      <c r="K1896" s="1" t="s">
        <v>3227</v>
      </c>
    </row>
    <row r="1897" spans="1:11" ht="105" x14ac:dyDescent="0.25">
      <c r="A1897" t="s">
        <v>49</v>
      </c>
      <c r="B1897" t="s">
        <v>2922</v>
      </c>
      <c r="C1897" t="s">
        <v>96</v>
      </c>
      <c r="D1897" t="s">
        <v>3228</v>
      </c>
      <c r="E1897" t="s">
        <v>30</v>
      </c>
      <c r="F1897" t="s">
        <v>119</v>
      </c>
      <c r="G1897" t="s">
        <v>32</v>
      </c>
      <c r="H1897" t="s">
        <v>87</v>
      </c>
      <c r="I1897" s="1" t="s">
        <v>3229</v>
      </c>
      <c r="J1897" s="1" t="s">
        <v>697</v>
      </c>
      <c r="K1897" s="1" t="s">
        <v>3230</v>
      </c>
    </row>
    <row r="1898" spans="1:11" ht="60" x14ac:dyDescent="0.25">
      <c r="A1898" t="s">
        <v>26</v>
      </c>
      <c r="B1898" t="s">
        <v>2922</v>
      </c>
      <c r="C1898" t="s">
        <v>28</v>
      </c>
      <c r="D1898" t="s">
        <v>129</v>
      </c>
      <c r="E1898" t="s">
        <v>79</v>
      </c>
      <c r="F1898" t="s">
        <v>40</v>
      </c>
      <c r="G1898" t="s">
        <v>32</v>
      </c>
      <c r="H1898" t="s">
        <v>173</v>
      </c>
      <c r="I1898" s="1" t="s">
        <v>3231</v>
      </c>
      <c r="J1898" s="1" t="s">
        <v>481</v>
      </c>
    </row>
    <row r="1899" spans="1:11" ht="30" x14ac:dyDescent="0.25">
      <c r="A1899" t="s">
        <v>49</v>
      </c>
      <c r="B1899" t="s">
        <v>2922</v>
      </c>
      <c r="C1899" t="s">
        <v>55</v>
      </c>
      <c r="D1899" t="s">
        <v>965</v>
      </c>
      <c r="E1899" t="s">
        <v>30</v>
      </c>
      <c r="F1899" t="s">
        <v>246</v>
      </c>
      <c r="G1899" t="s">
        <v>69</v>
      </c>
      <c r="H1899" t="s">
        <v>33</v>
      </c>
      <c r="I1899" s="1" t="s">
        <v>3232</v>
      </c>
      <c r="J1899" s="1" t="s">
        <v>426</v>
      </c>
    </row>
    <row r="1900" spans="1:11" ht="30" x14ac:dyDescent="0.25">
      <c r="A1900" t="s">
        <v>49</v>
      </c>
      <c r="B1900" t="s">
        <v>2922</v>
      </c>
      <c r="C1900" t="s">
        <v>235</v>
      </c>
      <c r="D1900" t="s">
        <v>3233</v>
      </c>
      <c r="E1900" t="s">
        <v>30</v>
      </c>
      <c r="F1900" t="s">
        <v>186</v>
      </c>
      <c r="G1900" t="s">
        <v>32</v>
      </c>
      <c r="H1900" t="s">
        <v>33</v>
      </c>
      <c r="I1900" s="1" t="s">
        <v>3234</v>
      </c>
      <c r="J1900" s="1" t="s">
        <v>481</v>
      </c>
      <c r="K1900" s="1" t="s">
        <v>2489</v>
      </c>
    </row>
    <row r="1901" spans="1:11" ht="45" x14ac:dyDescent="0.25">
      <c r="A1901" t="s">
        <v>49</v>
      </c>
      <c r="B1901" t="s">
        <v>2922</v>
      </c>
      <c r="C1901" t="s">
        <v>38</v>
      </c>
      <c r="D1901" t="s">
        <v>466</v>
      </c>
      <c r="E1901" t="s">
        <v>30</v>
      </c>
      <c r="F1901" t="s">
        <v>307</v>
      </c>
      <c r="G1901" t="s">
        <v>32</v>
      </c>
      <c r="H1901" t="s">
        <v>33</v>
      </c>
      <c r="I1901" s="1" t="s">
        <v>3235</v>
      </c>
      <c r="J1901" s="1" t="s">
        <v>426</v>
      </c>
    </row>
    <row r="1902" spans="1:11" ht="105" x14ac:dyDescent="0.25">
      <c r="A1902" t="s">
        <v>26</v>
      </c>
      <c r="B1902" t="s">
        <v>2922</v>
      </c>
      <c r="C1902" t="s">
        <v>28</v>
      </c>
      <c r="D1902" t="s">
        <v>129</v>
      </c>
      <c r="E1902" t="s">
        <v>30</v>
      </c>
      <c r="F1902" t="s">
        <v>61</v>
      </c>
      <c r="G1902" t="s">
        <v>81</v>
      </c>
      <c r="H1902" t="s">
        <v>87</v>
      </c>
      <c r="I1902" s="1" t="s">
        <v>3236</v>
      </c>
      <c r="J1902" s="1" t="s">
        <v>15</v>
      </c>
      <c r="K1902" s="1" t="s">
        <v>3198</v>
      </c>
    </row>
    <row r="1903" spans="1:11" ht="105" x14ac:dyDescent="0.25">
      <c r="A1903" t="s">
        <v>37</v>
      </c>
      <c r="B1903" t="s">
        <v>2922</v>
      </c>
      <c r="C1903" t="s">
        <v>263</v>
      </c>
      <c r="D1903" t="s">
        <v>3237</v>
      </c>
      <c r="E1903" t="s">
        <v>30</v>
      </c>
      <c r="F1903" t="s">
        <v>205</v>
      </c>
      <c r="G1903" t="s">
        <v>32</v>
      </c>
      <c r="H1903" t="s">
        <v>87</v>
      </c>
      <c r="I1903" s="1" t="s">
        <v>3238</v>
      </c>
      <c r="J1903" s="1" t="s">
        <v>15</v>
      </c>
    </row>
    <row r="1904" spans="1:11" ht="30" x14ac:dyDescent="0.25">
      <c r="A1904" t="s">
        <v>49</v>
      </c>
      <c r="B1904" t="s">
        <v>2922</v>
      </c>
      <c r="C1904" t="s">
        <v>28</v>
      </c>
      <c r="D1904" t="s">
        <v>763</v>
      </c>
      <c r="E1904" t="s">
        <v>30</v>
      </c>
      <c r="F1904" t="s">
        <v>94</v>
      </c>
      <c r="G1904" t="s">
        <v>32</v>
      </c>
      <c r="H1904" t="s">
        <v>173</v>
      </c>
      <c r="I1904" s="1" t="s">
        <v>3239</v>
      </c>
      <c r="J1904" s="1" t="s">
        <v>15</v>
      </c>
    </row>
    <row r="1905" spans="1:11" ht="75" x14ac:dyDescent="0.25">
      <c r="A1905" t="s">
        <v>49</v>
      </c>
      <c r="B1905" t="s">
        <v>2922</v>
      </c>
      <c r="C1905" t="s">
        <v>69</v>
      </c>
      <c r="D1905" t="s">
        <v>2211</v>
      </c>
      <c r="E1905" t="s">
        <v>30</v>
      </c>
      <c r="F1905" t="s">
        <v>543</v>
      </c>
      <c r="G1905" t="s">
        <v>69</v>
      </c>
      <c r="H1905" t="s">
        <v>87</v>
      </c>
      <c r="I1905" s="1" t="s">
        <v>3240</v>
      </c>
      <c r="J1905" s="1" t="s">
        <v>697</v>
      </c>
      <c r="K1905" s="1" t="s">
        <v>3241</v>
      </c>
    </row>
    <row r="1906" spans="1:11" ht="120" x14ac:dyDescent="0.25">
      <c r="A1906" t="s">
        <v>26</v>
      </c>
      <c r="B1906" t="s">
        <v>2922</v>
      </c>
      <c r="C1906" t="s">
        <v>28</v>
      </c>
      <c r="D1906" t="s">
        <v>943</v>
      </c>
      <c r="E1906" t="s">
        <v>30</v>
      </c>
      <c r="F1906" t="s">
        <v>94</v>
      </c>
      <c r="G1906" t="s">
        <v>32</v>
      </c>
      <c r="H1906" t="s">
        <v>33</v>
      </c>
      <c r="I1906" s="1" t="s">
        <v>3242</v>
      </c>
      <c r="J1906" s="1" t="s">
        <v>426</v>
      </c>
    </row>
    <row r="1907" spans="1:11" ht="45" x14ac:dyDescent="0.25">
      <c r="A1907" t="s">
        <v>37</v>
      </c>
      <c r="B1907" t="s">
        <v>2922</v>
      </c>
      <c r="C1907" t="s">
        <v>263</v>
      </c>
      <c r="D1907" t="s">
        <v>841</v>
      </c>
      <c r="E1907" t="s">
        <v>79</v>
      </c>
      <c r="F1907" t="s">
        <v>52</v>
      </c>
      <c r="G1907" t="s">
        <v>32</v>
      </c>
      <c r="H1907" t="s">
        <v>33</v>
      </c>
      <c r="I1907" s="1" t="s">
        <v>3243</v>
      </c>
      <c r="J1907" s="1" t="s">
        <v>426</v>
      </c>
    </row>
    <row r="1908" spans="1:11" ht="75" x14ac:dyDescent="0.25">
      <c r="A1908" t="s">
        <v>37</v>
      </c>
      <c r="B1908" t="s">
        <v>2922</v>
      </c>
      <c r="C1908" t="s">
        <v>106</v>
      </c>
      <c r="D1908" t="s">
        <v>118</v>
      </c>
      <c r="E1908" t="s">
        <v>30</v>
      </c>
      <c r="F1908" t="s">
        <v>365</v>
      </c>
      <c r="G1908" t="s">
        <v>69</v>
      </c>
      <c r="H1908" t="s">
        <v>87</v>
      </c>
      <c r="I1908" s="1" t="s">
        <v>3244</v>
      </c>
      <c r="J1908" s="1" t="s">
        <v>697</v>
      </c>
      <c r="K1908" s="1" t="s">
        <v>3244</v>
      </c>
    </row>
    <row r="1909" spans="1:11" ht="90" x14ac:dyDescent="0.25">
      <c r="A1909" t="s">
        <v>49</v>
      </c>
      <c r="B1909" t="s">
        <v>2922</v>
      </c>
      <c r="C1909" t="s">
        <v>28</v>
      </c>
      <c r="D1909" t="s">
        <v>715</v>
      </c>
      <c r="E1909" t="s">
        <v>30</v>
      </c>
      <c r="F1909" t="s">
        <v>112</v>
      </c>
      <c r="G1909" t="s">
        <v>32</v>
      </c>
      <c r="H1909" t="s">
        <v>173</v>
      </c>
      <c r="I1909" s="1" t="s">
        <v>3245</v>
      </c>
      <c r="J1909" s="1" t="s">
        <v>17</v>
      </c>
      <c r="K1909" s="1" t="s">
        <v>3246</v>
      </c>
    </row>
    <row r="1910" spans="1:11" ht="30" x14ac:dyDescent="0.25">
      <c r="A1910" t="s">
        <v>49</v>
      </c>
      <c r="B1910" t="s">
        <v>2922</v>
      </c>
      <c r="C1910" t="s">
        <v>106</v>
      </c>
      <c r="D1910" t="s">
        <v>539</v>
      </c>
      <c r="E1910" t="s">
        <v>30</v>
      </c>
      <c r="F1910" t="s">
        <v>205</v>
      </c>
      <c r="G1910" t="s">
        <v>69</v>
      </c>
      <c r="H1910" t="s">
        <v>33</v>
      </c>
      <c r="I1910" s="1" t="s">
        <v>3247</v>
      </c>
      <c r="J1910" s="1" t="s">
        <v>15</v>
      </c>
      <c r="K1910" s="1" t="s">
        <v>3247</v>
      </c>
    </row>
    <row r="1911" spans="1:11" ht="75" x14ac:dyDescent="0.25">
      <c r="A1911" t="s">
        <v>37</v>
      </c>
      <c r="B1911" t="s">
        <v>2922</v>
      </c>
      <c r="C1911" t="s">
        <v>235</v>
      </c>
      <c r="D1911" t="s">
        <v>3248</v>
      </c>
      <c r="E1911" t="s">
        <v>30</v>
      </c>
      <c r="F1911" t="s">
        <v>61</v>
      </c>
      <c r="G1911" t="s">
        <v>32</v>
      </c>
      <c r="H1911" t="s">
        <v>33</v>
      </c>
      <c r="I1911" s="1" t="s">
        <v>3249</v>
      </c>
      <c r="J1911" s="1" t="s">
        <v>426</v>
      </c>
    </row>
    <row r="1912" spans="1:11" ht="90" x14ac:dyDescent="0.25">
      <c r="A1912" t="s">
        <v>37</v>
      </c>
      <c r="B1912" t="s">
        <v>2922</v>
      </c>
      <c r="C1912" t="s">
        <v>69</v>
      </c>
      <c r="D1912" t="s">
        <v>3250</v>
      </c>
      <c r="E1912" t="s">
        <v>30</v>
      </c>
      <c r="F1912" t="s">
        <v>287</v>
      </c>
      <c r="G1912" t="s">
        <v>32</v>
      </c>
      <c r="H1912" t="s">
        <v>33</v>
      </c>
      <c r="I1912" s="1" t="s">
        <v>3251</v>
      </c>
      <c r="J1912" s="1" t="s">
        <v>426</v>
      </c>
    </row>
    <row r="1913" spans="1:11" ht="195" x14ac:dyDescent="0.25">
      <c r="A1913" t="s">
        <v>49</v>
      </c>
      <c r="B1913" t="s">
        <v>2922</v>
      </c>
      <c r="C1913" t="s">
        <v>28</v>
      </c>
      <c r="D1913" t="s">
        <v>1630</v>
      </c>
      <c r="E1913" t="s">
        <v>30</v>
      </c>
      <c r="F1913" t="s">
        <v>196</v>
      </c>
      <c r="G1913" t="s">
        <v>32</v>
      </c>
      <c r="H1913" t="s">
        <v>33</v>
      </c>
      <c r="I1913" s="1" t="s">
        <v>3252</v>
      </c>
      <c r="J1913" s="1" t="s">
        <v>21</v>
      </c>
      <c r="K1913" s="1" t="s">
        <v>3253</v>
      </c>
    </row>
    <row r="1914" spans="1:11" ht="105" x14ac:dyDescent="0.25">
      <c r="A1914" t="s">
        <v>49</v>
      </c>
      <c r="B1914" t="s">
        <v>2922</v>
      </c>
      <c r="C1914" t="s">
        <v>106</v>
      </c>
      <c r="D1914" t="s">
        <v>1315</v>
      </c>
      <c r="E1914" t="s">
        <v>30</v>
      </c>
      <c r="F1914" t="s">
        <v>196</v>
      </c>
      <c r="G1914" t="s">
        <v>69</v>
      </c>
      <c r="H1914" t="s">
        <v>87</v>
      </c>
      <c r="I1914" s="1" t="s">
        <v>3254</v>
      </c>
      <c r="J1914" s="1" t="s">
        <v>2149</v>
      </c>
      <c r="K1914" s="1" t="s">
        <v>3255</v>
      </c>
    </row>
    <row r="1915" spans="1:11" ht="105" x14ac:dyDescent="0.25">
      <c r="A1915" t="s">
        <v>37</v>
      </c>
      <c r="B1915" t="s">
        <v>2922</v>
      </c>
      <c r="C1915" t="s">
        <v>69</v>
      </c>
      <c r="D1915" t="s">
        <v>1074</v>
      </c>
      <c r="E1915" t="s">
        <v>30</v>
      </c>
      <c r="F1915" t="s">
        <v>136</v>
      </c>
      <c r="G1915" t="s">
        <v>81</v>
      </c>
      <c r="H1915" t="s">
        <v>87</v>
      </c>
      <c r="I1915" s="1" t="s">
        <v>3256</v>
      </c>
      <c r="J1915" s="1" t="s">
        <v>104</v>
      </c>
      <c r="K1915" s="1" t="s">
        <v>3257</v>
      </c>
    </row>
    <row r="1916" spans="1:11" x14ac:dyDescent="0.25">
      <c r="A1916" t="s">
        <v>37</v>
      </c>
      <c r="B1916" t="s">
        <v>2922</v>
      </c>
      <c r="C1916" t="s">
        <v>69</v>
      </c>
      <c r="D1916" t="s">
        <v>297</v>
      </c>
      <c r="E1916" t="s">
        <v>30</v>
      </c>
      <c r="F1916" t="s">
        <v>216</v>
      </c>
      <c r="G1916" t="s">
        <v>81</v>
      </c>
      <c r="H1916" t="s">
        <v>173</v>
      </c>
      <c r="I1916" s="1" t="s">
        <v>3258</v>
      </c>
      <c r="J1916" s="1" t="s">
        <v>426</v>
      </c>
    </row>
    <row r="1917" spans="1:11" ht="30" x14ac:dyDescent="0.25">
      <c r="A1917" t="s">
        <v>49</v>
      </c>
      <c r="B1917" t="s">
        <v>2922</v>
      </c>
      <c r="C1917" t="s">
        <v>28</v>
      </c>
      <c r="D1917" t="s">
        <v>751</v>
      </c>
      <c r="E1917" t="s">
        <v>79</v>
      </c>
      <c r="F1917" t="s">
        <v>182</v>
      </c>
      <c r="G1917" t="s">
        <v>32</v>
      </c>
      <c r="H1917" t="s">
        <v>173</v>
      </c>
      <c r="I1917" s="1" t="s">
        <v>3259</v>
      </c>
      <c r="J1917" s="1" t="s">
        <v>15</v>
      </c>
      <c r="K1917" s="1" t="s">
        <v>3260</v>
      </c>
    </row>
    <row r="1918" spans="1:11" ht="30" x14ac:dyDescent="0.25">
      <c r="A1918" t="s">
        <v>49</v>
      </c>
      <c r="B1918" t="s">
        <v>2922</v>
      </c>
      <c r="C1918" t="s">
        <v>106</v>
      </c>
      <c r="D1918" t="s">
        <v>1084</v>
      </c>
      <c r="E1918" t="s">
        <v>30</v>
      </c>
      <c r="F1918" t="s">
        <v>136</v>
      </c>
      <c r="G1918" t="s">
        <v>32</v>
      </c>
      <c r="H1918" t="s">
        <v>173</v>
      </c>
      <c r="I1918" s="1" t="s">
        <v>3261</v>
      </c>
      <c r="J1918" s="1" t="s">
        <v>15</v>
      </c>
      <c r="K1918" s="1" t="s">
        <v>3262</v>
      </c>
    </row>
    <row r="1919" spans="1:11" ht="105" x14ac:dyDescent="0.25">
      <c r="A1919" t="s">
        <v>37</v>
      </c>
      <c r="B1919" t="s">
        <v>2922</v>
      </c>
      <c r="C1919" t="s">
        <v>44</v>
      </c>
      <c r="D1919" t="s">
        <v>45</v>
      </c>
      <c r="E1919" t="s">
        <v>79</v>
      </c>
      <c r="F1919" t="s">
        <v>389</v>
      </c>
      <c r="G1919" t="s">
        <v>81</v>
      </c>
      <c r="H1919" t="s">
        <v>33</v>
      </c>
      <c r="I1919" s="1" t="s">
        <v>3263</v>
      </c>
      <c r="J1919" s="1" t="s">
        <v>2006</v>
      </c>
      <c r="K1919" s="1" t="s">
        <v>3264</v>
      </c>
    </row>
    <row r="1920" spans="1:11" ht="60" x14ac:dyDescent="0.25">
      <c r="A1920" t="s">
        <v>37</v>
      </c>
      <c r="B1920" t="s">
        <v>2922</v>
      </c>
      <c r="C1920" t="s">
        <v>85</v>
      </c>
      <c r="D1920" t="s">
        <v>1450</v>
      </c>
      <c r="E1920" t="s">
        <v>30</v>
      </c>
      <c r="F1920" t="s">
        <v>287</v>
      </c>
      <c r="G1920" t="s">
        <v>32</v>
      </c>
      <c r="H1920" t="s">
        <v>33</v>
      </c>
      <c r="I1920" s="1" t="s">
        <v>3265</v>
      </c>
      <c r="J1920" s="1" t="s">
        <v>2284</v>
      </c>
      <c r="K1920" s="1" t="s">
        <v>3260</v>
      </c>
    </row>
    <row r="1921" spans="1:11" ht="90" x14ac:dyDescent="0.25">
      <c r="A1921" t="s">
        <v>91</v>
      </c>
      <c r="B1921" t="s">
        <v>2922</v>
      </c>
      <c r="C1921" t="s">
        <v>50</v>
      </c>
      <c r="D1921" t="s">
        <v>569</v>
      </c>
      <c r="E1921" t="s">
        <v>30</v>
      </c>
      <c r="F1921" t="s">
        <v>112</v>
      </c>
      <c r="G1921" t="s">
        <v>32</v>
      </c>
      <c r="H1921" t="s">
        <v>173</v>
      </c>
      <c r="I1921" s="1" t="s">
        <v>3266</v>
      </c>
      <c r="J1921" s="1" t="s">
        <v>426</v>
      </c>
    </row>
    <row r="1922" spans="1:11" ht="135" x14ac:dyDescent="0.25">
      <c r="A1922" t="s">
        <v>49</v>
      </c>
      <c r="B1922" t="s">
        <v>2922</v>
      </c>
      <c r="C1922" t="s">
        <v>235</v>
      </c>
      <c r="D1922" t="s">
        <v>1256</v>
      </c>
      <c r="E1922" t="s">
        <v>30</v>
      </c>
      <c r="F1922" t="s">
        <v>130</v>
      </c>
      <c r="G1922" t="s">
        <v>69</v>
      </c>
      <c r="H1922" t="s">
        <v>87</v>
      </c>
      <c r="I1922" s="1" t="s">
        <v>3267</v>
      </c>
      <c r="J1922" s="1" t="s">
        <v>104</v>
      </c>
      <c r="K1922" s="1" t="s">
        <v>3015</v>
      </c>
    </row>
    <row r="1923" spans="1:11" x14ac:dyDescent="0.25">
      <c r="A1923" t="s">
        <v>37</v>
      </c>
      <c r="B1923" t="s">
        <v>2922</v>
      </c>
      <c r="C1923" t="s">
        <v>28</v>
      </c>
      <c r="D1923" t="s">
        <v>1387</v>
      </c>
      <c r="E1923" t="s">
        <v>30</v>
      </c>
      <c r="F1923" t="s">
        <v>189</v>
      </c>
      <c r="G1923" t="s">
        <v>32</v>
      </c>
      <c r="H1923" t="s">
        <v>87</v>
      </c>
      <c r="I1923" s="1" t="s">
        <v>3268</v>
      </c>
      <c r="J1923" s="1" t="s">
        <v>15</v>
      </c>
    </row>
    <row r="1924" spans="1:11" ht="105" x14ac:dyDescent="0.25">
      <c r="A1924" t="s">
        <v>37</v>
      </c>
      <c r="B1924" t="s">
        <v>2922</v>
      </c>
      <c r="C1924" t="s">
        <v>28</v>
      </c>
      <c r="D1924" t="s">
        <v>571</v>
      </c>
      <c r="E1924" t="s">
        <v>79</v>
      </c>
      <c r="F1924" t="s">
        <v>587</v>
      </c>
      <c r="G1924" t="s">
        <v>81</v>
      </c>
      <c r="H1924" t="s">
        <v>87</v>
      </c>
      <c r="I1924" s="1" t="s">
        <v>3269</v>
      </c>
      <c r="J1924" s="1" t="s">
        <v>481</v>
      </c>
    </row>
    <row r="1925" spans="1:11" ht="30" x14ac:dyDescent="0.25">
      <c r="A1925" t="s">
        <v>59</v>
      </c>
      <c r="B1925" t="s">
        <v>2922</v>
      </c>
      <c r="C1925" t="s">
        <v>106</v>
      </c>
      <c r="D1925" t="s">
        <v>107</v>
      </c>
      <c r="E1925" t="s">
        <v>30</v>
      </c>
      <c r="F1925" t="s">
        <v>196</v>
      </c>
      <c r="G1925" t="s">
        <v>32</v>
      </c>
      <c r="H1925" t="s">
        <v>87</v>
      </c>
      <c r="I1925" s="1" t="s">
        <v>3270</v>
      </c>
      <c r="J1925" s="1" t="s">
        <v>89</v>
      </c>
      <c r="K1925" s="1" t="s">
        <v>3271</v>
      </c>
    </row>
    <row r="1926" spans="1:11" ht="90" x14ac:dyDescent="0.25">
      <c r="A1926" t="s">
        <v>49</v>
      </c>
      <c r="B1926" t="s">
        <v>2922</v>
      </c>
      <c r="C1926" t="s">
        <v>44</v>
      </c>
      <c r="D1926" t="s">
        <v>45</v>
      </c>
      <c r="E1926" t="s">
        <v>30</v>
      </c>
      <c r="F1926" t="s">
        <v>446</v>
      </c>
      <c r="G1926" t="s">
        <v>81</v>
      </c>
      <c r="H1926" t="s">
        <v>173</v>
      </c>
      <c r="I1926" s="1" t="s">
        <v>3272</v>
      </c>
      <c r="J1926" s="1" t="s">
        <v>15</v>
      </c>
      <c r="K1926" s="1" t="s">
        <v>3273</v>
      </c>
    </row>
    <row r="1927" spans="1:11" ht="30" x14ac:dyDescent="0.25">
      <c r="A1927" t="s">
        <v>37</v>
      </c>
      <c r="B1927" t="s">
        <v>2922</v>
      </c>
      <c r="C1927" t="s">
        <v>55</v>
      </c>
      <c r="D1927" t="s">
        <v>382</v>
      </c>
      <c r="E1927" t="s">
        <v>30</v>
      </c>
      <c r="F1927" t="s">
        <v>389</v>
      </c>
      <c r="G1927" t="s">
        <v>32</v>
      </c>
      <c r="H1927" t="s">
        <v>33</v>
      </c>
      <c r="I1927" s="1" t="s">
        <v>3274</v>
      </c>
      <c r="J1927" s="1" t="s">
        <v>426</v>
      </c>
    </row>
    <row r="1928" spans="1:11" ht="90" x14ac:dyDescent="0.25">
      <c r="A1928" t="s">
        <v>49</v>
      </c>
      <c r="B1928" t="s">
        <v>2922</v>
      </c>
      <c r="C1928" t="s">
        <v>28</v>
      </c>
      <c r="D1928" t="s">
        <v>528</v>
      </c>
      <c r="E1928" t="s">
        <v>30</v>
      </c>
      <c r="F1928" t="s">
        <v>216</v>
      </c>
      <c r="G1928" t="s">
        <v>81</v>
      </c>
      <c r="H1928" t="s">
        <v>173</v>
      </c>
      <c r="I1928" s="1" t="s">
        <v>3275</v>
      </c>
      <c r="J1928" s="1" t="s">
        <v>2190</v>
      </c>
      <c r="K1928" s="1" t="s">
        <v>3276</v>
      </c>
    </row>
    <row r="1929" spans="1:11" ht="90" x14ac:dyDescent="0.25">
      <c r="A1929" t="s">
        <v>59</v>
      </c>
      <c r="B1929" t="s">
        <v>2922</v>
      </c>
      <c r="C1929" t="s">
        <v>106</v>
      </c>
      <c r="D1929" t="s">
        <v>779</v>
      </c>
      <c r="E1929" t="s">
        <v>30</v>
      </c>
      <c r="F1929" t="s">
        <v>130</v>
      </c>
      <c r="G1929" t="s">
        <v>32</v>
      </c>
      <c r="H1929" t="s">
        <v>33</v>
      </c>
      <c r="I1929" s="1" t="s">
        <v>3277</v>
      </c>
      <c r="J1929" s="1" t="s">
        <v>738</v>
      </c>
      <c r="K1929" s="1" t="s">
        <v>3278</v>
      </c>
    </row>
    <row r="1930" spans="1:11" ht="105" x14ac:dyDescent="0.25">
      <c r="A1930" t="s">
        <v>37</v>
      </c>
      <c r="B1930" t="s">
        <v>2922</v>
      </c>
      <c r="C1930" t="s">
        <v>92</v>
      </c>
      <c r="D1930" t="s">
        <v>111</v>
      </c>
      <c r="E1930" t="s">
        <v>30</v>
      </c>
      <c r="F1930" t="s">
        <v>186</v>
      </c>
      <c r="G1930" t="s">
        <v>69</v>
      </c>
      <c r="H1930" t="s">
        <v>87</v>
      </c>
      <c r="I1930" s="1" t="s">
        <v>3279</v>
      </c>
      <c r="J1930" s="1" t="s">
        <v>436</v>
      </c>
    </row>
    <row r="1931" spans="1:11" ht="30" x14ac:dyDescent="0.25">
      <c r="A1931" t="s">
        <v>64</v>
      </c>
      <c r="B1931" t="s">
        <v>2922</v>
      </c>
      <c r="C1931" t="s">
        <v>85</v>
      </c>
      <c r="D1931" t="s">
        <v>1824</v>
      </c>
      <c r="E1931" t="s">
        <v>30</v>
      </c>
      <c r="F1931" t="s">
        <v>119</v>
      </c>
      <c r="G1931" t="s">
        <v>32</v>
      </c>
      <c r="H1931" t="s">
        <v>33</v>
      </c>
      <c r="I1931" s="1" t="s">
        <v>3280</v>
      </c>
      <c r="J1931" s="1" t="s">
        <v>426</v>
      </c>
    </row>
    <row r="1932" spans="1:11" ht="90" x14ac:dyDescent="0.25">
      <c r="A1932" t="s">
        <v>37</v>
      </c>
      <c r="B1932" t="s">
        <v>2922</v>
      </c>
      <c r="C1932" t="s">
        <v>92</v>
      </c>
      <c r="D1932" t="s">
        <v>3281</v>
      </c>
      <c r="E1932" t="s">
        <v>79</v>
      </c>
      <c r="F1932" t="s">
        <v>119</v>
      </c>
      <c r="G1932" t="s">
        <v>32</v>
      </c>
      <c r="H1932" t="s">
        <v>33</v>
      </c>
      <c r="I1932" s="1" t="s">
        <v>3282</v>
      </c>
      <c r="J1932" s="1" t="s">
        <v>426</v>
      </c>
    </row>
    <row r="1933" spans="1:11" ht="105" x14ac:dyDescent="0.25">
      <c r="A1933" t="s">
        <v>37</v>
      </c>
      <c r="B1933" t="s">
        <v>2922</v>
      </c>
      <c r="C1933" t="s">
        <v>180</v>
      </c>
      <c r="D1933" t="s">
        <v>698</v>
      </c>
      <c r="E1933" t="s">
        <v>30</v>
      </c>
      <c r="F1933" t="s">
        <v>119</v>
      </c>
      <c r="G1933" t="s">
        <v>32</v>
      </c>
      <c r="H1933" t="s">
        <v>87</v>
      </c>
      <c r="I1933" s="1" t="s">
        <v>3283</v>
      </c>
      <c r="J1933" s="1" t="s">
        <v>238</v>
      </c>
      <c r="K1933" s="1" t="s">
        <v>3284</v>
      </c>
    </row>
    <row r="1934" spans="1:11" ht="105" x14ac:dyDescent="0.25">
      <c r="A1934" t="s">
        <v>37</v>
      </c>
      <c r="B1934" t="s">
        <v>2922</v>
      </c>
      <c r="C1934" t="s">
        <v>106</v>
      </c>
      <c r="D1934" t="s">
        <v>605</v>
      </c>
      <c r="E1934" t="s">
        <v>30</v>
      </c>
      <c r="F1934" t="s">
        <v>108</v>
      </c>
      <c r="G1934" t="s">
        <v>38</v>
      </c>
      <c r="H1934" t="s">
        <v>87</v>
      </c>
      <c r="I1934" s="1" t="s">
        <v>3285</v>
      </c>
      <c r="J1934" s="1" t="s">
        <v>481</v>
      </c>
    </row>
    <row r="1935" spans="1:11" ht="60" x14ac:dyDescent="0.25">
      <c r="A1935" t="s">
        <v>37</v>
      </c>
      <c r="B1935" t="s">
        <v>2922</v>
      </c>
      <c r="C1935" t="s">
        <v>44</v>
      </c>
      <c r="D1935" t="s">
        <v>146</v>
      </c>
      <c r="E1935" t="s">
        <v>30</v>
      </c>
      <c r="F1935" t="s">
        <v>492</v>
      </c>
      <c r="G1935" t="s">
        <v>69</v>
      </c>
      <c r="H1935" t="s">
        <v>87</v>
      </c>
      <c r="I1935" s="1" t="s">
        <v>3286</v>
      </c>
      <c r="J1935" s="1" t="s">
        <v>697</v>
      </c>
      <c r="K1935" s="1" t="s">
        <v>3287</v>
      </c>
    </row>
    <row r="1936" spans="1:11" ht="120" x14ac:dyDescent="0.25">
      <c r="A1936" t="s">
        <v>37</v>
      </c>
      <c r="B1936" t="s">
        <v>2922</v>
      </c>
      <c r="C1936" t="s">
        <v>96</v>
      </c>
      <c r="D1936" t="s">
        <v>676</v>
      </c>
      <c r="E1936" t="s">
        <v>30</v>
      </c>
      <c r="F1936" t="s">
        <v>112</v>
      </c>
      <c r="G1936" t="s">
        <v>69</v>
      </c>
      <c r="H1936" t="s">
        <v>87</v>
      </c>
      <c r="I1936" s="1" t="s">
        <v>3288</v>
      </c>
      <c r="J1936" s="1" t="s">
        <v>1917</v>
      </c>
      <c r="K1936" s="1" t="s">
        <v>3289</v>
      </c>
    </row>
    <row r="1937" spans="1:11" ht="90" x14ac:dyDescent="0.25">
      <c r="A1937" t="s">
        <v>37</v>
      </c>
      <c r="B1937" t="s">
        <v>2922</v>
      </c>
      <c r="C1937" t="s">
        <v>44</v>
      </c>
      <c r="D1937" t="s">
        <v>514</v>
      </c>
      <c r="E1937" t="s">
        <v>30</v>
      </c>
      <c r="F1937" t="s">
        <v>119</v>
      </c>
      <c r="G1937" t="s">
        <v>69</v>
      </c>
      <c r="H1937" t="s">
        <v>33</v>
      </c>
      <c r="I1937" s="1" t="s">
        <v>3290</v>
      </c>
      <c r="J1937" s="1" t="s">
        <v>1917</v>
      </c>
      <c r="K1937" s="1" t="s">
        <v>3291</v>
      </c>
    </row>
    <row r="1938" spans="1:11" ht="90" x14ac:dyDescent="0.25">
      <c r="A1938" t="s">
        <v>37</v>
      </c>
      <c r="B1938" t="s">
        <v>2922</v>
      </c>
      <c r="C1938" t="s">
        <v>96</v>
      </c>
      <c r="D1938" t="s">
        <v>232</v>
      </c>
      <c r="E1938" t="s">
        <v>30</v>
      </c>
      <c r="F1938" t="s">
        <v>216</v>
      </c>
      <c r="G1938" t="s">
        <v>69</v>
      </c>
      <c r="H1938" t="s">
        <v>87</v>
      </c>
      <c r="I1938" s="1" t="s">
        <v>3292</v>
      </c>
      <c r="J1938" s="1" t="s">
        <v>15</v>
      </c>
    </row>
    <row r="1939" spans="1:11" ht="105" x14ac:dyDescent="0.25">
      <c r="A1939" t="s">
        <v>64</v>
      </c>
      <c r="B1939" t="s">
        <v>2922</v>
      </c>
      <c r="C1939" t="s">
        <v>263</v>
      </c>
      <c r="D1939" t="s">
        <v>1739</v>
      </c>
      <c r="E1939" t="s">
        <v>30</v>
      </c>
      <c r="F1939" t="s">
        <v>182</v>
      </c>
      <c r="G1939" t="s">
        <v>32</v>
      </c>
      <c r="H1939" t="s">
        <v>33</v>
      </c>
      <c r="I1939" s="1" t="s">
        <v>3293</v>
      </c>
      <c r="J1939" s="1" t="s">
        <v>426</v>
      </c>
    </row>
    <row r="1940" spans="1:11" ht="165" x14ac:dyDescent="0.25">
      <c r="A1940" t="s">
        <v>37</v>
      </c>
      <c r="B1940" t="s">
        <v>2922</v>
      </c>
      <c r="C1940" t="s">
        <v>50</v>
      </c>
      <c r="D1940" t="s">
        <v>1604</v>
      </c>
      <c r="E1940" t="s">
        <v>30</v>
      </c>
      <c r="F1940" t="s">
        <v>154</v>
      </c>
      <c r="G1940" t="s">
        <v>81</v>
      </c>
      <c r="H1940" t="s">
        <v>173</v>
      </c>
      <c r="I1940" s="1" t="s">
        <v>3294</v>
      </c>
      <c r="J1940" s="1" t="s">
        <v>426</v>
      </c>
    </row>
    <row r="1941" spans="1:11" ht="105" x14ac:dyDescent="0.25">
      <c r="A1941" t="s">
        <v>64</v>
      </c>
      <c r="B1941" t="s">
        <v>2922</v>
      </c>
      <c r="C1941" t="s">
        <v>73</v>
      </c>
      <c r="D1941" t="s">
        <v>1774</v>
      </c>
      <c r="E1941" t="s">
        <v>30</v>
      </c>
      <c r="F1941" t="s">
        <v>209</v>
      </c>
      <c r="G1941" t="s">
        <v>69</v>
      </c>
      <c r="H1941" t="s">
        <v>173</v>
      </c>
      <c r="I1941" s="1" t="s">
        <v>3295</v>
      </c>
      <c r="J1941" s="1" t="s">
        <v>1917</v>
      </c>
      <c r="K1941" s="1" t="s">
        <v>3296</v>
      </c>
    </row>
    <row r="1942" spans="1:11" ht="75" x14ac:dyDescent="0.25">
      <c r="A1942" t="s">
        <v>64</v>
      </c>
      <c r="B1942" t="s">
        <v>2922</v>
      </c>
      <c r="C1942" t="s">
        <v>240</v>
      </c>
      <c r="D1942" t="s">
        <v>1404</v>
      </c>
      <c r="E1942" t="s">
        <v>30</v>
      </c>
      <c r="F1942" t="s">
        <v>216</v>
      </c>
      <c r="G1942" t="s">
        <v>69</v>
      </c>
      <c r="H1942" t="s">
        <v>173</v>
      </c>
      <c r="I1942" s="1" t="s">
        <v>3297</v>
      </c>
      <c r="J1942" s="1" t="s">
        <v>1951</v>
      </c>
      <c r="K1942" s="1" t="s">
        <v>3298</v>
      </c>
    </row>
    <row r="1943" spans="1:11" ht="105" x14ac:dyDescent="0.25">
      <c r="A1943" t="s">
        <v>26</v>
      </c>
      <c r="B1943" t="s">
        <v>2904</v>
      </c>
      <c r="C1943" t="s">
        <v>263</v>
      </c>
      <c r="D1943" t="s">
        <v>650</v>
      </c>
      <c r="E1943" t="s">
        <v>30</v>
      </c>
      <c r="F1943" t="s">
        <v>140</v>
      </c>
      <c r="G1943" t="s">
        <v>32</v>
      </c>
      <c r="H1943" t="s">
        <v>87</v>
      </c>
      <c r="I1943" s="1" t="s">
        <v>3299</v>
      </c>
      <c r="J1943" s="1" t="s">
        <v>1917</v>
      </c>
      <c r="K1943" s="1" t="s">
        <v>3300</v>
      </c>
    </row>
    <row r="1944" spans="1:11" ht="165" x14ac:dyDescent="0.25">
      <c r="A1944" t="s">
        <v>26</v>
      </c>
      <c r="B1944" t="s">
        <v>2904</v>
      </c>
      <c r="C1944" t="s">
        <v>263</v>
      </c>
      <c r="D1944" t="s">
        <v>1253</v>
      </c>
      <c r="E1944" t="s">
        <v>30</v>
      </c>
      <c r="F1944" t="s">
        <v>147</v>
      </c>
      <c r="G1944" t="s">
        <v>81</v>
      </c>
      <c r="H1944" t="s">
        <v>87</v>
      </c>
      <c r="I1944" s="1" t="s">
        <v>3301</v>
      </c>
      <c r="J1944" s="1" t="s">
        <v>823</v>
      </c>
      <c r="K1944" s="1" t="s">
        <v>3302</v>
      </c>
    </row>
    <row r="1945" spans="1:11" ht="135" x14ac:dyDescent="0.25">
      <c r="A1945" t="s">
        <v>26</v>
      </c>
      <c r="B1945" t="s">
        <v>2904</v>
      </c>
      <c r="C1945" t="s">
        <v>73</v>
      </c>
      <c r="D1945" t="s">
        <v>157</v>
      </c>
      <c r="E1945" t="s">
        <v>30</v>
      </c>
      <c r="F1945" t="s">
        <v>543</v>
      </c>
      <c r="G1945" t="s">
        <v>32</v>
      </c>
      <c r="H1945" t="s">
        <v>87</v>
      </c>
      <c r="I1945" s="1" t="s">
        <v>3303</v>
      </c>
      <c r="J1945" s="1" t="s">
        <v>15</v>
      </c>
      <c r="K1945" s="1" t="s">
        <v>3304</v>
      </c>
    </row>
    <row r="1946" spans="1:11" ht="60" x14ac:dyDescent="0.25">
      <c r="A1946" t="s">
        <v>26</v>
      </c>
      <c r="B1946" t="s">
        <v>2904</v>
      </c>
      <c r="C1946" t="s">
        <v>235</v>
      </c>
      <c r="D1946" t="s">
        <v>1002</v>
      </c>
      <c r="E1946" t="s">
        <v>30</v>
      </c>
      <c r="F1946" t="s">
        <v>205</v>
      </c>
      <c r="G1946" t="s">
        <v>32</v>
      </c>
      <c r="H1946" t="s">
        <v>33</v>
      </c>
      <c r="I1946" s="1" t="s">
        <v>3305</v>
      </c>
      <c r="J1946" s="1" t="s">
        <v>689</v>
      </c>
      <c r="K1946" s="1" t="s">
        <v>3306</v>
      </c>
    </row>
    <row r="1947" spans="1:11" ht="105" x14ac:dyDescent="0.25">
      <c r="A1947" t="s">
        <v>26</v>
      </c>
      <c r="B1947" t="s">
        <v>2904</v>
      </c>
      <c r="C1947" t="s">
        <v>50</v>
      </c>
      <c r="D1947" t="s">
        <v>60</v>
      </c>
      <c r="E1947" t="s">
        <v>30</v>
      </c>
      <c r="F1947" t="s">
        <v>52</v>
      </c>
      <c r="G1947" t="s">
        <v>32</v>
      </c>
      <c r="H1947" t="s">
        <v>173</v>
      </c>
      <c r="I1947" s="1" t="s">
        <v>3307</v>
      </c>
      <c r="J1947" s="1" t="s">
        <v>426</v>
      </c>
    </row>
    <row r="1948" spans="1:11" ht="105" x14ac:dyDescent="0.25">
      <c r="A1948" t="s">
        <v>26</v>
      </c>
      <c r="B1948" t="s">
        <v>2904</v>
      </c>
      <c r="C1948" t="s">
        <v>249</v>
      </c>
      <c r="D1948" t="s">
        <v>1695</v>
      </c>
      <c r="E1948" t="s">
        <v>30</v>
      </c>
      <c r="F1948" t="s">
        <v>166</v>
      </c>
      <c r="G1948" t="s">
        <v>69</v>
      </c>
      <c r="H1948" t="s">
        <v>33</v>
      </c>
      <c r="I1948" s="1" t="s">
        <v>3308</v>
      </c>
      <c r="J1948" s="1" t="s">
        <v>426</v>
      </c>
      <c r="K1948" s="1" t="s">
        <v>3309</v>
      </c>
    </row>
    <row r="1949" spans="1:11" ht="45" x14ac:dyDescent="0.25">
      <c r="A1949" t="s">
        <v>26</v>
      </c>
      <c r="B1949" t="s">
        <v>2904</v>
      </c>
      <c r="C1949" t="s">
        <v>73</v>
      </c>
      <c r="D1949" t="s">
        <v>857</v>
      </c>
      <c r="E1949" t="s">
        <v>79</v>
      </c>
      <c r="F1949" t="s">
        <v>216</v>
      </c>
      <c r="G1949" t="s">
        <v>32</v>
      </c>
      <c r="H1949" t="s">
        <v>33</v>
      </c>
      <c r="I1949" s="1" t="s">
        <v>3310</v>
      </c>
      <c r="J1949" s="1" t="s">
        <v>426</v>
      </c>
    </row>
    <row r="1950" spans="1:11" ht="105" x14ac:dyDescent="0.25">
      <c r="A1950" t="s">
        <v>26</v>
      </c>
      <c r="B1950" t="s">
        <v>2904</v>
      </c>
      <c r="C1950" t="s">
        <v>180</v>
      </c>
      <c r="D1950" t="s">
        <v>1722</v>
      </c>
      <c r="E1950" t="s">
        <v>30</v>
      </c>
      <c r="F1950" t="s">
        <v>561</v>
      </c>
      <c r="G1950" t="s">
        <v>32</v>
      </c>
      <c r="H1950" t="s">
        <v>173</v>
      </c>
      <c r="I1950" s="1" t="s">
        <v>3311</v>
      </c>
      <c r="J1950" s="1" t="s">
        <v>426</v>
      </c>
    </row>
    <row r="1951" spans="1:11" ht="75" x14ac:dyDescent="0.25">
      <c r="A1951" t="s">
        <v>26</v>
      </c>
      <c r="B1951" t="s">
        <v>2904</v>
      </c>
      <c r="C1951" t="s">
        <v>69</v>
      </c>
      <c r="D1951" t="s">
        <v>160</v>
      </c>
      <c r="E1951" t="s">
        <v>30</v>
      </c>
      <c r="F1951" t="s">
        <v>61</v>
      </c>
      <c r="G1951" t="s">
        <v>69</v>
      </c>
      <c r="H1951" t="s">
        <v>173</v>
      </c>
      <c r="I1951" s="1" t="s">
        <v>3312</v>
      </c>
      <c r="J1951" s="1" t="s">
        <v>3313</v>
      </c>
      <c r="K1951" s="1" t="s">
        <v>3314</v>
      </c>
    </row>
    <row r="1952" spans="1:11" ht="210" x14ac:dyDescent="0.25">
      <c r="A1952" t="s">
        <v>26</v>
      </c>
      <c r="B1952" t="s">
        <v>2904</v>
      </c>
      <c r="C1952" t="s">
        <v>73</v>
      </c>
      <c r="D1952" t="s">
        <v>678</v>
      </c>
      <c r="E1952" t="s">
        <v>30</v>
      </c>
      <c r="F1952" t="s">
        <v>94</v>
      </c>
      <c r="G1952" t="s">
        <v>32</v>
      </c>
      <c r="H1952" t="s">
        <v>173</v>
      </c>
      <c r="I1952" s="1" t="s">
        <v>3315</v>
      </c>
      <c r="J1952" s="1" t="s">
        <v>3316</v>
      </c>
      <c r="K1952" s="1" t="s">
        <v>3317</v>
      </c>
    </row>
    <row r="1953" spans="1:11" ht="105" x14ac:dyDescent="0.25">
      <c r="A1953" t="s">
        <v>26</v>
      </c>
      <c r="B1953" t="s">
        <v>2904</v>
      </c>
      <c r="C1953" t="s">
        <v>96</v>
      </c>
      <c r="D1953" t="s">
        <v>3318</v>
      </c>
      <c r="E1953" t="s">
        <v>30</v>
      </c>
      <c r="F1953" t="s">
        <v>205</v>
      </c>
      <c r="G1953" t="s">
        <v>69</v>
      </c>
      <c r="H1953" t="s">
        <v>33</v>
      </c>
      <c r="I1953" s="1" t="s">
        <v>3319</v>
      </c>
      <c r="J1953" s="1" t="s">
        <v>426</v>
      </c>
    </row>
    <row r="1954" spans="1:11" ht="45" x14ac:dyDescent="0.25">
      <c r="A1954" t="s">
        <v>26</v>
      </c>
      <c r="B1954" t="s">
        <v>2904</v>
      </c>
      <c r="C1954" t="s">
        <v>69</v>
      </c>
      <c r="D1954" t="s">
        <v>500</v>
      </c>
      <c r="E1954" t="s">
        <v>30</v>
      </c>
      <c r="F1954" t="s">
        <v>287</v>
      </c>
      <c r="G1954" t="s">
        <v>69</v>
      </c>
      <c r="H1954" t="s">
        <v>33</v>
      </c>
      <c r="I1954" s="1" t="s">
        <v>3320</v>
      </c>
      <c r="J1954" s="1" t="s">
        <v>426</v>
      </c>
    </row>
    <row r="1955" spans="1:11" ht="45" x14ac:dyDescent="0.25">
      <c r="A1955" t="s">
        <v>26</v>
      </c>
      <c r="B1955" t="s">
        <v>2904</v>
      </c>
      <c r="C1955" t="s">
        <v>32</v>
      </c>
      <c r="D1955" t="s">
        <v>101</v>
      </c>
      <c r="E1955" t="s">
        <v>30</v>
      </c>
      <c r="F1955" t="s">
        <v>223</v>
      </c>
      <c r="G1955" t="s">
        <v>69</v>
      </c>
      <c r="H1955" t="s">
        <v>33</v>
      </c>
      <c r="I1955" s="1" t="s">
        <v>3321</v>
      </c>
      <c r="J1955" s="1" t="s">
        <v>2284</v>
      </c>
      <c r="K1955" s="1" t="s">
        <v>3322</v>
      </c>
    </row>
    <row r="1956" spans="1:11" ht="105" x14ac:dyDescent="0.25">
      <c r="A1956" t="s">
        <v>26</v>
      </c>
      <c r="B1956" t="s">
        <v>2904</v>
      </c>
      <c r="C1956" t="s">
        <v>73</v>
      </c>
      <c r="D1956" t="s">
        <v>862</v>
      </c>
      <c r="E1956" t="s">
        <v>30</v>
      </c>
      <c r="F1956" t="s">
        <v>209</v>
      </c>
      <c r="G1956" t="s">
        <v>81</v>
      </c>
      <c r="H1956" t="s">
        <v>173</v>
      </c>
      <c r="I1956" s="1" t="s">
        <v>3323</v>
      </c>
      <c r="J1956" s="1" t="s">
        <v>15</v>
      </c>
      <c r="K1956" s="1" t="s">
        <v>3324</v>
      </c>
    </row>
    <row r="1957" spans="1:11" ht="120" x14ac:dyDescent="0.25">
      <c r="A1957" t="s">
        <v>26</v>
      </c>
      <c r="B1957" t="s">
        <v>2904</v>
      </c>
      <c r="C1957" t="s">
        <v>96</v>
      </c>
      <c r="D1957" t="s">
        <v>176</v>
      </c>
      <c r="E1957" t="s">
        <v>30</v>
      </c>
      <c r="F1957" t="s">
        <v>205</v>
      </c>
      <c r="G1957" t="s">
        <v>81</v>
      </c>
      <c r="H1957" t="s">
        <v>87</v>
      </c>
      <c r="I1957" s="1" t="s">
        <v>3325</v>
      </c>
      <c r="J1957" s="1" t="s">
        <v>15</v>
      </c>
      <c r="K1957" s="1" t="s">
        <v>3326</v>
      </c>
    </row>
    <row r="1958" spans="1:11" ht="45" x14ac:dyDescent="0.25">
      <c r="A1958" t="s">
        <v>26</v>
      </c>
      <c r="B1958" t="s">
        <v>2904</v>
      </c>
      <c r="C1958" t="s">
        <v>44</v>
      </c>
      <c r="D1958" t="s">
        <v>1806</v>
      </c>
      <c r="E1958" t="s">
        <v>79</v>
      </c>
      <c r="F1958" t="s">
        <v>40</v>
      </c>
      <c r="G1958" t="s">
        <v>32</v>
      </c>
      <c r="H1958" t="s">
        <v>33</v>
      </c>
      <c r="I1958" s="1" t="s">
        <v>3327</v>
      </c>
      <c r="J1958" s="1" t="s">
        <v>426</v>
      </c>
    </row>
    <row r="1959" spans="1:11" ht="90" x14ac:dyDescent="0.25">
      <c r="A1959" t="s">
        <v>26</v>
      </c>
      <c r="B1959" t="s">
        <v>2904</v>
      </c>
      <c r="C1959" t="s">
        <v>44</v>
      </c>
      <c r="D1959" t="s">
        <v>2232</v>
      </c>
      <c r="E1959" t="s">
        <v>79</v>
      </c>
      <c r="F1959" t="s">
        <v>1103</v>
      </c>
      <c r="G1959" t="s">
        <v>32</v>
      </c>
      <c r="H1959" t="s">
        <v>33</v>
      </c>
      <c r="I1959" s="1" t="s">
        <v>3328</v>
      </c>
      <c r="J1959" s="1" t="s">
        <v>2642</v>
      </c>
      <c r="K1959" s="1" t="s">
        <v>3329</v>
      </c>
    </row>
    <row r="1960" spans="1:11" ht="105" x14ac:dyDescent="0.25">
      <c r="A1960" t="s">
        <v>26</v>
      </c>
      <c r="B1960" t="s">
        <v>2904</v>
      </c>
      <c r="C1960" t="s">
        <v>472</v>
      </c>
      <c r="D1960" t="s">
        <v>839</v>
      </c>
      <c r="E1960" t="s">
        <v>30</v>
      </c>
      <c r="F1960" t="s">
        <v>94</v>
      </c>
      <c r="G1960" t="s">
        <v>81</v>
      </c>
      <c r="H1960" t="s">
        <v>87</v>
      </c>
      <c r="I1960" s="1" t="s">
        <v>3330</v>
      </c>
      <c r="J1960" s="1" t="s">
        <v>15</v>
      </c>
      <c r="K1960" s="1" t="s">
        <v>3326</v>
      </c>
    </row>
    <row r="1961" spans="1:11" ht="105" x14ac:dyDescent="0.25">
      <c r="A1961" t="s">
        <v>26</v>
      </c>
      <c r="B1961" t="s">
        <v>2904</v>
      </c>
      <c r="C1961" t="s">
        <v>96</v>
      </c>
      <c r="D1961" t="s">
        <v>97</v>
      </c>
      <c r="E1961" t="s">
        <v>30</v>
      </c>
      <c r="F1961" t="s">
        <v>365</v>
      </c>
      <c r="G1961" t="s">
        <v>32</v>
      </c>
      <c r="H1961" t="s">
        <v>173</v>
      </c>
      <c r="I1961" s="1" t="s">
        <v>3331</v>
      </c>
      <c r="J1961" s="1" t="s">
        <v>481</v>
      </c>
      <c r="K1961" s="1" t="s">
        <v>3332</v>
      </c>
    </row>
    <row r="1962" spans="1:11" ht="75" x14ac:dyDescent="0.25">
      <c r="A1962" t="s">
        <v>26</v>
      </c>
      <c r="B1962" t="s">
        <v>2904</v>
      </c>
      <c r="C1962" t="s">
        <v>55</v>
      </c>
      <c r="D1962" t="s">
        <v>479</v>
      </c>
      <c r="E1962" t="s">
        <v>30</v>
      </c>
      <c r="F1962" t="s">
        <v>102</v>
      </c>
      <c r="G1962" t="s">
        <v>32</v>
      </c>
      <c r="H1962" t="s">
        <v>33</v>
      </c>
      <c r="I1962" s="1" t="s">
        <v>3333</v>
      </c>
      <c r="J1962" s="1" t="s">
        <v>426</v>
      </c>
    </row>
    <row r="1963" spans="1:11" ht="45" x14ac:dyDescent="0.25">
      <c r="A1963" t="s">
        <v>26</v>
      </c>
      <c r="B1963" t="s">
        <v>2904</v>
      </c>
      <c r="C1963" t="s">
        <v>44</v>
      </c>
      <c r="D1963" t="s">
        <v>622</v>
      </c>
      <c r="E1963" t="s">
        <v>30</v>
      </c>
      <c r="F1963" t="s">
        <v>290</v>
      </c>
      <c r="G1963" t="s">
        <v>32</v>
      </c>
      <c r="H1963" t="s">
        <v>87</v>
      </c>
      <c r="I1963" s="1" t="s">
        <v>3334</v>
      </c>
      <c r="J1963" s="1" t="s">
        <v>436</v>
      </c>
    </row>
    <row r="1964" spans="1:11" ht="30" x14ac:dyDescent="0.25">
      <c r="A1964" t="s">
        <v>26</v>
      </c>
      <c r="B1964" t="s">
        <v>2904</v>
      </c>
      <c r="C1964" t="s">
        <v>50</v>
      </c>
      <c r="D1964" t="s">
        <v>226</v>
      </c>
      <c r="E1964" t="s">
        <v>30</v>
      </c>
      <c r="F1964" t="s">
        <v>61</v>
      </c>
      <c r="G1964" t="s">
        <v>32</v>
      </c>
      <c r="H1964" t="s">
        <v>173</v>
      </c>
      <c r="I1964" s="1" t="s">
        <v>3335</v>
      </c>
      <c r="J1964" s="1" t="s">
        <v>17</v>
      </c>
      <c r="K1964" s="1" t="s">
        <v>3336</v>
      </c>
    </row>
    <row r="1965" spans="1:11" ht="90" x14ac:dyDescent="0.25">
      <c r="A1965" t="s">
        <v>26</v>
      </c>
      <c r="B1965" t="s">
        <v>2904</v>
      </c>
      <c r="C1965" t="s">
        <v>472</v>
      </c>
      <c r="D1965" t="s">
        <v>690</v>
      </c>
      <c r="E1965" t="s">
        <v>30</v>
      </c>
      <c r="F1965" t="s">
        <v>61</v>
      </c>
      <c r="G1965" t="s">
        <v>32</v>
      </c>
      <c r="H1965" t="s">
        <v>87</v>
      </c>
      <c r="I1965" s="1" t="s">
        <v>3337</v>
      </c>
      <c r="J1965" s="1" t="s">
        <v>481</v>
      </c>
      <c r="K1965" s="1" t="s">
        <v>3332</v>
      </c>
    </row>
    <row r="1966" spans="1:11" ht="30" x14ac:dyDescent="0.25">
      <c r="A1966" t="s">
        <v>26</v>
      </c>
      <c r="B1966" t="s">
        <v>2904</v>
      </c>
      <c r="C1966" t="s">
        <v>55</v>
      </c>
      <c r="D1966" t="s">
        <v>3338</v>
      </c>
      <c r="E1966" t="s">
        <v>30</v>
      </c>
      <c r="F1966" t="s">
        <v>108</v>
      </c>
      <c r="G1966" t="s">
        <v>32</v>
      </c>
      <c r="H1966" t="s">
        <v>33</v>
      </c>
      <c r="I1966" s="1" t="s">
        <v>3339</v>
      </c>
      <c r="J1966" s="1" t="s">
        <v>426</v>
      </c>
    </row>
    <row r="1967" spans="1:11" ht="45" x14ac:dyDescent="0.25">
      <c r="A1967" t="s">
        <v>49</v>
      </c>
      <c r="B1967" t="s">
        <v>2904</v>
      </c>
      <c r="C1967" t="s">
        <v>235</v>
      </c>
      <c r="D1967" t="s">
        <v>1158</v>
      </c>
      <c r="E1967" t="s">
        <v>30</v>
      </c>
      <c r="F1967" t="s">
        <v>446</v>
      </c>
      <c r="G1967" t="s">
        <v>32</v>
      </c>
      <c r="H1967" t="s">
        <v>87</v>
      </c>
      <c r="I1967" s="1" t="s">
        <v>3340</v>
      </c>
      <c r="J1967" s="1" t="s">
        <v>15</v>
      </c>
      <c r="K1967" s="1" t="s">
        <v>3341</v>
      </c>
    </row>
    <row r="1968" spans="1:11" ht="45" x14ac:dyDescent="0.25">
      <c r="A1968" t="s">
        <v>26</v>
      </c>
      <c r="B1968" t="s">
        <v>2904</v>
      </c>
      <c r="C1968" t="s">
        <v>50</v>
      </c>
      <c r="D1968" t="s">
        <v>362</v>
      </c>
      <c r="E1968" t="s">
        <v>30</v>
      </c>
      <c r="F1968" t="s">
        <v>389</v>
      </c>
      <c r="G1968" t="s">
        <v>32</v>
      </c>
      <c r="H1968" t="s">
        <v>33</v>
      </c>
      <c r="I1968" s="1" t="s">
        <v>3342</v>
      </c>
      <c r="J1968" s="1" t="s">
        <v>426</v>
      </c>
    </row>
    <row r="1969" spans="1:11" ht="90" x14ac:dyDescent="0.25">
      <c r="A1969" t="s">
        <v>26</v>
      </c>
      <c r="B1969" t="s">
        <v>2904</v>
      </c>
      <c r="C1969" t="s">
        <v>50</v>
      </c>
      <c r="D1969" t="s">
        <v>1183</v>
      </c>
      <c r="E1969" t="s">
        <v>30</v>
      </c>
      <c r="F1969" t="s">
        <v>602</v>
      </c>
      <c r="G1969" t="s">
        <v>32</v>
      </c>
      <c r="H1969" t="s">
        <v>173</v>
      </c>
      <c r="I1969" s="1" t="s">
        <v>3343</v>
      </c>
      <c r="J1969" s="1" t="s">
        <v>17</v>
      </c>
      <c r="K1969" s="1" t="s">
        <v>3344</v>
      </c>
    </row>
    <row r="1970" spans="1:11" ht="30" x14ac:dyDescent="0.25">
      <c r="A1970" t="s">
        <v>49</v>
      </c>
      <c r="B1970" t="s">
        <v>2904</v>
      </c>
      <c r="C1970" t="s">
        <v>240</v>
      </c>
      <c r="D1970" t="s">
        <v>703</v>
      </c>
      <c r="E1970" t="s">
        <v>30</v>
      </c>
      <c r="F1970" t="s">
        <v>126</v>
      </c>
      <c r="G1970" t="s">
        <v>69</v>
      </c>
      <c r="H1970" t="s">
        <v>87</v>
      </c>
      <c r="I1970" s="1" t="s">
        <v>3345</v>
      </c>
      <c r="J1970" s="1" t="s">
        <v>436</v>
      </c>
    </row>
    <row r="1971" spans="1:11" ht="75" x14ac:dyDescent="0.25">
      <c r="A1971" t="s">
        <v>49</v>
      </c>
      <c r="B1971" t="s">
        <v>2904</v>
      </c>
      <c r="C1971" t="s">
        <v>85</v>
      </c>
      <c r="D1971" t="s">
        <v>1230</v>
      </c>
      <c r="E1971" t="s">
        <v>30</v>
      </c>
      <c r="F1971" t="s">
        <v>154</v>
      </c>
      <c r="G1971" t="s">
        <v>69</v>
      </c>
      <c r="H1971" t="s">
        <v>173</v>
      </c>
      <c r="I1971" s="1" t="s">
        <v>3346</v>
      </c>
      <c r="J1971" s="1" t="s">
        <v>15</v>
      </c>
      <c r="K1971" s="1" t="s">
        <v>3347</v>
      </c>
    </row>
    <row r="1972" spans="1:11" x14ac:dyDescent="0.25">
      <c r="A1972" t="s">
        <v>26</v>
      </c>
      <c r="B1972" t="s">
        <v>2904</v>
      </c>
      <c r="C1972" t="s">
        <v>50</v>
      </c>
      <c r="D1972" t="s">
        <v>362</v>
      </c>
      <c r="E1972" t="s">
        <v>30</v>
      </c>
      <c r="F1972" t="s">
        <v>602</v>
      </c>
      <c r="G1972" t="s">
        <v>32</v>
      </c>
      <c r="H1972" t="s">
        <v>87</v>
      </c>
      <c r="I1972" s="1" t="s">
        <v>3348</v>
      </c>
      <c r="J1972" s="1" t="s">
        <v>17</v>
      </c>
      <c r="K1972" s="1" t="s">
        <v>3344</v>
      </c>
    </row>
    <row r="1973" spans="1:11" ht="105" x14ac:dyDescent="0.25">
      <c r="A1973" t="s">
        <v>26</v>
      </c>
      <c r="B1973" t="s">
        <v>2904</v>
      </c>
      <c r="C1973" t="s">
        <v>50</v>
      </c>
      <c r="D1973" t="s">
        <v>810</v>
      </c>
      <c r="E1973" t="s">
        <v>30</v>
      </c>
      <c r="F1973" t="s">
        <v>307</v>
      </c>
      <c r="G1973" t="s">
        <v>32</v>
      </c>
      <c r="H1973" t="s">
        <v>33</v>
      </c>
      <c r="I1973" s="1" t="s">
        <v>3349</v>
      </c>
      <c r="J1973" s="1" t="s">
        <v>426</v>
      </c>
    </row>
    <row r="1974" spans="1:11" ht="45" x14ac:dyDescent="0.25">
      <c r="A1974" t="s">
        <v>49</v>
      </c>
      <c r="B1974" t="s">
        <v>2904</v>
      </c>
      <c r="C1974" t="s">
        <v>44</v>
      </c>
      <c r="D1974" t="s">
        <v>514</v>
      </c>
      <c r="E1974" t="s">
        <v>30</v>
      </c>
      <c r="F1974" t="s">
        <v>52</v>
      </c>
      <c r="G1974" t="s">
        <v>32</v>
      </c>
      <c r="H1974" t="s">
        <v>87</v>
      </c>
      <c r="I1974" s="1" t="s">
        <v>3350</v>
      </c>
      <c r="J1974" s="1" t="s">
        <v>697</v>
      </c>
      <c r="K1974" s="1" t="s">
        <v>3351</v>
      </c>
    </row>
    <row r="1975" spans="1:11" ht="45" x14ac:dyDescent="0.25">
      <c r="A1975" t="s">
        <v>91</v>
      </c>
      <c r="B1975" t="s">
        <v>2904</v>
      </c>
      <c r="C1975" t="s">
        <v>235</v>
      </c>
      <c r="D1975" t="s">
        <v>270</v>
      </c>
      <c r="E1975" t="s">
        <v>30</v>
      </c>
      <c r="F1975" t="s">
        <v>246</v>
      </c>
      <c r="G1975" t="s">
        <v>32</v>
      </c>
      <c r="H1975" t="s">
        <v>33</v>
      </c>
      <c r="I1975" s="1" t="s">
        <v>3352</v>
      </c>
      <c r="J1975" s="1" t="s">
        <v>426</v>
      </c>
    </row>
    <row r="1976" spans="1:11" ht="60" x14ac:dyDescent="0.25">
      <c r="A1976" t="s">
        <v>26</v>
      </c>
      <c r="B1976" t="s">
        <v>2904</v>
      </c>
      <c r="C1976" t="s">
        <v>50</v>
      </c>
      <c r="D1976" t="s">
        <v>3353</v>
      </c>
      <c r="E1976" t="s">
        <v>79</v>
      </c>
      <c r="F1976" t="s">
        <v>492</v>
      </c>
      <c r="G1976" t="s">
        <v>32</v>
      </c>
      <c r="H1976" t="s">
        <v>173</v>
      </c>
      <c r="I1976" s="1" t="s">
        <v>3354</v>
      </c>
      <c r="J1976" s="1" t="s">
        <v>481</v>
      </c>
    </row>
    <row r="1977" spans="1:11" ht="60" x14ac:dyDescent="0.25">
      <c r="A1977" t="s">
        <v>26</v>
      </c>
      <c r="B1977" t="s">
        <v>2904</v>
      </c>
      <c r="C1977" t="s">
        <v>50</v>
      </c>
      <c r="D1977" t="s">
        <v>60</v>
      </c>
      <c r="E1977" t="s">
        <v>30</v>
      </c>
      <c r="F1977" t="s">
        <v>189</v>
      </c>
      <c r="G1977" t="s">
        <v>32</v>
      </c>
      <c r="H1977" t="s">
        <v>33</v>
      </c>
      <c r="I1977" s="1" t="s">
        <v>3355</v>
      </c>
      <c r="J1977" s="1" t="s">
        <v>3356</v>
      </c>
      <c r="K1977" s="1" t="s">
        <v>3357</v>
      </c>
    </row>
    <row r="1978" spans="1:11" ht="60" x14ac:dyDescent="0.25">
      <c r="A1978" t="s">
        <v>91</v>
      </c>
      <c r="B1978" t="s">
        <v>2904</v>
      </c>
      <c r="C1978" t="s">
        <v>44</v>
      </c>
      <c r="D1978" t="s">
        <v>146</v>
      </c>
      <c r="E1978" t="s">
        <v>30</v>
      </c>
      <c r="F1978" t="s">
        <v>543</v>
      </c>
      <c r="G1978" t="s">
        <v>32</v>
      </c>
      <c r="H1978" t="s">
        <v>33</v>
      </c>
      <c r="I1978" s="1" t="s">
        <v>3358</v>
      </c>
      <c r="J1978" s="1" t="s">
        <v>426</v>
      </c>
    </row>
    <row r="1979" spans="1:11" ht="105" x14ac:dyDescent="0.25">
      <c r="A1979" t="s">
        <v>26</v>
      </c>
      <c r="B1979" t="s">
        <v>2904</v>
      </c>
      <c r="C1979" t="s">
        <v>180</v>
      </c>
      <c r="D1979" t="s">
        <v>2129</v>
      </c>
      <c r="E1979" t="s">
        <v>30</v>
      </c>
      <c r="F1979" t="s">
        <v>280</v>
      </c>
      <c r="G1979" t="s">
        <v>32</v>
      </c>
      <c r="H1979" t="s">
        <v>33</v>
      </c>
      <c r="I1979" s="1" t="s">
        <v>3359</v>
      </c>
      <c r="J1979" s="1" t="s">
        <v>426</v>
      </c>
    </row>
    <row r="1980" spans="1:11" ht="30" x14ac:dyDescent="0.25">
      <c r="A1980" t="s">
        <v>26</v>
      </c>
      <c r="B1980" t="s">
        <v>2904</v>
      </c>
      <c r="C1980" t="s">
        <v>69</v>
      </c>
      <c r="D1980" t="s">
        <v>160</v>
      </c>
      <c r="E1980" t="s">
        <v>79</v>
      </c>
      <c r="F1980" t="s">
        <v>98</v>
      </c>
      <c r="G1980" t="s">
        <v>32</v>
      </c>
      <c r="H1980" t="s">
        <v>87</v>
      </c>
      <c r="I1980" s="1" t="s">
        <v>3360</v>
      </c>
      <c r="J1980" s="1" t="s">
        <v>697</v>
      </c>
      <c r="K1980" s="1" t="s">
        <v>3361</v>
      </c>
    </row>
    <row r="1981" spans="1:11" ht="60" x14ac:dyDescent="0.25">
      <c r="A1981" t="s">
        <v>26</v>
      </c>
      <c r="B1981" t="s">
        <v>2904</v>
      </c>
      <c r="C1981" t="s">
        <v>69</v>
      </c>
      <c r="D1981" t="s">
        <v>160</v>
      </c>
      <c r="E1981" t="s">
        <v>30</v>
      </c>
      <c r="F1981" t="s">
        <v>112</v>
      </c>
      <c r="G1981" t="s">
        <v>32</v>
      </c>
      <c r="H1981" t="s">
        <v>173</v>
      </c>
      <c r="I1981" s="1" t="s">
        <v>3362</v>
      </c>
      <c r="J1981" s="1" t="s">
        <v>426</v>
      </c>
    </row>
    <row r="1982" spans="1:11" ht="60" x14ac:dyDescent="0.25">
      <c r="A1982" t="s">
        <v>37</v>
      </c>
      <c r="B1982" t="s">
        <v>2904</v>
      </c>
      <c r="C1982" t="s">
        <v>249</v>
      </c>
      <c r="D1982" t="s">
        <v>355</v>
      </c>
      <c r="E1982" t="s">
        <v>79</v>
      </c>
      <c r="F1982" t="s">
        <v>182</v>
      </c>
      <c r="G1982" t="s">
        <v>32</v>
      </c>
      <c r="H1982" t="s">
        <v>33</v>
      </c>
      <c r="I1982" s="1" t="s">
        <v>3363</v>
      </c>
      <c r="J1982" s="1" t="s">
        <v>426</v>
      </c>
    </row>
    <row r="1983" spans="1:11" ht="90" x14ac:dyDescent="0.25">
      <c r="A1983" t="s">
        <v>26</v>
      </c>
      <c r="B1983" t="s">
        <v>2904</v>
      </c>
      <c r="C1983" t="s">
        <v>69</v>
      </c>
      <c r="D1983" t="s">
        <v>3364</v>
      </c>
      <c r="E1983" t="s">
        <v>30</v>
      </c>
      <c r="F1983" t="s">
        <v>365</v>
      </c>
      <c r="G1983" t="s">
        <v>32</v>
      </c>
      <c r="H1983" t="s">
        <v>173</v>
      </c>
      <c r="I1983" s="1" t="s">
        <v>3365</v>
      </c>
      <c r="J1983" s="1" t="s">
        <v>15</v>
      </c>
      <c r="K1983" s="1" t="s">
        <v>3366</v>
      </c>
    </row>
    <row r="1984" spans="1:11" ht="90" x14ac:dyDescent="0.25">
      <c r="A1984" t="s">
        <v>26</v>
      </c>
      <c r="B1984" t="s">
        <v>2904</v>
      </c>
      <c r="C1984" t="s">
        <v>44</v>
      </c>
      <c r="D1984" t="s">
        <v>45</v>
      </c>
      <c r="E1984" t="s">
        <v>30</v>
      </c>
      <c r="F1984" t="s">
        <v>202</v>
      </c>
      <c r="G1984" t="s">
        <v>81</v>
      </c>
      <c r="H1984" t="s">
        <v>33</v>
      </c>
      <c r="I1984" s="1" t="s">
        <v>3367</v>
      </c>
      <c r="J1984" s="1" t="s">
        <v>426</v>
      </c>
    </row>
    <row r="1985" spans="1:11" ht="60" x14ac:dyDescent="0.25">
      <c r="A1985" t="s">
        <v>26</v>
      </c>
      <c r="B1985" t="s">
        <v>2904</v>
      </c>
      <c r="C1985" t="s">
        <v>69</v>
      </c>
      <c r="D1985" t="s">
        <v>2156</v>
      </c>
      <c r="E1985" t="s">
        <v>30</v>
      </c>
      <c r="F1985" t="s">
        <v>1926</v>
      </c>
      <c r="G1985" t="s">
        <v>32</v>
      </c>
      <c r="H1985" t="s">
        <v>33</v>
      </c>
      <c r="I1985" s="1" t="s">
        <v>3368</v>
      </c>
      <c r="J1985" s="1" t="s">
        <v>481</v>
      </c>
      <c r="K1985" s="1" t="s">
        <v>2388</v>
      </c>
    </row>
    <row r="1986" spans="1:11" ht="120" x14ac:dyDescent="0.25">
      <c r="A1986" t="s">
        <v>37</v>
      </c>
      <c r="B1986" t="s">
        <v>2904</v>
      </c>
      <c r="C1986" t="s">
        <v>69</v>
      </c>
      <c r="D1986" t="s">
        <v>297</v>
      </c>
      <c r="E1986" t="s">
        <v>79</v>
      </c>
      <c r="F1986" t="s">
        <v>587</v>
      </c>
      <c r="G1986" t="s">
        <v>69</v>
      </c>
      <c r="H1986" t="s">
        <v>33</v>
      </c>
      <c r="I1986" s="1" t="s">
        <v>3369</v>
      </c>
      <c r="J1986" s="1" t="s">
        <v>1917</v>
      </c>
      <c r="K1986" s="1" t="s">
        <v>3369</v>
      </c>
    </row>
    <row r="1987" spans="1:11" ht="75" x14ac:dyDescent="0.25">
      <c r="A1987" t="s">
        <v>26</v>
      </c>
      <c r="B1987" t="s">
        <v>2904</v>
      </c>
      <c r="C1987" t="s">
        <v>44</v>
      </c>
      <c r="D1987" t="s">
        <v>45</v>
      </c>
      <c r="E1987" t="s">
        <v>30</v>
      </c>
      <c r="F1987" t="s">
        <v>61</v>
      </c>
      <c r="G1987" t="s">
        <v>81</v>
      </c>
      <c r="H1987" t="s">
        <v>33</v>
      </c>
      <c r="I1987" s="1" t="s">
        <v>3370</v>
      </c>
      <c r="J1987" s="1" t="s">
        <v>481</v>
      </c>
    </row>
    <row r="1988" spans="1:11" ht="105" x14ac:dyDescent="0.25">
      <c r="A1988" t="s">
        <v>26</v>
      </c>
      <c r="B1988" t="s">
        <v>2904</v>
      </c>
      <c r="C1988" t="s">
        <v>85</v>
      </c>
      <c r="D1988" t="s">
        <v>1450</v>
      </c>
      <c r="E1988" t="s">
        <v>30</v>
      </c>
      <c r="F1988" t="s">
        <v>446</v>
      </c>
      <c r="G1988" t="s">
        <v>32</v>
      </c>
      <c r="H1988" t="s">
        <v>33</v>
      </c>
      <c r="I1988" s="1" t="s">
        <v>3371</v>
      </c>
      <c r="J1988" s="1" t="s">
        <v>426</v>
      </c>
    </row>
    <row r="1989" spans="1:11" ht="60" x14ac:dyDescent="0.25">
      <c r="A1989" t="s">
        <v>26</v>
      </c>
      <c r="B1989" t="s">
        <v>2904</v>
      </c>
      <c r="C1989" t="s">
        <v>28</v>
      </c>
      <c r="D1989" t="s">
        <v>955</v>
      </c>
      <c r="E1989" t="s">
        <v>30</v>
      </c>
      <c r="F1989" t="s">
        <v>46</v>
      </c>
      <c r="G1989" t="s">
        <v>81</v>
      </c>
      <c r="H1989" t="s">
        <v>87</v>
      </c>
      <c r="I1989" s="1" t="s">
        <v>3372</v>
      </c>
      <c r="J1989" s="1" t="s">
        <v>2128</v>
      </c>
      <c r="K1989" s="1" t="s">
        <v>3373</v>
      </c>
    </row>
    <row r="1990" spans="1:11" ht="30" x14ac:dyDescent="0.25">
      <c r="A1990" t="s">
        <v>64</v>
      </c>
      <c r="B1990" t="s">
        <v>2904</v>
      </c>
      <c r="C1990" t="s">
        <v>106</v>
      </c>
      <c r="D1990" t="s">
        <v>484</v>
      </c>
      <c r="E1990" t="s">
        <v>30</v>
      </c>
      <c r="F1990" t="s">
        <v>196</v>
      </c>
      <c r="G1990" t="s">
        <v>32</v>
      </c>
      <c r="H1990" t="s">
        <v>33</v>
      </c>
      <c r="I1990" s="1" t="s">
        <v>3374</v>
      </c>
      <c r="J1990" s="1" t="s">
        <v>426</v>
      </c>
    </row>
    <row r="1991" spans="1:11" x14ac:dyDescent="0.25">
      <c r="A1991" t="s">
        <v>49</v>
      </c>
      <c r="B1991" t="s">
        <v>2904</v>
      </c>
      <c r="C1991" t="s">
        <v>249</v>
      </c>
      <c r="D1991" t="s">
        <v>306</v>
      </c>
      <c r="E1991" t="s">
        <v>30</v>
      </c>
      <c r="F1991" t="s">
        <v>98</v>
      </c>
      <c r="G1991" t="s">
        <v>32</v>
      </c>
      <c r="H1991" t="s">
        <v>173</v>
      </c>
      <c r="I1991" s="1" t="s">
        <v>3375</v>
      </c>
      <c r="J1991" s="1" t="s">
        <v>17</v>
      </c>
      <c r="K1991" s="1" t="s">
        <v>3376</v>
      </c>
    </row>
    <row r="1992" spans="1:11" ht="75" x14ac:dyDescent="0.25">
      <c r="A1992" t="s">
        <v>26</v>
      </c>
      <c r="B1992" t="s">
        <v>2904</v>
      </c>
      <c r="C1992" t="s">
        <v>55</v>
      </c>
      <c r="D1992" t="s">
        <v>878</v>
      </c>
      <c r="E1992" t="s">
        <v>79</v>
      </c>
      <c r="F1992" t="s">
        <v>186</v>
      </c>
      <c r="G1992" t="s">
        <v>32</v>
      </c>
      <c r="H1992" t="s">
        <v>33</v>
      </c>
      <c r="I1992" s="1" t="s">
        <v>3377</v>
      </c>
      <c r="J1992" s="1" t="s">
        <v>21</v>
      </c>
      <c r="K1992" s="1" t="s">
        <v>3378</v>
      </c>
    </row>
    <row r="1993" spans="1:11" ht="45" x14ac:dyDescent="0.25">
      <c r="A1993" t="s">
        <v>49</v>
      </c>
      <c r="B1993" t="s">
        <v>2904</v>
      </c>
      <c r="C1993" t="s">
        <v>106</v>
      </c>
      <c r="D1993" t="s">
        <v>484</v>
      </c>
      <c r="E1993" t="s">
        <v>30</v>
      </c>
      <c r="F1993" t="s">
        <v>154</v>
      </c>
      <c r="G1993" t="s">
        <v>32</v>
      </c>
      <c r="H1993" t="s">
        <v>33</v>
      </c>
      <c r="I1993" s="1" t="s">
        <v>3379</v>
      </c>
      <c r="J1993" s="1" t="s">
        <v>426</v>
      </c>
    </row>
    <row r="1994" spans="1:11" ht="90" x14ac:dyDescent="0.25">
      <c r="A1994" t="s">
        <v>64</v>
      </c>
      <c r="B1994" t="s">
        <v>2904</v>
      </c>
      <c r="C1994" t="s">
        <v>28</v>
      </c>
      <c r="D1994" t="s">
        <v>1515</v>
      </c>
      <c r="E1994" t="s">
        <v>79</v>
      </c>
      <c r="F1994" t="s">
        <v>102</v>
      </c>
      <c r="G1994" t="s">
        <v>69</v>
      </c>
      <c r="H1994" t="s">
        <v>87</v>
      </c>
      <c r="I1994" s="1" t="s">
        <v>3380</v>
      </c>
      <c r="J1994" s="1" t="s">
        <v>15</v>
      </c>
      <c r="K1994" s="1" t="s">
        <v>3198</v>
      </c>
    </row>
    <row r="1995" spans="1:11" ht="45" x14ac:dyDescent="0.25">
      <c r="A1995" t="s">
        <v>49</v>
      </c>
      <c r="B1995" t="s">
        <v>2904</v>
      </c>
      <c r="C1995" t="s">
        <v>50</v>
      </c>
      <c r="D1995" t="s">
        <v>563</v>
      </c>
      <c r="E1995" t="s">
        <v>30</v>
      </c>
      <c r="F1995" t="s">
        <v>94</v>
      </c>
      <c r="G1995" t="s">
        <v>32</v>
      </c>
      <c r="H1995" t="s">
        <v>87</v>
      </c>
      <c r="I1995" s="1" t="s">
        <v>3381</v>
      </c>
      <c r="J1995" s="1" t="s">
        <v>17</v>
      </c>
      <c r="K1995" s="1" t="s">
        <v>3382</v>
      </c>
    </row>
    <row r="1996" spans="1:11" ht="60" x14ac:dyDescent="0.25">
      <c r="A1996" t="s">
        <v>49</v>
      </c>
      <c r="B1996" t="s">
        <v>2904</v>
      </c>
      <c r="C1996" t="s">
        <v>96</v>
      </c>
      <c r="D1996" t="s">
        <v>201</v>
      </c>
      <c r="E1996" t="s">
        <v>30</v>
      </c>
      <c r="F1996" t="s">
        <v>94</v>
      </c>
      <c r="G1996" t="s">
        <v>263</v>
      </c>
      <c r="H1996" t="s">
        <v>87</v>
      </c>
      <c r="I1996" s="1" t="s">
        <v>3383</v>
      </c>
      <c r="J1996" s="1" t="s">
        <v>15</v>
      </c>
      <c r="K1996" s="1" t="s">
        <v>3384</v>
      </c>
    </row>
    <row r="1997" spans="1:11" ht="105" x14ac:dyDescent="0.25">
      <c r="A1997" t="s">
        <v>49</v>
      </c>
      <c r="B1997" t="s">
        <v>2904</v>
      </c>
      <c r="C1997" t="s">
        <v>85</v>
      </c>
      <c r="D1997" t="s">
        <v>1168</v>
      </c>
      <c r="E1997" t="s">
        <v>30</v>
      </c>
      <c r="F1997" t="s">
        <v>446</v>
      </c>
      <c r="G1997" t="s">
        <v>38</v>
      </c>
      <c r="H1997" t="s">
        <v>87</v>
      </c>
      <c r="I1997" s="1" t="s">
        <v>3385</v>
      </c>
      <c r="J1997" s="1" t="s">
        <v>481</v>
      </c>
    </row>
    <row r="1998" spans="1:11" ht="90" x14ac:dyDescent="0.25">
      <c r="A1998" t="s">
        <v>64</v>
      </c>
      <c r="B1998" t="s">
        <v>2904</v>
      </c>
      <c r="C1998" t="s">
        <v>28</v>
      </c>
      <c r="D1998" t="s">
        <v>715</v>
      </c>
      <c r="E1998" t="s">
        <v>79</v>
      </c>
      <c r="F1998" t="s">
        <v>119</v>
      </c>
      <c r="G1998" t="s">
        <v>32</v>
      </c>
      <c r="H1998" t="s">
        <v>173</v>
      </c>
      <c r="I1998" s="1" t="s">
        <v>3386</v>
      </c>
      <c r="J1998" s="1" t="s">
        <v>15</v>
      </c>
      <c r="K1998" s="1" t="s">
        <v>3387</v>
      </c>
    </row>
    <row r="1999" spans="1:11" ht="90" x14ac:dyDescent="0.25">
      <c r="A1999" t="s">
        <v>91</v>
      </c>
      <c r="B1999" t="s">
        <v>2904</v>
      </c>
      <c r="C1999" t="s">
        <v>240</v>
      </c>
      <c r="D1999" t="s">
        <v>703</v>
      </c>
      <c r="E1999" t="s">
        <v>30</v>
      </c>
      <c r="F1999" t="s">
        <v>136</v>
      </c>
      <c r="G1999" t="s">
        <v>69</v>
      </c>
      <c r="H1999" t="s">
        <v>33</v>
      </c>
      <c r="I1999" s="1" t="s">
        <v>3388</v>
      </c>
      <c r="J1999" s="1" t="s">
        <v>426</v>
      </c>
    </row>
    <row r="2000" spans="1:11" ht="150" x14ac:dyDescent="0.25">
      <c r="A2000" t="s">
        <v>49</v>
      </c>
      <c r="B2000" t="s">
        <v>2904</v>
      </c>
      <c r="C2000" t="s">
        <v>50</v>
      </c>
      <c r="D2000" t="s">
        <v>122</v>
      </c>
      <c r="E2000" t="s">
        <v>30</v>
      </c>
      <c r="F2000" t="s">
        <v>216</v>
      </c>
      <c r="G2000" t="s">
        <v>69</v>
      </c>
      <c r="H2000" t="s">
        <v>87</v>
      </c>
      <c r="I2000" s="1" t="s">
        <v>3389</v>
      </c>
      <c r="J2000" s="1" t="s">
        <v>3390</v>
      </c>
      <c r="K2000" s="1" t="s">
        <v>3391</v>
      </c>
    </row>
    <row r="2001" spans="1:11" ht="45" x14ac:dyDescent="0.25">
      <c r="A2001" t="s">
        <v>91</v>
      </c>
      <c r="B2001" t="s">
        <v>2904</v>
      </c>
      <c r="C2001" t="s">
        <v>235</v>
      </c>
      <c r="D2001" t="s">
        <v>427</v>
      </c>
      <c r="E2001" t="s">
        <v>30</v>
      </c>
      <c r="F2001" t="s">
        <v>94</v>
      </c>
      <c r="G2001" t="s">
        <v>32</v>
      </c>
      <c r="H2001" t="s">
        <v>33</v>
      </c>
      <c r="I2001" s="1" t="s">
        <v>3392</v>
      </c>
      <c r="J2001" s="1" t="s">
        <v>14</v>
      </c>
      <c r="K2001" s="1" t="s">
        <v>3393</v>
      </c>
    </row>
    <row r="2002" spans="1:11" x14ac:dyDescent="0.25">
      <c r="A2002" t="s">
        <v>49</v>
      </c>
      <c r="B2002" t="s">
        <v>2904</v>
      </c>
      <c r="C2002" t="s">
        <v>50</v>
      </c>
      <c r="D2002" t="s">
        <v>1013</v>
      </c>
      <c r="E2002" t="s">
        <v>30</v>
      </c>
      <c r="F2002" t="s">
        <v>166</v>
      </c>
      <c r="G2002" t="s">
        <v>69</v>
      </c>
      <c r="H2002" t="s">
        <v>87</v>
      </c>
      <c r="I2002" s="1" t="s">
        <v>3394</v>
      </c>
      <c r="J2002" s="1" t="s">
        <v>17</v>
      </c>
      <c r="K2002" s="1" t="s">
        <v>3395</v>
      </c>
    </row>
    <row r="2003" spans="1:11" ht="60" x14ac:dyDescent="0.25">
      <c r="A2003" t="s">
        <v>59</v>
      </c>
      <c r="B2003" t="s">
        <v>2904</v>
      </c>
      <c r="C2003" t="s">
        <v>50</v>
      </c>
      <c r="D2003" t="s">
        <v>3396</v>
      </c>
      <c r="E2003" t="s">
        <v>30</v>
      </c>
      <c r="F2003" t="s">
        <v>102</v>
      </c>
      <c r="G2003" t="s">
        <v>32</v>
      </c>
      <c r="H2003" t="s">
        <v>33</v>
      </c>
      <c r="I2003" s="1" t="s">
        <v>3397</v>
      </c>
      <c r="J2003" s="1" t="s">
        <v>14</v>
      </c>
    </row>
    <row r="2004" spans="1:11" ht="60" x14ac:dyDescent="0.25">
      <c r="A2004" t="s">
        <v>91</v>
      </c>
      <c r="B2004" t="s">
        <v>2904</v>
      </c>
      <c r="C2004" t="s">
        <v>472</v>
      </c>
      <c r="D2004" t="s">
        <v>839</v>
      </c>
      <c r="E2004" t="s">
        <v>30</v>
      </c>
      <c r="F2004" t="s">
        <v>543</v>
      </c>
      <c r="G2004" t="s">
        <v>32</v>
      </c>
      <c r="H2004" t="s">
        <v>173</v>
      </c>
      <c r="I2004" s="1" t="s">
        <v>3398</v>
      </c>
      <c r="J2004" s="1" t="s">
        <v>15</v>
      </c>
      <c r="K2004" s="1" t="s">
        <v>3399</v>
      </c>
    </row>
    <row r="2005" spans="1:11" ht="45" x14ac:dyDescent="0.25">
      <c r="A2005" t="s">
        <v>37</v>
      </c>
      <c r="B2005" t="s">
        <v>2904</v>
      </c>
      <c r="C2005" t="s">
        <v>96</v>
      </c>
      <c r="D2005" t="s">
        <v>172</v>
      </c>
      <c r="E2005" t="s">
        <v>30</v>
      </c>
      <c r="F2005" t="s">
        <v>112</v>
      </c>
      <c r="G2005" t="s">
        <v>69</v>
      </c>
      <c r="H2005" t="s">
        <v>33</v>
      </c>
      <c r="I2005" s="1" t="s">
        <v>3400</v>
      </c>
      <c r="J2005" s="1" t="s">
        <v>426</v>
      </c>
    </row>
    <row r="2006" spans="1:11" ht="75" x14ac:dyDescent="0.25">
      <c r="A2006" t="s">
        <v>91</v>
      </c>
      <c r="B2006" t="s">
        <v>2904</v>
      </c>
      <c r="C2006" t="s">
        <v>50</v>
      </c>
      <c r="D2006" t="s">
        <v>226</v>
      </c>
      <c r="E2006" t="s">
        <v>30</v>
      </c>
      <c r="F2006" t="s">
        <v>61</v>
      </c>
      <c r="G2006" t="s">
        <v>69</v>
      </c>
      <c r="H2006" t="s">
        <v>173</v>
      </c>
      <c r="I2006" s="1" t="s">
        <v>3401</v>
      </c>
      <c r="J2006" s="1" t="s">
        <v>17</v>
      </c>
      <c r="K2006" s="1" t="s">
        <v>3402</v>
      </c>
    </row>
    <row r="2007" spans="1:11" ht="30" x14ac:dyDescent="0.25">
      <c r="A2007" t="s">
        <v>37</v>
      </c>
      <c r="B2007" t="s">
        <v>2904</v>
      </c>
      <c r="C2007" t="s">
        <v>69</v>
      </c>
      <c r="D2007" t="s">
        <v>2968</v>
      </c>
      <c r="E2007" t="s">
        <v>30</v>
      </c>
      <c r="F2007" t="s">
        <v>94</v>
      </c>
      <c r="G2007" t="s">
        <v>32</v>
      </c>
      <c r="H2007" t="s">
        <v>33</v>
      </c>
      <c r="I2007" s="1" t="s">
        <v>3403</v>
      </c>
      <c r="J2007" s="1" t="s">
        <v>481</v>
      </c>
    </row>
    <row r="2008" spans="1:11" ht="60" x14ac:dyDescent="0.25">
      <c r="A2008" t="s">
        <v>91</v>
      </c>
      <c r="B2008" t="s">
        <v>2904</v>
      </c>
      <c r="C2008" t="s">
        <v>85</v>
      </c>
      <c r="D2008" t="s">
        <v>3404</v>
      </c>
      <c r="E2008" t="s">
        <v>30</v>
      </c>
      <c r="F2008" t="s">
        <v>280</v>
      </c>
      <c r="G2008" t="s">
        <v>38</v>
      </c>
      <c r="H2008" t="s">
        <v>87</v>
      </c>
      <c r="I2008" s="1" t="s">
        <v>3405</v>
      </c>
      <c r="J2008" s="1" t="s">
        <v>15</v>
      </c>
      <c r="K2008" s="1" t="s">
        <v>3406</v>
      </c>
    </row>
    <row r="2009" spans="1:11" ht="60" x14ac:dyDescent="0.25">
      <c r="A2009" t="s">
        <v>64</v>
      </c>
      <c r="B2009" t="s">
        <v>2904</v>
      </c>
      <c r="C2009" t="s">
        <v>249</v>
      </c>
      <c r="D2009" t="s">
        <v>1695</v>
      </c>
      <c r="E2009" t="s">
        <v>30</v>
      </c>
      <c r="F2009" t="s">
        <v>112</v>
      </c>
      <c r="G2009" t="s">
        <v>32</v>
      </c>
      <c r="H2009" t="s">
        <v>33</v>
      </c>
      <c r="I2009" s="1" t="s">
        <v>3407</v>
      </c>
      <c r="J2009" s="1" t="s">
        <v>3408</v>
      </c>
      <c r="K2009" s="1" t="s">
        <v>2489</v>
      </c>
    </row>
    <row r="2010" spans="1:11" ht="75" x14ac:dyDescent="0.25">
      <c r="A2010" t="s">
        <v>37</v>
      </c>
      <c r="B2010" t="s">
        <v>2904</v>
      </c>
      <c r="C2010" t="s">
        <v>73</v>
      </c>
      <c r="D2010" t="s">
        <v>1123</v>
      </c>
      <c r="E2010" t="s">
        <v>30</v>
      </c>
      <c r="F2010" t="s">
        <v>520</v>
      </c>
      <c r="G2010" t="s">
        <v>32</v>
      </c>
      <c r="H2010" t="s">
        <v>87</v>
      </c>
      <c r="I2010" s="1" t="s">
        <v>3409</v>
      </c>
      <c r="J2010" s="1" t="s">
        <v>17</v>
      </c>
      <c r="K2010" s="1" t="s">
        <v>3410</v>
      </c>
    </row>
    <row r="2011" spans="1:11" ht="135" x14ac:dyDescent="0.25">
      <c r="A2011" t="s">
        <v>37</v>
      </c>
      <c r="B2011" t="s">
        <v>2904</v>
      </c>
      <c r="C2011" t="s">
        <v>106</v>
      </c>
      <c r="D2011" t="s">
        <v>484</v>
      </c>
      <c r="E2011" t="s">
        <v>30</v>
      </c>
      <c r="F2011" t="s">
        <v>40</v>
      </c>
      <c r="G2011" t="s">
        <v>32</v>
      </c>
      <c r="H2011" t="s">
        <v>173</v>
      </c>
      <c r="I2011" s="1" t="s">
        <v>3411</v>
      </c>
      <c r="J2011" s="1" t="s">
        <v>1917</v>
      </c>
      <c r="K2011" s="1" t="s">
        <v>3411</v>
      </c>
    </row>
    <row r="2012" spans="1:11" ht="90" x14ac:dyDescent="0.25">
      <c r="A2012" t="s">
        <v>37</v>
      </c>
      <c r="B2012" t="s">
        <v>2904</v>
      </c>
      <c r="C2012" t="s">
        <v>180</v>
      </c>
      <c r="D2012" t="s">
        <v>1331</v>
      </c>
      <c r="E2012" t="s">
        <v>30</v>
      </c>
      <c r="F2012" t="s">
        <v>205</v>
      </c>
      <c r="G2012" t="s">
        <v>32</v>
      </c>
      <c r="H2012" t="s">
        <v>87</v>
      </c>
      <c r="I2012" s="1" t="s">
        <v>3412</v>
      </c>
      <c r="J2012" s="1" t="s">
        <v>15</v>
      </c>
      <c r="K2012" s="1" t="s">
        <v>3222</v>
      </c>
    </row>
    <row r="2013" spans="1:11" ht="45" x14ac:dyDescent="0.25">
      <c r="A2013" t="s">
        <v>37</v>
      </c>
      <c r="B2013" t="s">
        <v>2904</v>
      </c>
      <c r="C2013" t="s">
        <v>28</v>
      </c>
      <c r="D2013" t="s">
        <v>528</v>
      </c>
      <c r="E2013" t="s">
        <v>30</v>
      </c>
      <c r="F2013" t="s">
        <v>602</v>
      </c>
      <c r="G2013" t="s">
        <v>32</v>
      </c>
      <c r="H2013" t="s">
        <v>33</v>
      </c>
      <c r="I2013" s="1" t="s">
        <v>3413</v>
      </c>
      <c r="J2013" s="1" t="s">
        <v>21</v>
      </c>
      <c r="K2013" s="1" t="s">
        <v>3414</v>
      </c>
    </row>
    <row r="2014" spans="1:11" ht="30" x14ac:dyDescent="0.25">
      <c r="A2014" t="s">
        <v>64</v>
      </c>
      <c r="B2014" t="s">
        <v>2904</v>
      </c>
      <c r="C2014" t="s">
        <v>263</v>
      </c>
      <c r="D2014" t="s">
        <v>1739</v>
      </c>
      <c r="E2014" t="s">
        <v>30</v>
      </c>
      <c r="F2014" t="s">
        <v>61</v>
      </c>
      <c r="G2014" t="s">
        <v>32</v>
      </c>
      <c r="H2014" t="s">
        <v>173</v>
      </c>
      <c r="I2014" s="1" t="s">
        <v>3415</v>
      </c>
      <c r="J2014" s="1" t="s">
        <v>1917</v>
      </c>
      <c r="K2014" s="1" t="s">
        <v>3032</v>
      </c>
    </row>
    <row r="2015" spans="1:11" ht="105" x14ac:dyDescent="0.25">
      <c r="A2015" t="s">
        <v>64</v>
      </c>
      <c r="B2015" t="s">
        <v>2904</v>
      </c>
      <c r="C2015" t="s">
        <v>240</v>
      </c>
      <c r="D2015" t="s">
        <v>882</v>
      </c>
      <c r="E2015" t="s">
        <v>79</v>
      </c>
      <c r="F2015" t="s">
        <v>40</v>
      </c>
      <c r="G2015" t="s">
        <v>32</v>
      </c>
      <c r="H2015" t="s">
        <v>33</v>
      </c>
      <c r="I2015" s="1" t="s">
        <v>3416</v>
      </c>
      <c r="J2015" s="1" t="s">
        <v>426</v>
      </c>
    </row>
    <row r="2016" spans="1:11" x14ac:dyDescent="0.25">
      <c r="A2016" t="s">
        <v>26</v>
      </c>
      <c r="B2016" t="s">
        <v>3417</v>
      </c>
      <c r="C2016" t="s">
        <v>44</v>
      </c>
      <c r="D2016" t="s">
        <v>502</v>
      </c>
      <c r="E2016" t="s">
        <v>30</v>
      </c>
      <c r="F2016" t="s">
        <v>166</v>
      </c>
      <c r="G2016" t="s">
        <v>32</v>
      </c>
      <c r="H2016" t="s">
        <v>173</v>
      </c>
      <c r="I2016" s="1" t="s">
        <v>3418</v>
      </c>
      <c r="J2016" s="1" t="s">
        <v>15</v>
      </c>
    </row>
    <row r="2017" spans="1:23" ht="105" x14ac:dyDescent="0.25">
      <c r="A2017" t="s">
        <v>37</v>
      </c>
      <c r="B2017" t="s">
        <v>3419</v>
      </c>
      <c r="C2017" t="s">
        <v>50</v>
      </c>
      <c r="D2017" t="s">
        <v>1013</v>
      </c>
      <c r="E2017" t="s">
        <v>30</v>
      </c>
      <c r="F2017" t="s">
        <v>98</v>
      </c>
      <c r="G2017" t="s">
        <v>81</v>
      </c>
      <c r="H2017" t="s">
        <v>87</v>
      </c>
      <c r="I2017" s="1" t="s">
        <v>3420</v>
      </c>
      <c r="J2017" s="1" t="s">
        <v>481</v>
      </c>
      <c r="K2017" s="1" t="s">
        <v>3421</v>
      </c>
      <c r="W2017" s="15">
        <v>1</v>
      </c>
    </row>
    <row r="2018" spans="1:23" ht="120" x14ac:dyDescent="0.25">
      <c r="A2018" t="s">
        <v>26</v>
      </c>
      <c r="B2018" t="s">
        <v>3419</v>
      </c>
      <c r="C2018" t="s">
        <v>180</v>
      </c>
      <c r="D2018" t="s">
        <v>181</v>
      </c>
      <c r="E2018" t="s">
        <v>30</v>
      </c>
      <c r="F2018" t="s">
        <v>52</v>
      </c>
      <c r="G2018" t="s">
        <v>32</v>
      </c>
      <c r="H2018" t="s">
        <v>87</v>
      </c>
      <c r="I2018" s="1" t="s">
        <v>3422</v>
      </c>
      <c r="J2018" s="1" t="s">
        <v>697</v>
      </c>
      <c r="K2018" s="1" t="s">
        <v>3423</v>
      </c>
      <c r="N2018" s="15">
        <v>1</v>
      </c>
    </row>
    <row r="2019" spans="1:23" ht="150" x14ac:dyDescent="0.25">
      <c r="A2019" t="s">
        <v>37</v>
      </c>
      <c r="B2019" t="s">
        <v>3419</v>
      </c>
      <c r="C2019" t="s">
        <v>92</v>
      </c>
      <c r="D2019" t="s">
        <v>629</v>
      </c>
      <c r="E2019" t="s">
        <v>79</v>
      </c>
      <c r="F2019" t="s">
        <v>186</v>
      </c>
      <c r="G2019" t="s">
        <v>81</v>
      </c>
      <c r="H2019" t="s">
        <v>173</v>
      </c>
      <c r="I2019" s="1" t="s">
        <v>3424</v>
      </c>
      <c r="J2019" s="1" t="s">
        <v>481</v>
      </c>
      <c r="K2019" s="1" t="s">
        <v>3425</v>
      </c>
      <c r="W2019" s="15">
        <v>1</v>
      </c>
    </row>
    <row r="2020" spans="1:23" ht="120" x14ac:dyDescent="0.25">
      <c r="A2020" t="s">
        <v>26</v>
      </c>
      <c r="B2020" t="s">
        <v>3419</v>
      </c>
      <c r="C2020" t="s">
        <v>106</v>
      </c>
      <c r="D2020" t="s">
        <v>219</v>
      </c>
      <c r="E2020" t="s">
        <v>30</v>
      </c>
      <c r="F2020" t="s">
        <v>189</v>
      </c>
      <c r="G2020" t="s">
        <v>69</v>
      </c>
      <c r="H2020" t="s">
        <v>173</v>
      </c>
      <c r="I2020" s="1" t="s">
        <v>3426</v>
      </c>
      <c r="J2020" s="1" t="s">
        <v>3427</v>
      </c>
      <c r="K2020" s="1" t="s">
        <v>3428</v>
      </c>
      <c r="N2020" s="15">
        <v>1</v>
      </c>
      <c r="P2020" s="15">
        <v>1</v>
      </c>
      <c r="Q2020" s="15">
        <v>1</v>
      </c>
    </row>
    <row r="2021" spans="1:23" ht="60" x14ac:dyDescent="0.25">
      <c r="A2021" t="s">
        <v>37</v>
      </c>
      <c r="B2021" t="s">
        <v>3419</v>
      </c>
      <c r="C2021" t="s">
        <v>180</v>
      </c>
      <c r="D2021" t="s">
        <v>3429</v>
      </c>
      <c r="E2021" t="s">
        <v>30</v>
      </c>
      <c r="F2021" t="s">
        <v>154</v>
      </c>
      <c r="G2021" t="s">
        <v>32</v>
      </c>
      <c r="H2021" t="s">
        <v>87</v>
      </c>
      <c r="I2021" s="1" t="s">
        <v>3430</v>
      </c>
      <c r="J2021" s="1" t="s">
        <v>3431</v>
      </c>
      <c r="K2021" s="1" t="s">
        <v>3432</v>
      </c>
      <c r="Q2021" s="15">
        <v>1</v>
      </c>
      <c r="T2021" s="15">
        <v>1</v>
      </c>
    </row>
    <row r="2022" spans="1:23" ht="30" x14ac:dyDescent="0.25">
      <c r="A2022" t="s">
        <v>26</v>
      </c>
      <c r="B2022" t="s">
        <v>3419</v>
      </c>
      <c r="C2022" t="s">
        <v>85</v>
      </c>
      <c r="D2022" t="s">
        <v>1230</v>
      </c>
      <c r="E2022" t="s">
        <v>30</v>
      </c>
      <c r="F2022" t="s">
        <v>189</v>
      </c>
      <c r="G2022" t="s">
        <v>32</v>
      </c>
      <c r="H2022" t="s">
        <v>33</v>
      </c>
      <c r="I2022" s="1" t="s">
        <v>3433</v>
      </c>
      <c r="J2022" s="1" t="s">
        <v>16</v>
      </c>
      <c r="K2022" s="1" t="s">
        <v>3434</v>
      </c>
      <c r="Q2022" s="15">
        <v>1</v>
      </c>
    </row>
    <row r="2023" spans="1:23" ht="105" x14ac:dyDescent="0.25">
      <c r="A2023" t="s">
        <v>37</v>
      </c>
      <c r="B2023" t="s">
        <v>3419</v>
      </c>
      <c r="C2023" t="s">
        <v>44</v>
      </c>
      <c r="D2023" t="s">
        <v>721</v>
      </c>
      <c r="E2023" t="s">
        <v>79</v>
      </c>
      <c r="F2023" t="s">
        <v>46</v>
      </c>
      <c r="G2023" t="s">
        <v>32</v>
      </c>
      <c r="H2023" t="s">
        <v>87</v>
      </c>
      <c r="I2023" s="1" t="s">
        <v>3435</v>
      </c>
      <c r="J2023" s="1" t="s">
        <v>3427</v>
      </c>
      <c r="K2023" s="1" t="s">
        <v>3436</v>
      </c>
      <c r="N2023" s="15">
        <v>1</v>
      </c>
      <c r="P2023" s="15">
        <v>1</v>
      </c>
      <c r="Q2023" s="15">
        <v>1</v>
      </c>
    </row>
    <row r="2024" spans="1:23" ht="90" x14ac:dyDescent="0.25">
      <c r="A2024" t="s">
        <v>26</v>
      </c>
      <c r="B2024" t="s">
        <v>3419</v>
      </c>
      <c r="C2024" t="s">
        <v>69</v>
      </c>
      <c r="D2024" t="s">
        <v>160</v>
      </c>
      <c r="E2024" t="s">
        <v>30</v>
      </c>
      <c r="F2024" t="s">
        <v>61</v>
      </c>
      <c r="G2024" t="s">
        <v>32</v>
      </c>
      <c r="H2024" t="s">
        <v>87</v>
      </c>
      <c r="I2024" s="1" t="s">
        <v>3437</v>
      </c>
      <c r="J2024" s="1" t="s">
        <v>3438</v>
      </c>
      <c r="K2024" s="1" t="s">
        <v>3437</v>
      </c>
      <c r="P2024" s="15">
        <v>1</v>
      </c>
      <c r="V2024" s="15">
        <v>1</v>
      </c>
    </row>
    <row r="2025" spans="1:23" ht="105" x14ac:dyDescent="0.25">
      <c r="A2025" t="s">
        <v>49</v>
      </c>
      <c r="B2025" t="s">
        <v>3419</v>
      </c>
      <c r="C2025" t="s">
        <v>96</v>
      </c>
      <c r="D2025" t="s">
        <v>1812</v>
      </c>
      <c r="E2025" t="s">
        <v>79</v>
      </c>
      <c r="F2025" t="s">
        <v>102</v>
      </c>
      <c r="G2025" t="s">
        <v>32</v>
      </c>
      <c r="H2025" t="s">
        <v>33</v>
      </c>
      <c r="I2025" s="1" t="s">
        <v>3439</v>
      </c>
      <c r="J2025" s="1" t="s">
        <v>426</v>
      </c>
      <c r="K2025" s="1" t="s">
        <v>3440</v>
      </c>
      <c r="S2025" s="15">
        <v>1</v>
      </c>
    </row>
    <row r="2026" spans="1:23" ht="30" x14ac:dyDescent="0.25">
      <c r="A2026" t="s">
        <v>26</v>
      </c>
      <c r="B2026" t="s">
        <v>3419</v>
      </c>
      <c r="C2026" t="s">
        <v>44</v>
      </c>
      <c r="D2026" t="s">
        <v>146</v>
      </c>
      <c r="E2026" t="s">
        <v>30</v>
      </c>
      <c r="F2026" t="s">
        <v>287</v>
      </c>
      <c r="G2026" t="s">
        <v>32</v>
      </c>
      <c r="H2026" t="s">
        <v>173</v>
      </c>
      <c r="I2026" s="1" t="s">
        <v>3441</v>
      </c>
      <c r="J2026" s="1" t="s">
        <v>436</v>
      </c>
      <c r="K2026" s="1" t="s">
        <v>3442</v>
      </c>
      <c r="T2026" s="15">
        <v>1</v>
      </c>
    </row>
    <row r="2027" spans="1:23" ht="45" x14ac:dyDescent="0.25">
      <c r="A2027" t="s">
        <v>49</v>
      </c>
      <c r="B2027" t="s">
        <v>3419</v>
      </c>
      <c r="C2027" t="s">
        <v>235</v>
      </c>
      <c r="D2027" t="s">
        <v>1158</v>
      </c>
      <c r="E2027" t="s">
        <v>30</v>
      </c>
      <c r="F2027" t="s">
        <v>446</v>
      </c>
      <c r="G2027" t="s">
        <v>32</v>
      </c>
      <c r="H2027" t="s">
        <v>87</v>
      </c>
      <c r="I2027" s="1" t="s">
        <v>3443</v>
      </c>
      <c r="J2027" s="1" t="s">
        <v>697</v>
      </c>
      <c r="K2027" s="1" t="s">
        <v>3444</v>
      </c>
      <c r="N2027" s="15">
        <v>1</v>
      </c>
    </row>
    <row r="2028" spans="1:23" ht="45" x14ac:dyDescent="0.25">
      <c r="A2028" t="s">
        <v>26</v>
      </c>
      <c r="B2028" t="s">
        <v>3445</v>
      </c>
      <c r="C2028" t="s">
        <v>73</v>
      </c>
      <c r="D2028" t="s">
        <v>455</v>
      </c>
      <c r="E2028" t="s">
        <v>30</v>
      </c>
      <c r="F2028" t="s">
        <v>98</v>
      </c>
      <c r="G2028" t="s">
        <v>32</v>
      </c>
      <c r="H2028" t="s">
        <v>33</v>
      </c>
      <c r="I2028" s="1" t="s">
        <v>3446</v>
      </c>
      <c r="J2028" s="1" t="s">
        <v>1880</v>
      </c>
      <c r="K2028" s="1" t="s">
        <v>3446</v>
      </c>
      <c r="M2028" s="15">
        <v>1</v>
      </c>
    </row>
    <row r="2029" spans="1:23" ht="75" x14ac:dyDescent="0.25">
      <c r="A2029" t="s">
        <v>26</v>
      </c>
      <c r="B2029" t="s">
        <v>3445</v>
      </c>
      <c r="C2029" t="s">
        <v>249</v>
      </c>
      <c r="D2029" t="s">
        <v>905</v>
      </c>
      <c r="E2029" t="s">
        <v>30</v>
      </c>
      <c r="F2029" t="s">
        <v>205</v>
      </c>
      <c r="G2029" t="s">
        <v>32</v>
      </c>
      <c r="H2029" t="s">
        <v>173</v>
      </c>
      <c r="I2029" s="1" t="s">
        <v>3447</v>
      </c>
      <c r="J2029" s="1" t="s">
        <v>16</v>
      </c>
      <c r="K2029" s="1" t="s">
        <v>3447</v>
      </c>
      <c r="Q2029" s="15">
        <v>1</v>
      </c>
    </row>
    <row r="2030" spans="1:23" ht="90" x14ac:dyDescent="0.25">
      <c r="A2030" t="s">
        <v>26</v>
      </c>
      <c r="B2030" t="s">
        <v>3445</v>
      </c>
      <c r="C2030" t="s">
        <v>38</v>
      </c>
      <c r="D2030" t="s">
        <v>2117</v>
      </c>
      <c r="E2030" t="s">
        <v>30</v>
      </c>
      <c r="F2030" t="s">
        <v>1926</v>
      </c>
      <c r="G2030" t="s">
        <v>32</v>
      </c>
      <c r="H2030" t="s">
        <v>33</v>
      </c>
      <c r="I2030" s="1" t="s">
        <v>3448</v>
      </c>
      <c r="J2030" s="1" t="s">
        <v>426</v>
      </c>
      <c r="K2030" s="1" t="s">
        <v>3449</v>
      </c>
      <c r="S2030" s="15">
        <v>1</v>
      </c>
    </row>
    <row r="2031" spans="1:23" ht="180" x14ac:dyDescent="0.25">
      <c r="A2031" t="s">
        <v>26</v>
      </c>
      <c r="B2031" t="s">
        <v>3445</v>
      </c>
      <c r="C2031" t="s">
        <v>96</v>
      </c>
      <c r="D2031" t="s">
        <v>176</v>
      </c>
      <c r="E2031" t="s">
        <v>30</v>
      </c>
      <c r="F2031" t="s">
        <v>446</v>
      </c>
      <c r="G2031" t="s">
        <v>69</v>
      </c>
      <c r="H2031" t="s">
        <v>87</v>
      </c>
      <c r="I2031" s="1" t="s">
        <v>3450</v>
      </c>
      <c r="J2031" s="1" t="s">
        <v>2128</v>
      </c>
      <c r="K2031" s="1" t="s">
        <v>3451</v>
      </c>
      <c r="R2031" s="15">
        <v>1</v>
      </c>
      <c r="W2031" s="15">
        <v>1</v>
      </c>
    </row>
    <row r="2032" spans="1:23" ht="60" x14ac:dyDescent="0.25">
      <c r="A2032" t="s">
        <v>26</v>
      </c>
      <c r="B2032" t="s">
        <v>3445</v>
      </c>
      <c r="C2032" t="s">
        <v>50</v>
      </c>
      <c r="D2032" t="s">
        <v>226</v>
      </c>
      <c r="E2032" t="s">
        <v>30</v>
      </c>
      <c r="F2032" t="s">
        <v>98</v>
      </c>
      <c r="G2032" t="s">
        <v>32</v>
      </c>
      <c r="H2032" t="s">
        <v>33</v>
      </c>
      <c r="I2032" s="1" t="s">
        <v>3452</v>
      </c>
      <c r="J2032" s="1" t="s">
        <v>426</v>
      </c>
      <c r="K2032" s="1" t="s">
        <v>3453</v>
      </c>
      <c r="S2032" s="15">
        <v>1</v>
      </c>
    </row>
    <row r="2033" spans="1:25" ht="75" x14ac:dyDescent="0.25">
      <c r="A2033" t="s">
        <v>26</v>
      </c>
      <c r="B2033" t="s">
        <v>3445</v>
      </c>
      <c r="C2033" t="s">
        <v>32</v>
      </c>
      <c r="D2033" t="s">
        <v>1116</v>
      </c>
      <c r="E2033" t="s">
        <v>30</v>
      </c>
      <c r="F2033" t="s">
        <v>130</v>
      </c>
      <c r="G2033" t="s">
        <v>32</v>
      </c>
      <c r="H2033" t="s">
        <v>33</v>
      </c>
      <c r="I2033" s="1" t="s">
        <v>3454</v>
      </c>
      <c r="J2033" s="1" t="s">
        <v>426</v>
      </c>
      <c r="K2033" s="1" t="s">
        <v>3455</v>
      </c>
      <c r="S2033" s="15">
        <v>1</v>
      </c>
    </row>
    <row r="2034" spans="1:25" ht="105" x14ac:dyDescent="0.25">
      <c r="A2034" t="s">
        <v>26</v>
      </c>
      <c r="B2034" t="s">
        <v>3445</v>
      </c>
      <c r="C2034" t="s">
        <v>44</v>
      </c>
      <c r="D2034" t="s">
        <v>3456</v>
      </c>
      <c r="E2034" t="s">
        <v>30</v>
      </c>
      <c r="F2034" t="s">
        <v>46</v>
      </c>
      <c r="G2034" t="s">
        <v>32</v>
      </c>
      <c r="H2034" t="s">
        <v>87</v>
      </c>
      <c r="I2034" s="1" t="s">
        <v>3457</v>
      </c>
      <c r="J2034" s="1" t="s">
        <v>481</v>
      </c>
      <c r="K2034" s="1" t="s">
        <v>3458</v>
      </c>
      <c r="W2034" s="15">
        <v>1</v>
      </c>
    </row>
    <row r="2035" spans="1:25" ht="135" x14ac:dyDescent="0.25">
      <c r="A2035" t="s">
        <v>26</v>
      </c>
      <c r="B2035" t="s">
        <v>3445</v>
      </c>
      <c r="C2035" t="s">
        <v>55</v>
      </c>
      <c r="D2035" t="s">
        <v>279</v>
      </c>
      <c r="E2035" t="s">
        <v>30</v>
      </c>
      <c r="F2035" t="s">
        <v>223</v>
      </c>
      <c r="G2035" t="s">
        <v>69</v>
      </c>
      <c r="H2035" t="s">
        <v>87</v>
      </c>
      <c r="I2035" s="1" t="s">
        <v>3459</v>
      </c>
      <c r="J2035" s="1" t="s">
        <v>1855</v>
      </c>
      <c r="K2035" s="1" t="s">
        <v>3460</v>
      </c>
      <c r="P2035" s="15">
        <v>1</v>
      </c>
      <c r="V2035" s="15">
        <v>1</v>
      </c>
    </row>
    <row r="2036" spans="1:25" ht="30" x14ac:dyDescent="0.25">
      <c r="A2036" t="s">
        <v>49</v>
      </c>
      <c r="B2036" t="s">
        <v>3445</v>
      </c>
      <c r="C2036" t="s">
        <v>32</v>
      </c>
      <c r="D2036" t="s">
        <v>1915</v>
      </c>
      <c r="E2036" t="s">
        <v>30</v>
      </c>
      <c r="F2036" t="s">
        <v>186</v>
      </c>
      <c r="G2036" t="s">
        <v>69</v>
      </c>
      <c r="H2036" t="s">
        <v>33</v>
      </c>
      <c r="I2036" s="1" t="s">
        <v>3461</v>
      </c>
      <c r="J2036" s="1" t="s">
        <v>426</v>
      </c>
      <c r="S2036" s="15">
        <v>1</v>
      </c>
    </row>
    <row r="2037" spans="1:25" ht="90" x14ac:dyDescent="0.25">
      <c r="A2037" t="s">
        <v>91</v>
      </c>
      <c r="B2037" t="s">
        <v>3445</v>
      </c>
      <c r="C2037" t="s">
        <v>73</v>
      </c>
      <c r="D2037" t="s">
        <v>3462</v>
      </c>
      <c r="E2037" t="s">
        <v>30</v>
      </c>
      <c r="F2037" t="s">
        <v>189</v>
      </c>
      <c r="G2037" t="s">
        <v>32</v>
      </c>
      <c r="H2037" t="s">
        <v>33</v>
      </c>
      <c r="I2037" s="1" t="s">
        <v>3463</v>
      </c>
      <c r="J2037" s="1" t="s">
        <v>3464</v>
      </c>
      <c r="K2037" s="1" t="s">
        <v>3465</v>
      </c>
      <c r="M2037" s="15">
        <v>1</v>
      </c>
      <c r="S2037" s="15">
        <v>1</v>
      </c>
    </row>
    <row r="2038" spans="1:25" ht="60" x14ac:dyDescent="0.25">
      <c r="A2038" t="s">
        <v>91</v>
      </c>
      <c r="B2038" t="s">
        <v>3445</v>
      </c>
      <c r="C2038" t="s">
        <v>50</v>
      </c>
      <c r="D2038" t="s">
        <v>226</v>
      </c>
      <c r="E2038" t="s">
        <v>30</v>
      </c>
      <c r="F2038" t="s">
        <v>61</v>
      </c>
      <c r="G2038" t="s">
        <v>32</v>
      </c>
      <c r="H2038" t="s">
        <v>33</v>
      </c>
      <c r="I2038" s="1" t="s">
        <v>3466</v>
      </c>
      <c r="J2038" s="1" t="s">
        <v>1874</v>
      </c>
      <c r="K2038" s="1" t="s">
        <v>3466</v>
      </c>
      <c r="O2038" s="15">
        <v>1</v>
      </c>
      <c r="W2038" s="15">
        <v>1</v>
      </c>
    </row>
    <row r="2039" spans="1:25" ht="105" x14ac:dyDescent="0.25">
      <c r="A2039" t="s">
        <v>26</v>
      </c>
      <c r="B2039" t="s">
        <v>3467</v>
      </c>
      <c r="C2039" t="s">
        <v>263</v>
      </c>
      <c r="D2039" t="s">
        <v>650</v>
      </c>
      <c r="E2039" t="s">
        <v>30</v>
      </c>
      <c r="F2039" t="s">
        <v>94</v>
      </c>
      <c r="G2039" t="s">
        <v>69</v>
      </c>
      <c r="H2039" t="s">
        <v>173</v>
      </c>
      <c r="I2039" s="1" t="s">
        <v>3468</v>
      </c>
      <c r="J2039" s="1" t="s">
        <v>17</v>
      </c>
      <c r="K2039" s="1" t="s">
        <v>3469</v>
      </c>
      <c r="R2039" s="15">
        <v>1</v>
      </c>
    </row>
    <row r="2040" spans="1:25" ht="105" x14ac:dyDescent="0.25">
      <c r="A2040" t="s">
        <v>26</v>
      </c>
      <c r="B2040" t="s">
        <v>3467</v>
      </c>
      <c r="C2040" t="s">
        <v>263</v>
      </c>
      <c r="D2040" t="s">
        <v>1253</v>
      </c>
      <c r="E2040" t="s">
        <v>30</v>
      </c>
      <c r="F2040" t="s">
        <v>182</v>
      </c>
      <c r="G2040" t="s">
        <v>69</v>
      </c>
      <c r="H2040" t="s">
        <v>87</v>
      </c>
      <c r="I2040" s="1" t="s">
        <v>3470</v>
      </c>
      <c r="J2040" s="1" t="s">
        <v>697</v>
      </c>
      <c r="K2040" s="1" t="s">
        <v>3471</v>
      </c>
      <c r="N2040" s="15">
        <v>1</v>
      </c>
    </row>
    <row r="2041" spans="1:25" ht="90" x14ac:dyDescent="0.25">
      <c r="A2041" t="s">
        <v>26</v>
      </c>
      <c r="B2041" t="s">
        <v>3467</v>
      </c>
      <c r="C2041" t="s">
        <v>96</v>
      </c>
      <c r="D2041" t="s">
        <v>176</v>
      </c>
      <c r="E2041" t="s">
        <v>30</v>
      </c>
      <c r="F2041" t="s">
        <v>61</v>
      </c>
      <c r="G2041" t="s">
        <v>32</v>
      </c>
      <c r="H2041" t="s">
        <v>33</v>
      </c>
      <c r="I2041" s="1" t="s">
        <v>3472</v>
      </c>
      <c r="J2041" s="1" t="s">
        <v>3473</v>
      </c>
      <c r="K2041" s="1" t="s">
        <v>3474</v>
      </c>
      <c r="N2041" s="15">
        <v>1</v>
      </c>
      <c r="R2041" s="15">
        <v>1</v>
      </c>
      <c r="S2041" s="15">
        <v>1</v>
      </c>
    </row>
    <row r="2042" spans="1:25" ht="75" x14ac:dyDescent="0.25">
      <c r="A2042" t="s">
        <v>26</v>
      </c>
      <c r="B2042" t="s">
        <v>3467</v>
      </c>
      <c r="C2042" t="s">
        <v>85</v>
      </c>
      <c r="D2042" t="s">
        <v>2989</v>
      </c>
      <c r="E2042" t="s">
        <v>30</v>
      </c>
      <c r="F2042" t="s">
        <v>287</v>
      </c>
      <c r="G2042" t="s">
        <v>32</v>
      </c>
      <c r="H2042" t="s">
        <v>33</v>
      </c>
      <c r="I2042" s="1" t="s">
        <v>3475</v>
      </c>
      <c r="J2042" s="1" t="s">
        <v>1876</v>
      </c>
      <c r="K2042" s="1" t="s">
        <v>3476</v>
      </c>
      <c r="O2042" s="15">
        <v>1</v>
      </c>
      <c r="S2042" s="15">
        <v>1</v>
      </c>
      <c r="W2042" s="15">
        <v>1</v>
      </c>
    </row>
    <row r="2043" spans="1:25" ht="90" x14ac:dyDescent="0.25">
      <c r="A2043" t="s">
        <v>26</v>
      </c>
      <c r="B2043" t="s">
        <v>3467</v>
      </c>
      <c r="C2043" t="s">
        <v>28</v>
      </c>
      <c r="D2043" t="s">
        <v>526</v>
      </c>
      <c r="E2043" t="s">
        <v>30</v>
      </c>
      <c r="F2043" t="s">
        <v>94</v>
      </c>
      <c r="G2043" t="s">
        <v>81</v>
      </c>
      <c r="H2043" t="s">
        <v>87</v>
      </c>
      <c r="I2043" s="1" t="s">
        <v>3477</v>
      </c>
      <c r="J2043" s="1" t="s">
        <v>15</v>
      </c>
      <c r="K2043" s="1" t="s">
        <v>3478</v>
      </c>
      <c r="P2043" s="15">
        <v>1</v>
      </c>
    </row>
    <row r="2044" spans="1:25" ht="45" x14ac:dyDescent="0.25">
      <c r="A2044" t="s">
        <v>26</v>
      </c>
      <c r="B2044" t="s">
        <v>3467</v>
      </c>
      <c r="C2044" t="s">
        <v>73</v>
      </c>
      <c r="D2044" t="s">
        <v>3479</v>
      </c>
      <c r="E2044" t="s">
        <v>30</v>
      </c>
      <c r="F2044" t="s">
        <v>205</v>
      </c>
      <c r="G2044" t="s">
        <v>32</v>
      </c>
      <c r="H2044" t="s">
        <v>87</v>
      </c>
      <c r="I2044" s="1" t="s">
        <v>3480</v>
      </c>
      <c r="J2044" s="1" t="s">
        <v>1917</v>
      </c>
      <c r="K2044" s="1" t="s">
        <v>3481</v>
      </c>
      <c r="Q2044" s="15">
        <v>1</v>
      </c>
      <c r="V2044" s="15">
        <v>1</v>
      </c>
    </row>
    <row r="2045" spans="1:25" ht="45" x14ac:dyDescent="0.25">
      <c r="A2045" t="s">
        <v>26</v>
      </c>
      <c r="B2045" t="s">
        <v>3467</v>
      </c>
      <c r="C2045" t="s">
        <v>44</v>
      </c>
      <c r="D2045" t="s">
        <v>616</v>
      </c>
      <c r="E2045" t="s">
        <v>30</v>
      </c>
      <c r="F2045" t="s">
        <v>140</v>
      </c>
      <c r="G2045" t="s">
        <v>69</v>
      </c>
      <c r="H2045" t="s">
        <v>87</v>
      </c>
      <c r="I2045" s="1" t="s">
        <v>3482</v>
      </c>
      <c r="J2045" s="1" t="s">
        <v>1917</v>
      </c>
      <c r="K2045" s="1" t="s">
        <v>3483</v>
      </c>
      <c r="Q2045" s="15">
        <v>1</v>
      </c>
      <c r="V2045" s="15">
        <v>1</v>
      </c>
    </row>
    <row r="2046" spans="1:25" ht="45" x14ac:dyDescent="0.25">
      <c r="A2046" t="s">
        <v>26</v>
      </c>
      <c r="B2046" t="s">
        <v>3467</v>
      </c>
      <c r="C2046" t="s">
        <v>28</v>
      </c>
      <c r="D2046" t="s">
        <v>528</v>
      </c>
      <c r="E2046" t="s">
        <v>30</v>
      </c>
      <c r="F2046" t="s">
        <v>189</v>
      </c>
      <c r="G2046" t="s">
        <v>32</v>
      </c>
      <c r="H2046" t="s">
        <v>33</v>
      </c>
      <c r="I2046" s="1" t="s">
        <v>3484</v>
      </c>
      <c r="J2046" s="1" t="s">
        <v>426</v>
      </c>
      <c r="K2046" s="1" t="s">
        <v>3485</v>
      </c>
      <c r="S2046" s="15">
        <v>1</v>
      </c>
    </row>
    <row r="2047" spans="1:25" ht="105" x14ac:dyDescent="0.25">
      <c r="A2047" t="s">
        <v>49</v>
      </c>
      <c r="B2047" t="s">
        <v>3467</v>
      </c>
      <c r="C2047" t="s">
        <v>55</v>
      </c>
      <c r="D2047" t="s">
        <v>382</v>
      </c>
      <c r="E2047" t="s">
        <v>30</v>
      </c>
      <c r="F2047" t="s">
        <v>196</v>
      </c>
      <c r="G2047" t="s">
        <v>69</v>
      </c>
      <c r="H2047" t="s">
        <v>87</v>
      </c>
      <c r="I2047" s="1" t="s">
        <v>3486</v>
      </c>
      <c r="J2047" s="1" t="s">
        <v>1979</v>
      </c>
      <c r="K2047" s="1" t="s">
        <v>3487</v>
      </c>
      <c r="O2047" s="15">
        <v>1</v>
      </c>
      <c r="Y2047">
        <v>1</v>
      </c>
    </row>
    <row r="2048" spans="1:25" ht="105" x14ac:dyDescent="0.25">
      <c r="A2048" t="s">
        <v>26</v>
      </c>
      <c r="B2048" t="s">
        <v>3467</v>
      </c>
      <c r="C2048" t="s">
        <v>240</v>
      </c>
      <c r="D2048" t="s">
        <v>3488</v>
      </c>
      <c r="E2048" t="s">
        <v>79</v>
      </c>
      <c r="F2048" t="s">
        <v>446</v>
      </c>
      <c r="G2048" t="s">
        <v>69</v>
      </c>
      <c r="H2048" t="s">
        <v>87</v>
      </c>
      <c r="I2048" s="1" t="s">
        <v>3489</v>
      </c>
      <c r="J2048" s="1" t="s">
        <v>481</v>
      </c>
      <c r="W2048" s="15">
        <v>1</v>
      </c>
    </row>
    <row r="2049" spans="1:25" ht="120" x14ac:dyDescent="0.25">
      <c r="A2049" t="s">
        <v>49</v>
      </c>
      <c r="B2049" t="s">
        <v>3467</v>
      </c>
      <c r="C2049" t="s">
        <v>249</v>
      </c>
      <c r="D2049" t="s">
        <v>424</v>
      </c>
      <c r="E2049" t="s">
        <v>30</v>
      </c>
      <c r="F2049" t="s">
        <v>102</v>
      </c>
      <c r="G2049" t="s">
        <v>69</v>
      </c>
      <c r="H2049" t="s">
        <v>173</v>
      </c>
      <c r="I2049" s="1" t="s">
        <v>3490</v>
      </c>
      <c r="J2049" s="1" t="s">
        <v>15</v>
      </c>
      <c r="K2049" s="1" t="s">
        <v>3491</v>
      </c>
      <c r="P2049" s="15">
        <v>1</v>
      </c>
    </row>
    <row r="2050" spans="1:25" ht="45" x14ac:dyDescent="0.25">
      <c r="A2050" t="s">
        <v>49</v>
      </c>
      <c r="B2050" t="s">
        <v>3467</v>
      </c>
      <c r="C2050" t="s">
        <v>263</v>
      </c>
      <c r="D2050" t="s">
        <v>834</v>
      </c>
      <c r="E2050" t="s">
        <v>30</v>
      </c>
      <c r="F2050" t="s">
        <v>154</v>
      </c>
      <c r="G2050" t="s">
        <v>32</v>
      </c>
      <c r="H2050" t="s">
        <v>173</v>
      </c>
      <c r="I2050" s="1" t="s">
        <v>3492</v>
      </c>
      <c r="J2050" s="1" t="s">
        <v>15</v>
      </c>
      <c r="K2050" s="1" t="s">
        <v>3493</v>
      </c>
      <c r="P2050" s="15">
        <v>1</v>
      </c>
    </row>
    <row r="2051" spans="1:25" ht="105" x14ac:dyDescent="0.25">
      <c r="A2051" t="s">
        <v>91</v>
      </c>
      <c r="B2051" t="s">
        <v>3467</v>
      </c>
      <c r="C2051" t="s">
        <v>38</v>
      </c>
      <c r="D2051" t="s">
        <v>1305</v>
      </c>
      <c r="E2051" t="s">
        <v>30</v>
      </c>
      <c r="F2051" t="s">
        <v>61</v>
      </c>
      <c r="G2051" t="s">
        <v>69</v>
      </c>
      <c r="H2051" t="s">
        <v>173</v>
      </c>
      <c r="I2051" s="1" t="s">
        <v>3494</v>
      </c>
      <c r="J2051" s="1" t="s">
        <v>15</v>
      </c>
      <c r="K2051" s="1" t="s">
        <v>3495</v>
      </c>
      <c r="P2051" s="15">
        <v>1</v>
      </c>
    </row>
    <row r="2052" spans="1:25" ht="45" x14ac:dyDescent="0.25">
      <c r="A2052" t="s">
        <v>26</v>
      </c>
      <c r="B2052" t="s">
        <v>3467</v>
      </c>
      <c r="C2052" t="s">
        <v>44</v>
      </c>
      <c r="D2052" t="s">
        <v>146</v>
      </c>
      <c r="E2052" t="s">
        <v>30</v>
      </c>
      <c r="F2052" t="s">
        <v>182</v>
      </c>
      <c r="G2052" t="s">
        <v>69</v>
      </c>
      <c r="H2052" t="s">
        <v>87</v>
      </c>
      <c r="I2052" s="1" t="s">
        <v>3496</v>
      </c>
      <c r="J2052" s="1" t="s">
        <v>2128</v>
      </c>
      <c r="K2052" s="1" t="s">
        <v>3497</v>
      </c>
      <c r="R2052" s="15">
        <v>1</v>
      </c>
      <c r="W2052" s="15">
        <v>1</v>
      </c>
    </row>
    <row r="2053" spans="1:25" ht="60" x14ac:dyDescent="0.25">
      <c r="A2053" t="s">
        <v>49</v>
      </c>
      <c r="B2053" t="s">
        <v>3467</v>
      </c>
      <c r="C2053" t="s">
        <v>38</v>
      </c>
      <c r="D2053" t="s">
        <v>618</v>
      </c>
      <c r="E2053" t="s">
        <v>30</v>
      </c>
      <c r="F2053" t="s">
        <v>61</v>
      </c>
      <c r="G2053" t="s">
        <v>32</v>
      </c>
      <c r="H2053" t="s">
        <v>173</v>
      </c>
      <c r="I2053" s="1" t="s">
        <v>3498</v>
      </c>
      <c r="J2053" s="1" t="s">
        <v>426</v>
      </c>
      <c r="K2053" s="1" t="s">
        <v>3499</v>
      </c>
      <c r="S2053" s="15">
        <v>1</v>
      </c>
    </row>
    <row r="2054" spans="1:25" ht="45" x14ac:dyDescent="0.25">
      <c r="A2054" t="s">
        <v>49</v>
      </c>
      <c r="B2054" t="s">
        <v>3467</v>
      </c>
      <c r="C2054" t="s">
        <v>249</v>
      </c>
      <c r="D2054" t="s">
        <v>574</v>
      </c>
      <c r="E2054" t="s">
        <v>30</v>
      </c>
      <c r="F2054" t="s">
        <v>246</v>
      </c>
      <c r="G2054" t="s">
        <v>32</v>
      </c>
      <c r="H2054" t="s">
        <v>33</v>
      </c>
      <c r="I2054" s="1" t="s">
        <v>3500</v>
      </c>
      <c r="J2054" s="1" t="s">
        <v>705</v>
      </c>
      <c r="K2054" s="1" t="s">
        <v>3501</v>
      </c>
      <c r="S2054" s="15">
        <v>1</v>
      </c>
      <c r="X2054" s="15">
        <v>1</v>
      </c>
    </row>
    <row r="2055" spans="1:25" ht="60" x14ac:dyDescent="0.25">
      <c r="A2055" t="s">
        <v>37</v>
      </c>
      <c r="B2055" t="s">
        <v>3467</v>
      </c>
      <c r="C2055" t="s">
        <v>249</v>
      </c>
      <c r="D2055" t="s">
        <v>401</v>
      </c>
      <c r="E2055" t="s">
        <v>79</v>
      </c>
      <c r="F2055" t="s">
        <v>182</v>
      </c>
      <c r="G2055" t="s">
        <v>69</v>
      </c>
      <c r="H2055" t="s">
        <v>87</v>
      </c>
      <c r="I2055" s="1" t="s">
        <v>3502</v>
      </c>
      <c r="J2055" s="1" t="s">
        <v>1917</v>
      </c>
      <c r="K2055" s="1" t="s">
        <v>3503</v>
      </c>
      <c r="Q2055" s="15">
        <v>1</v>
      </c>
      <c r="V2055" s="15">
        <v>1</v>
      </c>
    </row>
    <row r="2056" spans="1:25" ht="90" x14ac:dyDescent="0.25">
      <c r="A2056" t="s">
        <v>26</v>
      </c>
      <c r="B2056" t="s">
        <v>3467</v>
      </c>
      <c r="C2056" t="s">
        <v>85</v>
      </c>
      <c r="D2056" t="s">
        <v>378</v>
      </c>
      <c r="E2056" t="s">
        <v>30</v>
      </c>
      <c r="F2056" t="s">
        <v>287</v>
      </c>
      <c r="G2056" t="s">
        <v>69</v>
      </c>
      <c r="H2056" t="s">
        <v>33</v>
      </c>
      <c r="I2056" s="1" t="s">
        <v>3504</v>
      </c>
      <c r="J2056" s="1" t="s">
        <v>481</v>
      </c>
      <c r="K2056" s="1" t="s">
        <v>3505</v>
      </c>
      <c r="W2056" s="15">
        <v>1</v>
      </c>
    </row>
    <row r="2057" spans="1:25" ht="30" x14ac:dyDescent="0.25">
      <c r="A2057" t="s">
        <v>49</v>
      </c>
      <c r="B2057" t="s">
        <v>3467</v>
      </c>
      <c r="C2057" t="s">
        <v>28</v>
      </c>
      <c r="D2057" t="s">
        <v>715</v>
      </c>
      <c r="E2057" t="s">
        <v>30</v>
      </c>
      <c r="F2057" t="s">
        <v>1926</v>
      </c>
      <c r="G2057" t="s">
        <v>32</v>
      </c>
      <c r="H2057" t="s">
        <v>33</v>
      </c>
      <c r="I2057" s="1" t="s">
        <v>3506</v>
      </c>
      <c r="J2057" s="1" t="s">
        <v>426</v>
      </c>
      <c r="K2057" s="1" t="s">
        <v>3507</v>
      </c>
      <c r="S2057" s="15">
        <v>1</v>
      </c>
    </row>
    <row r="2058" spans="1:25" ht="30" x14ac:dyDescent="0.25">
      <c r="A2058" t="s">
        <v>49</v>
      </c>
      <c r="B2058" t="s">
        <v>3467</v>
      </c>
      <c r="C2058" t="s">
        <v>28</v>
      </c>
      <c r="D2058" t="s">
        <v>486</v>
      </c>
      <c r="E2058" t="s">
        <v>30</v>
      </c>
      <c r="F2058" t="s">
        <v>205</v>
      </c>
      <c r="G2058" t="s">
        <v>32</v>
      </c>
      <c r="H2058" t="s">
        <v>173</v>
      </c>
      <c r="I2058" s="1" t="s">
        <v>3508</v>
      </c>
      <c r="J2058" s="1" t="s">
        <v>17</v>
      </c>
      <c r="K2058" s="1" t="s">
        <v>3509</v>
      </c>
      <c r="Q2058" s="15">
        <v>1</v>
      </c>
    </row>
    <row r="2059" spans="1:25" ht="45" x14ac:dyDescent="0.25">
      <c r="A2059" t="s">
        <v>37</v>
      </c>
      <c r="B2059" t="s">
        <v>3467</v>
      </c>
      <c r="C2059" t="s">
        <v>235</v>
      </c>
      <c r="D2059" t="s">
        <v>2146</v>
      </c>
      <c r="E2059" t="s">
        <v>30</v>
      </c>
      <c r="F2059" t="s">
        <v>205</v>
      </c>
      <c r="G2059" t="s">
        <v>69</v>
      </c>
      <c r="H2059" t="s">
        <v>33</v>
      </c>
      <c r="I2059" s="1" t="s">
        <v>3510</v>
      </c>
      <c r="J2059" s="1" t="s">
        <v>426</v>
      </c>
      <c r="K2059" s="1" t="s">
        <v>3511</v>
      </c>
      <c r="S2059" s="15">
        <v>1</v>
      </c>
    </row>
    <row r="2060" spans="1:25" ht="30" x14ac:dyDescent="0.25">
      <c r="A2060" t="s">
        <v>49</v>
      </c>
      <c r="B2060" t="s">
        <v>3467</v>
      </c>
      <c r="C2060" t="s">
        <v>106</v>
      </c>
      <c r="D2060" t="s">
        <v>3512</v>
      </c>
      <c r="E2060" t="s">
        <v>30</v>
      </c>
      <c r="F2060" t="s">
        <v>189</v>
      </c>
      <c r="G2060" t="s">
        <v>32</v>
      </c>
      <c r="H2060" t="s">
        <v>173</v>
      </c>
      <c r="I2060" s="1" t="s">
        <v>3513</v>
      </c>
      <c r="J2060" s="1" t="s">
        <v>104</v>
      </c>
      <c r="K2060" s="1" t="s">
        <v>3514</v>
      </c>
      <c r="X2060" s="15">
        <v>1</v>
      </c>
    </row>
    <row r="2061" spans="1:25" ht="30" x14ac:dyDescent="0.25">
      <c r="A2061" t="s">
        <v>49</v>
      </c>
      <c r="B2061" t="s">
        <v>3467</v>
      </c>
      <c r="C2061" t="s">
        <v>28</v>
      </c>
      <c r="D2061" t="s">
        <v>3515</v>
      </c>
      <c r="E2061" t="s">
        <v>30</v>
      </c>
      <c r="F2061" t="s">
        <v>182</v>
      </c>
      <c r="G2061" t="s">
        <v>32</v>
      </c>
      <c r="H2061" t="s">
        <v>87</v>
      </c>
      <c r="I2061" s="1" t="s">
        <v>3516</v>
      </c>
      <c r="J2061" s="1" t="s">
        <v>17</v>
      </c>
      <c r="K2061" s="1" t="s">
        <v>3517</v>
      </c>
      <c r="Q2061" s="15">
        <v>1</v>
      </c>
    </row>
    <row r="2062" spans="1:25" ht="90" x14ac:dyDescent="0.25">
      <c r="A2062" t="s">
        <v>49</v>
      </c>
      <c r="B2062" t="s">
        <v>3467</v>
      </c>
      <c r="C2062" t="s">
        <v>28</v>
      </c>
      <c r="D2062" t="s">
        <v>153</v>
      </c>
      <c r="E2062" t="s">
        <v>30</v>
      </c>
      <c r="F2062" t="s">
        <v>246</v>
      </c>
      <c r="G2062" t="s">
        <v>32</v>
      </c>
      <c r="H2062" t="s">
        <v>33</v>
      </c>
      <c r="I2062" s="1" t="s">
        <v>3518</v>
      </c>
      <c r="J2062" s="1" t="s">
        <v>3519</v>
      </c>
      <c r="K2062" s="1" t="s">
        <v>3520</v>
      </c>
      <c r="O2062" s="15">
        <v>1</v>
      </c>
      <c r="P2062" s="15">
        <v>1</v>
      </c>
      <c r="Y2062">
        <v>1</v>
      </c>
    </row>
    <row r="2063" spans="1:25" ht="75" x14ac:dyDescent="0.25">
      <c r="A2063" t="s">
        <v>49</v>
      </c>
      <c r="B2063" t="s">
        <v>3467</v>
      </c>
      <c r="C2063" t="s">
        <v>55</v>
      </c>
      <c r="D2063" t="s">
        <v>3521</v>
      </c>
      <c r="E2063" t="s">
        <v>30</v>
      </c>
      <c r="F2063" t="s">
        <v>136</v>
      </c>
      <c r="G2063" t="s">
        <v>69</v>
      </c>
      <c r="H2063" t="s">
        <v>87</v>
      </c>
      <c r="I2063" s="1" t="s">
        <v>3522</v>
      </c>
      <c r="J2063" s="1" t="s">
        <v>436</v>
      </c>
      <c r="K2063" s="1" t="s">
        <v>3523</v>
      </c>
      <c r="T2063" s="15">
        <v>1</v>
      </c>
    </row>
    <row r="2064" spans="1:25" ht="135" x14ac:dyDescent="0.25">
      <c r="A2064" t="s">
        <v>49</v>
      </c>
      <c r="B2064" t="s">
        <v>3467</v>
      </c>
      <c r="C2064" t="s">
        <v>69</v>
      </c>
      <c r="D2064" t="s">
        <v>1258</v>
      </c>
      <c r="E2064" t="s">
        <v>30</v>
      </c>
      <c r="F2064" t="s">
        <v>290</v>
      </c>
      <c r="G2064" t="s">
        <v>69</v>
      </c>
      <c r="H2064" t="s">
        <v>173</v>
      </c>
      <c r="I2064" s="1" t="s">
        <v>3524</v>
      </c>
      <c r="J2064" s="1" t="s">
        <v>15</v>
      </c>
      <c r="K2064" s="1" t="s">
        <v>3525</v>
      </c>
      <c r="P2064" s="15">
        <v>1</v>
      </c>
    </row>
    <row r="2065" spans="1:24" ht="30" x14ac:dyDescent="0.25">
      <c r="A2065" t="s">
        <v>59</v>
      </c>
      <c r="B2065" t="s">
        <v>3467</v>
      </c>
      <c r="C2065" t="s">
        <v>69</v>
      </c>
      <c r="D2065" t="s">
        <v>3526</v>
      </c>
      <c r="E2065" t="s">
        <v>30</v>
      </c>
      <c r="F2065" t="s">
        <v>61</v>
      </c>
      <c r="G2065" t="s">
        <v>69</v>
      </c>
      <c r="H2065" t="s">
        <v>173</v>
      </c>
      <c r="I2065" s="1" t="s">
        <v>3527</v>
      </c>
      <c r="J2065" s="1" t="s">
        <v>436</v>
      </c>
      <c r="K2065" s="1" t="s">
        <v>3528</v>
      </c>
      <c r="T2065" s="15">
        <v>1</v>
      </c>
    </row>
    <row r="2066" spans="1:24" ht="135" x14ac:dyDescent="0.25">
      <c r="A2066" t="s">
        <v>91</v>
      </c>
      <c r="B2066" t="s">
        <v>3467</v>
      </c>
      <c r="C2066" t="s">
        <v>69</v>
      </c>
      <c r="D2066" t="s">
        <v>819</v>
      </c>
      <c r="E2066" t="s">
        <v>30</v>
      </c>
      <c r="F2066" t="s">
        <v>154</v>
      </c>
      <c r="G2066" t="s">
        <v>32</v>
      </c>
      <c r="H2066" t="s">
        <v>87</v>
      </c>
      <c r="I2066" s="1" t="s">
        <v>3529</v>
      </c>
      <c r="J2066" s="1" t="s">
        <v>3530</v>
      </c>
      <c r="K2066" s="1" t="s">
        <v>3531</v>
      </c>
      <c r="N2066" s="15">
        <v>1</v>
      </c>
      <c r="P2066" s="15">
        <v>1</v>
      </c>
      <c r="Q2066" s="15">
        <v>1</v>
      </c>
      <c r="V2066" s="15">
        <v>1</v>
      </c>
    </row>
    <row r="2067" spans="1:24" ht="105" x14ac:dyDescent="0.25">
      <c r="A2067" t="s">
        <v>64</v>
      </c>
      <c r="B2067" t="s">
        <v>3467</v>
      </c>
      <c r="C2067" t="s">
        <v>28</v>
      </c>
      <c r="D2067" t="s">
        <v>946</v>
      </c>
      <c r="E2067" t="s">
        <v>30</v>
      </c>
      <c r="F2067" t="s">
        <v>108</v>
      </c>
      <c r="G2067" t="s">
        <v>32</v>
      </c>
      <c r="H2067" t="s">
        <v>33</v>
      </c>
      <c r="I2067" s="1" t="s">
        <v>3532</v>
      </c>
      <c r="J2067" s="1" t="s">
        <v>481</v>
      </c>
      <c r="K2067" s="1" t="s">
        <v>2489</v>
      </c>
      <c r="W2067" s="15">
        <v>1</v>
      </c>
    </row>
    <row r="2068" spans="1:24" ht="75" x14ac:dyDescent="0.25">
      <c r="A2068" t="s">
        <v>37</v>
      </c>
      <c r="B2068" t="s">
        <v>3467</v>
      </c>
      <c r="C2068" t="s">
        <v>263</v>
      </c>
      <c r="D2068" t="s">
        <v>841</v>
      </c>
      <c r="E2068" t="s">
        <v>30</v>
      </c>
      <c r="F2068" t="s">
        <v>205</v>
      </c>
      <c r="G2068" t="s">
        <v>32</v>
      </c>
      <c r="H2068" t="s">
        <v>87</v>
      </c>
      <c r="I2068" s="1" t="s">
        <v>3533</v>
      </c>
      <c r="J2068" s="1" t="s">
        <v>481</v>
      </c>
      <c r="K2068" s="1" t="s">
        <v>3534</v>
      </c>
      <c r="W2068" s="15">
        <v>1</v>
      </c>
    </row>
    <row r="2069" spans="1:24" ht="135" x14ac:dyDescent="0.25">
      <c r="A2069" t="s">
        <v>37</v>
      </c>
      <c r="B2069" t="s">
        <v>3467</v>
      </c>
      <c r="C2069" t="s">
        <v>38</v>
      </c>
      <c r="D2069" t="s">
        <v>2380</v>
      </c>
      <c r="E2069" t="s">
        <v>30</v>
      </c>
      <c r="F2069" t="s">
        <v>166</v>
      </c>
      <c r="G2069" t="s">
        <v>32</v>
      </c>
      <c r="H2069" t="s">
        <v>87</v>
      </c>
      <c r="I2069" s="1" t="s">
        <v>3535</v>
      </c>
      <c r="J2069" s="1" t="s">
        <v>15</v>
      </c>
      <c r="K2069" s="1" t="s">
        <v>3536</v>
      </c>
      <c r="P2069" s="15">
        <v>1</v>
      </c>
    </row>
    <row r="2070" spans="1:24" ht="60" x14ac:dyDescent="0.25">
      <c r="A2070" t="s">
        <v>37</v>
      </c>
      <c r="B2070" t="s">
        <v>3467</v>
      </c>
      <c r="C2070" t="s">
        <v>32</v>
      </c>
      <c r="D2070" t="s">
        <v>3537</v>
      </c>
      <c r="E2070" t="s">
        <v>30</v>
      </c>
      <c r="F2070" t="s">
        <v>154</v>
      </c>
      <c r="G2070" t="s">
        <v>32</v>
      </c>
      <c r="H2070" t="s">
        <v>33</v>
      </c>
      <c r="I2070" s="1" t="s">
        <v>3538</v>
      </c>
      <c r="J2070" s="1" t="s">
        <v>2093</v>
      </c>
      <c r="K2070" s="1" t="s">
        <v>3539</v>
      </c>
      <c r="O2070" s="15">
        <v>1</v>
      </c>
      <c r="S2070" s="15">
        <v>1</v>
      </c>
      <c r="X2070" s="15">
        <v>1</v>
      </c>
    </row>
    <row r="2071" spans="1:24" ht="30" x14ac:dyDescent="0.25">
      <c r="A2071" t="s">
        <v>26</v>
      </c>
      <c r="B2071" t="s">
        <v>3540</v>
      </c>
      <c r="C2071" t="s">
        <v>249</v>
      </c>
      <c r="D2071" t="s">
        <v>1695</v>
      </c>
      <c r="E2071" t="s">
        <v>30</v>
      </c>
      <c r="F2071" t="s">
        <v>154</v>
      </c>
      <c r="G2071" t="s">
        <v>32</v>
      </c>
      <c r="H2071" t="s">
        <v>33</v>
      </c>
      <c r="I2071" s="1" t="s">
        <v>3541</v>
      </c>
      <c r="J2071" s="1" t="s">
        <v>426</v>
      </c>
      <c r="S2071" s="15">
        <v>1</v>
      </c>
    </row>
    <row r="2072" spans="1:24" ht="45" x14ac:dyDescent="0.25">
      <c r="A2072" t="s">
        <v>26</v>
      </c>
      <c r="B2072" t="s">
        <v>3540</v>
      </c>
      <c r="C2072" t="s">
        <v>263</v>
      </c>
      <c r="D2072" t="s">
        <v>3542</v>
      </c>
      <c r="E2072" t="s">
        <v>30</v>
      </c>
      <c r="F2072" t="s">
        <v>40</v>
      </c>
      <c r="G2072" t="s">
        <v>32</v>
      </c>
      <c r="H2072" t="s">
        <v>173</v>
      </c>
      <c r="I2072" s="1" t="s">
        <v>3543</v>
      </c>
      <c r="J2072" s="1" t="s">
        <v>3091</v>
      </c>
      <c r="K2072" s="1" t="s">
        <v>3544</v>
      </c>
      <c r="Q2072" s="15">
        <v>1</v>
      </c>
      <c r="S2072" s="15">
        <v>1</v>
      </c>
    </row>
    <row r="2073" spans="1:24" ht="120" x14ac:dyDescent="0.25">
      <c r="A2073" t="s">
        <v>26</v>
      </c>
      <c r="B2073" t="s">
        <v>3540</v>
      </c>
      <c r="C2073" t="s">
        <v>92</v>
      </c>
      <c r="D2073" t="s">
        <v>629</v>
      </c>
      <c r="E2073" t="s">
        <v>30</v>
      </c>
      <c r="F2073" t="s">
        <v>94</v>
      </c>
      <c r="G2073" t="s">
        <v>69</v>
      </c>
      <c r="H2073" t="s">
        <v>33</v>
      </c>
      <c r="I2073" s="1" t="s">
        <v>3545</v>
      </c>
      <c r="J2073" s="1" t="s">
        <v>426</v>
      </c>
      <c r="K2073" s="1" t="s">
        <v>3546</v>
      </c>
      <c r="S2073" s="15">
        <v>1</v>
      </c>
    </row>
    <row r="2074" spans="1:24" ht="90" x14ac:dyDescent="0.25">
      <c r="A2074" t="s">
        <v>26</v>
      </c>
      <c r="B2074" t="s">
        <v>3540</v>
      </c>
      <c r="C2074" t="s">
        <v>263</v>
      </c>
      <c r="D2074" t="s">
        <v>3547</v>
      </c>
      <c r="E2074" t="s">
        <v>30</v>
      </c>
      <c r="F2074" t="s">
        <v>216</v>
      </c>
      <c r="G2074" t="s">
        <v>32</v>
      </c>
      <c r="H2074" t="s">
        <v>33</v>
      </c>
      <c r="I2074" s="1" t="s">
        <v>3548</v>
      </c>
      <c r="J2074" s="1" t="s">
        <v>426</v>
      </c>
      <c r="S2074" s="15">
        <v>1</v>
      </c>
    </row>
    <row r="2075" spans="1:24" ht="90" x14ac:dyDescent="0.25">
      <c r="A2075" t="s">
        <v>26</v>
      </c>
      <c r="B2075" t="s">
        <v>3540</v>
      </c>
      <c r="C2075" t="s">
        <v>249</v>
      </c>
      <c r="D2075" t="s">
        <v>657</v>
      </c>
      <c r="E2075" t="s">
        <v>30</v>
      </c>
      <c r="F2075" t="s">
        <v>543</v>
      </c>
      <c r="G2075" t="s">
        <v>32</v>
      </c>
      <c r="H2075" t="s">
        <v>33</v>
      </c>
      <c r="I2075" s="1" t="s">
        <v>3549</v>
      </c>
      <c r="J2075" s="1" t="s">
        <v>3464</v>
      </c>
      <c r="K2075" s="1" t="s">
        <v>3550</v>
      </c>
      <c r="M2075" s="15">
        <v>1</v>
      </c>
      <c r="S2075" s="15">
        <v>1</v>
      </c>
    </row>
    <row r="2076" spans="1:24" ht="120" x14ac:dyDescent="0.25">
      <c r="A2076" t="s">
        <v>26</v>
      </c>
      <c r="B2076" t="s">
        <v>3540</v>
      </c>
      <c r="C2076" t="s">
        <v>472</v>
      </c>
      <c r="D2076" t="s">
        <v>473</v>
      </c>
      <c r="E2076" t="s">
        <v>79</v>
      </c>
      <c r="F2076" t="s">
        <v>52</v>
      </c>
      <c r="G2076" t="s">
        <v>69</v>
      </c>
      <c r="H2076" t="s">
        <v>87</v>
      </c>
      <c r="I2076" s="1" t="s">
        <v>3551</v>
      </c>
      <c r="J2076" s="1" t="s">
        <v>17</v>
      </c>
      <c r="K2076" s="1" t="s">
        <v>3552</v>
      </c>
      <c r="R2076" s="15">
        <v>1</v>
      </c>
    </row>
    <row r="2077" spans="1:24" ht="60" x14ac:dyDescent="0.25">
      <c r="A2077" t="s">
        <v>26</v>
      </c>
      <c r="B2077" t="s">
        <v>3540</v>
      </c>
      <c r="C2077" t="s">
        <v>106</v>
      </c>
      <c r="D2077" t="s">
        <v>3553</v>
      </c>
      <c r="E2077" t="s">
        <v>30</v>
      </c>
      <c r="F2077" t="s">
        <v>290</v>
      </c>
      <c r="G2077" t="s">
        <v>32</v>
      </c>
      <c r="H2077" t="s">
        <v>33</v>
      </c>
      <c r="I2077" s="1" t="s">
        <v>3554</v>
      </c>
      <c r="S2077" s="15">
        <v>1</v>
      </c>
    </row>
    <row r="2078" spans="1:24" ht="30" x14ac:dyDescent="0.25">
      <c r="A2078" t="s">
        <v>26</v>
      </c>
      <c r="B2078" t="s">
        <v>3540</v>
      </c>
      <c r="C2078" t="s">
        <v>263</v>
      </c>
      <c r="D2078" t="s">
        <v>1128</v>
      </c>
      <c r="E2078" t="s">
        <v>30</v>
      </c>
      <c r="F2078" t="s">
        <v>189</v>
      </c>
      <c r="G2078" t="s">
        <v>32</v>
      </c>
      <c r="H2078" t="s">
        <v>33</v>
      </c>
      <c r="I2078" s="1" t="s">
        <v>3555</v>
      </c>
      <c r="W2078" s="15">
        <v>1</v>
      </c>
      <c r="X2078" s="15">
        <v>1</v>
      </c>
    </row>
    <row r="2079" spans="1:24" ht="105" x14ac:dyDescent="0.25">
      <c r="A2079" t="s">
        <v>26</v>
      </c>
      <c r="B2079" t="s">
        <v>3540</v>
      </c>
      <c r="C2079" t="s">
        <v>249</v>
      </c>
      <c r="D2079" t="s">
        <v>657</v>
      </c>
      <c r="E2079" t="s">
        <v>30</v>
      </c>
      <c r="F2079" t="s">
        <v>46</v>
      </c>
      <c r="G2079" t="s">
        <v>69</v>
      </c>
      <c r="H2079" t="s">
        <v>173</v>
      </c>
      <c r="I2079" s="1" t="s">
        <v>3556</v>
      </c>
      <c r="W2079" s="15">
        <v>1</v>
      </c>
    </row>
    <row r="2080" spans="1:24" ht="90" x14ac:dyDescent="0.25">
      <c r="A2080" t="s">
        <v>26</v>
      </c>
      <c r="B2080" t="s">
        <v>3540</v>
      </c>
      <c r="C2080" t="s">
        <v>69</v>
      </c>
      <c r="D2080" t="s">
        <v>557</v>
      </c>
      <c r="E2080" t="s">
        <v>30</v>
      </c>
      <c r="F2080" t="s">
        <v>94</v>
      </c>
      <c r="G2080" t="s">
        <v>32</v>
      </c>
      <c r="H2080" t="s">
        <v>173</v>
      </c>
      <c r="I2080" s="1" t="s">
        <v>3557</v>
      </c>
      <c r="P2080" s="15">
        <v>1</v>
      </c>
    </row>
    <row r="2081" spans="1:24" ht="90" x14ac:dyDescent="0.25">
      <c r="A2081" t="s">
        <v>26</v>
      </c>
      <c r="B2081" t="s">
        <v>3540</v>
      </c>
      <c r="C2081" t="s">
        <v>96</v>
      </c>
      <c r="D2081" t="s">
        <v>676</v>
      </c>
      <c r="E2081" t="s">
        <v>30</v>
      </c>
      <c r="F2081" t="s">
        <v>602</v>
      </c>
      <c r="G2081" t="s">
        <v>32</v>
      </c>
      <c r="H2081" t="s">
        <v>87</v>
      </c>
      <c r="I2081" s="1" t="s">
        <v>3558</v>
      </c>
      <c r="N2081" s="15">
        <v>1</v>
      </c>
      <c r="Q2081" s="15">
        <v>1</v>
      </c>
    </row>
    <row r="2082" spans="1:24" ht="45" x14ac:dyDescent="0.25">
      <c r="A2082" t="s">
        <v>26</v>
      </c>
      <c r="B2082" t="s">
        <v>3540</v>
      </c>
      <c r="C2082" t="s">
        <v>69</v>
      </c>
      <c r="D2082" t="s">
        <v>160</v>
      </c>
      <c r="E2082" t="s">
        <v>30</v>
      </c>
      <c r="F2082" t="s">
        <v>61</v>
      </c>
      <c r="G2082" t="s">
        <v>32</v>
      </c>
      <c r="H2082" t="s">
        <v>173</v>
      </c>
      <c r="I2082" s="1" t="s">
        <v>3559</v>
      </c>
      <c r="Q2082" s="15">
        <v>1</v>
      </c>
    </row>
    <row r="2083" spans="1:24" ht="60" x14ac:dyDescent="0.25">
      <c r="A2083" t="s">
        <v>26</v>
      </c>
      <c r="B2083" t="s">
        <v>3540</v>
      </c>
      <c r="C2083" t="s">
        <v>249</v>
      </c>
      <c r="D2083" t="s">
        <v>424</v>
      </c>
      <c r="E2083" t="s">
        <v>30</v>
      </c>
      <c r="F2083" t="s">
        <v>112</v>
      </c>
      <c r="G2083" t="s">
        <v>69</v>
      </c>
      <c r="H2083" t="s">
        <v>87</v>
      </c>
      <c r="I2083" s="1" t="s">
        <v>3560</v>
      </c>
      <c r="P2083" s="15">
        <v>1</v>
      </c>
      <c r="Q2083" s="15">
        <v>1</v>
      </c>
    </row>
    <row r="2084" spans="1:24" ht="45" x14ac:dyDescent="0.25">
      <c r="A2084" t="s">
        <v>26</v>
      </c>
      <c r="B2084" t="s">
        <v>3540</v>
      </c>
      <c r="C2084" t="s">
        <v>44</v>
      </c>
      <c r="D2084" t="s">
        <v>68</v>
      </c>
      <c r="E2084" t="s">
        <v>30</v>
      </c>
      <c r="F2084" t="s">
        <v>389</v>
      </c>
      <c r="G2084" t="s">
        <v>32</v>
      </c>
      <c r="H2084" t="s">
        <v>33</v>
      </c>
      <c r="I2084" s="1" t="s">
        <v>3561</v>
      </c>
      <c r="S2084" s="15">
        <v>1</v>
      </c>
    </row>
    <row r="2085" spans="1:24" ht="45" x14ac:dyDescent="0.25">
      <c r="A2085" t="s">
        <v>26</v>
      </c>
      <c r="B2085" t="s">
        <v>3540</v>
      </c>
      <c r="C2085" t="s">
        <v>69</v>
      </c>
      <c r="D2085" t="s">
        <v>664</v>
      </c>
      <c r="E2085" t="s">
        <v>79</v>
      </c>
      <c r="F2085" t="s">
        <v>40</v>
      </c>
      <c r="G2085" t="s">
        <v>32</v>
      </c>
      <c r="H2085" t="s">
        <v>173</v>
      </c>
      <c r="I2085" s="1" t="s">
        <v>3562</v>
      </c>
      <c r="V2085" s="15">
        <v>1</v>
      </c>
    </row>
    <row r="2086" spans="1:24" ht="45" x14ac:dyDescent="0.25">
      <c r="A2086" t="s">
        <v>26</v>
      </c>
      <c r="B2086" t="s">
        <v>3540</v>
      </c>
      <c r="C2086" t="s">
        <v>69</v>
      </c>
      <c r="D2086" t="s">
        <v>1473</v>
      </c>
      <c r="E2086" t="s">
        <v>30</v>
      </c>
      <c r="F2086" t="s">
        <v>205</v>
      </c>
      <c r="G2086" t="s">
        <v>32</v>
      </c>
      <c r="H2086" t="s">
        <v>33</v>
      </c>
      <c r="I2086" s="1" t="s">
        <v>3563</v>
      </c>
      <c r="S2086" s="15">
        <v>1</v>
      </c>
    </row>
    <row r="2087" spans="1:24" ht="45" x14ac:dyDescent="0.25">
      <c r="A2087" t="s">
        <v>26</v>
      </c>
      <c r="B2087" t="s">
        <v>3540</v>
      </c>
      <c r="C2087" t="s">
        <v>92</v>
      </c>
      <c r="D2087" t="s">
        <v>3564</v>
      </c>
      <c r="E2087" t="s">
        <v>30</v>
      </c>
      <c r="F2087" t="s">
        <v>166</v>
      </c>
      <c r="G2087" t="s">
        <v>32</v>
      </c>
      <c r="H2087" t="s">
        <v>33</v>
      </c>
      <c r="I2087" s="1" t="s">
        <v>3565</v>
      </c>
      <c r="O2087" s="15">
        <v>1</v>
      </c>
      <c r="S2087" s="15">
        <v>1</v>
      </c>
      <c r="X2087" s="15">
        <v>1</v>
      </c>
    </row>
    <row r="2088" spans="1:24" ht="60" x14ac:dyDescent="0.25">
      <c r="A2088" t="s">
        <v>26</v>
      </c>
      <c r="B2088" t="s">
        <v>3540</v>
      </c>
      <c r="C2088" t="s">
        <v>44</v>
      </c>
      <c r="D2088" t="s">
        <v>146</v>
      </c>
      <c r="E2088" t="s">
        <v>30</v>
      </c>
      <c r="F2088" t="s">
        <v>182</v>
      </c>
      <c r="G2088" t="s">
        <v>32</v>
      </c>
      <c r="H2088" t="s">
        <v>33</v>
      </c>
      <c r="I2088" s="1" t="s">
        <v>3566</v>
      </c>
      <c r="S2088" s="15">
        <v>1</v>
      </c>
      <c r="W2088" s="15">
        <v>1</v>
      </c>
    </row>
    <row r="2089" spans="1:24" ht="30" x14ac:dyDescent="0.25">
      <c r="A2089" t="s">
        <v>26</v>
      </c>
      <c r="B2089" t="s">
        <v>3540</v>
      </c>
      <c r="C2089" t="s">
        <v>28</v>
      </c>
      <c r="D2089" t="s">
        <v>846</v>
      </c>
      <c r="E2089" t="s">
        <v>30</v>
      </c>
      <c r="F2089" t="s">
        <v>246</v>
      </c>
      <c r="G2089" t="s">
        <v>32</v>
      </c>
      <c r="H2089" t="s">
        <v>33</v>
      </c>
      <c r="I2089" s="1" t="s">
        <v>3567</v>
      </c>
      <c r="S2089" s="15">
        <v>1</v>
      </c>
      <c r="X2089" s="15">
        <v>1</v>
      </c>
    </row>
    <row r="2090" spans="1:24" ht="60" x14ac:dyDescent="0.25">
      <c r="A2090" t="s">
        <v>26</v>
      </c>
      <c r="B2090" t="s">
        <v>3540</v>
      </c>
      <c r="C2090" t="s">
        <v>32</v>
      </c>
      <c r="D2090" t="s">
        <v>358</v>
      </c>
      <c r="E2090" t="s">
        <v>30</v>
      </c>
      <c r="F2090" t="s">
        <v>246</v>
      </c>
      <c r="G2090" t="s">
        <v>69</v>
      </c>
      <c r="H2090" t="s">
        <v>173</v>
      </c>
      <c r="I2090" s="1" t="s">
        <v>3568</v>
      </c>
      <c r="T2090" s="15">
        <v>1</v>
      </c>
    </row>
    <row r="2091" spans="1:24" ht="30" x14ac:dyDescent="0.25">
      <c r="A2091" t="s">
        <v>26</v>
      </c>
      <c r="B2091" t="s">
        <v>3540</v>
      </c>
      <c r="C2091" t="s">
        <v>240</v>
      </c>
      <c r="D2091" t="s">
        <v>1155</v>
      </c>
      <c r="E2091" t="s">
        <v>30</v>
      </c>
      <c r="F2091" t="s">
        <v>520</v>
      </c>
      <c r="G2091" t="s">
        <v>32</v>
      </c>
      <c r="H2091" t="s">
        <v>87</v>
      </c>
      <c r="I2091" s="1" t="s">
        <v>3569</v>
      </c>
      <c r="T2091" s="15">
        <v>1</v>
      </c>
    </row>
    <row r="2092" spans="1:24" ht="90" x14ac:dyDescent="0.25">
      <c r="A2092" t="s">
        <v>26</v>
      </c>
      <c r="B2092" t="s">
        <v>3540</v>
      </c>
      <c r="C2092" t="s">
        <v>44</v>
      </c>
      <c r="D2092" t="s">
        <v>622</v>
      </c>
      <c r="E2092" t="s">
        <v>30</v>
      </c>
      <c r="F2092" t="s">
        <v>166</v>
      </c>
      <c r="G2092" t="s">
        <v>69</v>
      </c>
      <c r="H2092" t="s">
        <v>33</v>
      </c>
      <c r="I2092" s="1" t="s">
        <v>3570</v>
      </c>
      <c r="T2092" s="15">
        <v>1</v>
      </c>
    </row>
    <row r="2093" spans="1:24" ht="75" x14ac:dyDescent="0.25">
      <c r="A2093" t="s">
        <v>49</v>
      </c>
      <c r="B2093" t="s">
        <v>3540</v>
      </c>
      <c r="C2093" t="s">
        <v>249</v>
      </c>
      <c r="D2093" t="s">
        <v>355</v>
      </c>
      <c r="E2093" t="s">
        <v>30</v>
      </c>
      <c r="F2093" t="s">
        <v>94</v>
      </c>
      <c r="G2093" t="s">
        <v>32</v>
      </c>
      <c r="H2093" t="s">
        <v>33</v>
      </c>
      <c r="I2093" s="1" t="s">
        <v>3571</v>
      </c>
      <c r="S2093" s="15">
        <v>1</v>
      </c>
    </row>
    <row r="2094" spans="1:24" ht="105" x14ac:dyDescent="0.25">
      <c r="A2094" t="s">
        <v>26</v>
      </c>
      <c r="B2094" t="s">
        <v>3540</v>
      </c>
      <c r="C2094" t="s">
        <v>32</v>
      </c>
      <c r="D2094" t="s">
        <v>208</v>
      </c>
      <c r="E2094" t="s">
        <v>30</v>
      </c>
      <c r="F2094" t="s">
        <v>543</v>
      </c>
      <c r="G2094" t="s">
        <v>38</v>
      </c>
      <c r="H2094" t="s">
        <v>87</v>
      </c>
      <c r="I2094" s="1" t="s">
        <v>3572</v>
      </c>
      <c r="P2094" s="15">
        <v>1</v>
      </c>
    </row>
    <row r="2095" spans="1:24" ht="30" x14ac:dyDescent="0.25">
      <c r="A2095" t="s">
        <v>26</v>
      </c>
      <c r="B2095" t="s">
        <v>3540</v>
      </c>
      <c r="C2095" t="s">
        <v>96</v>
      </c>
      <c r="D2095" t="s">
        <v>769</v>
      </c>
      <c r="E2095" t="s">
        <v>30</v>
      </c>
      <c r="F2095" t="s">
        <v>205</v>
      </c>
      <c r="G2095" t="s">
        <v>32</v>
      </c>
      <c r="H2095" t="s">
        <v>33</v>
      </c>
      <c r="I2095" s="1" t="s">
        <v>3573</v>
      </c>
      <c r="W2095" s="15">
        <v>1</v>
      </c>
    </row>
    <row r="2096" spans="1:24" ht="45" x14ac:dyDescent="0.25">
      <c r="A2096" t="s">
        <v>49</v>
      </c>
      <c r="B2096" t="s">
        <v>3540</v>
      </c>
      <c r="C2096" t="s">
        <v>38</v>
      </c>
      <c r="D2096" t="s">
        <v>466</v>
      </c>
      <c r="E2096" t="s">
        <v>30</v>
      </c>
      <c r="F2096" t="s">
        <v>246</v>
      </c>
      <c r="G2096" t="s">
        <v>32</v>
      </c>
      <c r="H2096" t="s">
        <v>33</v>
      </c>
      <c r="I2096" s="1" t="s">
        <v>3574</v>
      </c>
      <c r="S2096" s="15">
        <v>1</v>
      </c>
    </row>
    <row r="2097" spans="1:25" x14ac:dyDescent="0.25">
      <c r="A2097" t="s">
        <v>49</v>
      </c>
      <c r="B2097" t="s">
        <v>3540</v>
      </c>
      <c r="C2097" t="s">
        <v>235</v>
      </c>
      <c r="D2097" t="s">
        <v>3575</v>
      </c>
      <c r="E2097" t="s">
        <v>30</v>
      </c>
      <c r="F2097" t="s">
        <v>202</v>
      </c>
      <c r="G2097" t="s">
        <v>32</v>
      </c>
      <c r="H2097" t="s">
        <v>173</v>
      </c>
      <c r="I2097" s="1" t="s">
        <v>3576</v>
      </c>
      <c r="N2097" s="15">
        <v>1</v>
      </c>
    </row>
    <row r="2098" spans="1:25" ht="60" x14ac:dyDescent="0.25">
      <c r="A2098" t="s">
        <v>26</v>
      </c>
      <c r="B2098" t="s">
        <v>3540</v>
      </c>
      <c r="C2098" t="s">
        <v>28</v>
      </c>
      <c r="D2098" t="s">
        <v>388</v>
      </c>
      <c r="E2098" t="s">
        <v>30</v>
      </c>
      <c r="F2098" t="s">
        <v>102</v>
      </c>
      <c r="G2098" t="s">
        <v>32</v>
      </c>
      <c r="H2098" t="s">
        <v>33</v>
      </c>
      <c r="I2098" s="1" t="s">
        <v>3577</v>
      </c>
      <c r="S2098" s="15">
        <v>1</v>
      </c>
    </row>
    <row r="2099" spans="1:25" ht="60" x14ac:dyDescent="0.25">
      <c r="A2099" t="s">
        <v>26</v>
      </c>
      <c r="B2099" t="s">
        <v>3540</v>
      </c>
      <c r="C2099" t="s">
        <v>472</v>
      </c>
      <c r="D2099" t="s">
        <v>690</v>
      </c>
      <c r="E2099" t="s">
        <v>30</v>
      </c>
      <c r="F2099" t="s">
        <v>154</v>
      </c>
      <c r="G2099" t="s">
        <v>69</v>
      </c>
      <c r="H2099" t="s">
        <v>33</v>
      </c>
      <c r="I2099" s="1" t="s">
        <v>3578</v>
      </c>
      <c r="P2099" s="15">
        <v>1</v>
      </c>
    </row>
    <row r="2100" spans="1:25" ht="105" x14ac:dyDescent="0.25">
      <c r="A2100" t="s">
        <v>49</v>
      </c>
      <c r="B2100" t="s">
        <v>3540</v>
      </c>
      <c r="C2100" t="s">
        <v>50</v>
      </c>
      <c r="D2100" t="s">
        <v>563</v>
      </c>
      <c r="E2100" t="s">
        <v>30</v>
      </c>
      <c r="F2100" t="s">
        <v>161</v>
      </c>
      <c r="G2100" t="s">
        <v>81</v>
      </c>
      <c r="H2100" t="s">
        <v>87</v>
      </c>
      <c r="I2100" s="1" t="s">
        <v>3579</v>
      </c>
      <c r="Q2100" s="15">
        <v>1</v>
      </c>
      <c r="T2100" s="15">
        <v>1</v>
      </c>
    </row>
    <row r="2101" spans="1:25" x14ac:dyDescent="0.25">
      <c r="A2101" t="s">
        <v>49</v>
      </c>
      <c r="B2101" t="s">
        <v>3540</v>
      </c>
      <c r="C2101" t="s">
        <v>55</v>
      </c>
      <c r="D2101" t="s">
        <v>382</v>
      </c>
      <c r="E2101" t="s">
        <v>30</v>
      </c>
      <c r="F2101" t="s">
        <v>40</v>
      </c>
      <c r="G2101" t="s">
        <v>32</v>
      </c>
      <c r="H2101" t="s">
        <v>173</v>
      </c>
      <c r="I2101" s="1" t="s">
        <v>3580</v>
      </c>
      <c r="Q2101" s="15">
        <v>1</v>
      </c>
    </row>
    <row r="2102" spans="1:25" ht="30" x14ac:dyDescent="0.25">
      <c r="A2102" t="s">
        <v>49</v>
      </c>
      <c r="B2102" t="s">
        <v>3540</v>
      </c>
      <c r="C2102" t="s">
        <v>28</v>
      </c>
      <c r="D2102" t="s">
        <v>1552</v>
      </c>
      <c r="E2102" t="s">
        <v>30</v>
      </c>
      <c r="F2102" t="s">
        <v>98</v>
      </c>
      <c r="G2102" t="s">
        <v>32</v>
      </c>
      <c r="H2102" t="s">
        <v>33</v>
      </c>
      <c r="I2102" s="1" t="s">
        <v>3581</v>
      </c>
      <c r="S2102" s="15">
        <v>1</v>
      </c>
    </row>
    <row r="2103" spans="1:25" x14ac:dyDescent="0.25">
      <c r="A2103" t="s">
        <v>26</v>
      </c>
      <c r="B2103" t="s">
        <v>3540</v>
      </c>
      <c r="C2103" t="s">
        <v>69</v>
      </c>
      <c r="D2103" t="s">
        <v>3582</v>
      </c>
      <c r="E2103" t="s">
        <v>30</v>
      </c>
      <c r="F2103" t="s">
        <v>154</v>
      </c>
      <c r="G2103" t="s">
        <v>32</v>
      </c>
      <c r="H2103" t="s">
        <v>33</v>
      </c>
      <c r="I2103" s="1" t="s">
        <v>3583</v>
      </c>
      <c r="S2103" s="15">
        <v>1</v>
      </c>
    </row>
    <row r="2104" spans="1:25" ht="105" x14ac:dyDescent="0.25">
      <c r="A2104" t="s">
        <v>49</v>
      </c>
      <c r="B2104" t="s">
        <v>3540</v>
      </c>
      <c r="C2104" t="s">
        <v>69</v>
      </c>
      <c r="D2104" t="s">
        <v>283</v>
      </c>
      <c r="E2104" t="s">
        <v>30</v>
      </c>
      <c r="F2104" t="s">
        <v>446</v>
      </c>
      <c r="G2104" t="s">
        <v>32</v>
      </c>
      <c r="H2104" t="s">
        <v>173</v>
      </c>
      <c r="I2104" s="1" t="s">
        <v>3584</v>
      </c>
      <c r="P2104" s="15">
        <v>1</v>
      </c>
      <c r="Y2104">
        <v>1</v>
      </c>
    </row>
    <row r="2105" spans="1:25" ht="75" x14ac:dyDescent="0.25">
      <c r="A2105" t="s">
        <v>91</v>
      </c>
      <c r="B2105" t="s">
        <v>3540</v>
      </c>
      <c r="C2105" t="s">
        <v>50</v>
      </c>
      <c r="D2105" t="s">
        <v>1013</v>
      </c>
      <c r="E2105" t="s">
        <v>79</v>
      </c>
      <c r="F2105" t="s">
        <v>202</v>
      </c>
      <c r="G2105" t="s">
        <v>69</v>
      </c>
      <c r="H2105" t="s">
        <v>33</v>
      </c>
      <c r="I2105" s="1" t="s">
        <v>3585</v>
      </c>
      <c r="S2105" s="15">
        <v>1</v>
      </c>
    </row>
    <row r="2106" spans="1:25" ht="105" x14ac:dyDescent="0.25">
      <c r="A2106" t="s">
        <v>91</v>
      </c>
      <c r="B2106" t="s">
        <v>3540</v>
      </c>
      <c r="C2106" t="s">
        <v>44</v>
      </c>
      <c r="D2106" t="s">
        <v>267</v>
      </c>
      <c r="E2106" t="s">
        <v>30</v>
      </c>
      <c r="F2106" t="s">
        <v>543</v>
      </c>
      <c r="G2106" t="s">
        <v>32</v>
      </c>
      <c r="H2106" t="s">
        <v>33</v>
      </c>
      <c r="I2106" s="1" t="s">
        <v>3586</v>
      </c>
      <c r="S2106" s="15">
        <v>1</v>
      </c>
    </row>
    <row r="2107" spans="1:25" ht="30" x14ac:dyDescent="0.25">
      <c r="A2107" t="s">
        <v>91</v>
      </c>
      <c r="B2107" t="s">
        <v>3540</v>
      </c>
      <c r="C2107" t="s">
        <v>44</v>
      </c>
      <c r="D2107" t="s">
        <v>68</v>
      </c>
      <c r="E2107" t="s">
        <v>30</v>
      </c>
      <c r="F2107" t="s">
        <v>1103</v>
      </c>
      <c r="G2107" t="s">
        <v>32</v>
      </c>
      <c r="H2107" t="s">
        <v>173</v>
      </c>
      <c r="I2107" s="1" t="s">
        <v>3587</v>
      </c>
      <c r="R2107" s="15">
        <v>1</v>
      </c>
    </row>
    <row r="2108" spans="1:25" ht="30" x14ac:dyDescent="0.25">
      <c r="A2108" t="s">
        <v>49</v>
      </c>
      <c r="B2108" t="s">
        <v>3540</v>
      </c>
      <c r="C2108" t="s">
        <v>55</v>
      </c>
      <c r="D2108" t="s">
        <v>479</v>
      </c>
      <c r="E2108" t="s">
        <v>30</v>
      </c>
      <c r="F2108" t="s">
        <v>119</v>
      </c>
      <c r="G2108" t="s">
        <v>32</v>
      </c>
      <c r="H2108" t="s">
        <v>173</v>
      </c>
      <c r="I2108" s="1" t="s">
        <v>3588</v>
      </c>
      <c r="Y2108">
        <v>1</v>
      </c>
    </row>
    <row r="2109" spans="1:25" ht="75" x14ac:dyDescent="0.25">
      <c r="A2109" t="s">
        <v>59</v>
      </c>
      <c r="B2109" t="s">
        <v>3540</v>
      </c>
      <c r="C2109" t="s">
        <v>249</v>
      </c>
      <c r="D2109" t="s">
        <v>424</v>
      </c>
      <c r="E2109" t="s">
        <v>30</v>
      </c>
      <c r="F2109" t="s">
        <v>446</v>
      </c>
      <c r="G2109" t="s">
        <v>32</v>
      </c>
      <c r="H2109" t="s">
        <v>33</v>
      </c>
      <c r="I2109" s="1" t="s">
        <v>3589</v>
      </c>
      <c r="W2109" s="15">
        <v>1</v>
      </c>
    </row>
    <row r="2110" spans="1:25" ht="105" x14ac:dyDescent="0.25">
      <c r="A2110" t="s">
        <v>91</v>
      </c>
      <c r="B2110" t="s">
        <v>3540</v>
      </c>
      <c r="C2110" t="s">
        <v>28</v>
      </c>
      <c r="D2110" t="s">
        <v>756</v>
      </c>
      <c r="E2110" t="s">
        <v>30</v>
      </c>
      <c r="F2110" t="s">
        <v>658</v>
      </c>
      <c r="G2110" t="s">
        <v>69</v>
      </c>
      <c r="H2110" t="s">
        <v>87</v>
      </c>
      <c r="I2110" s="1" t="s">
        <v>3590</v>
      </c>
      <c r="P2110" s="15">
        <v>1</v>
      </c>
    </row>
    <row r="2111" spans="1:25" ht="75" x14ac:dyDescent="0.25">
      <c r="A2111" t="s">
        <v>37</v>
      </c>
      <c r="B2111" t="s">
        <v>3540</v>
      </c>
      <c r="C2111" t="s">
        <v>106</v>
      </c>
      <c r="D2111" t="s">
        <v>779</v>
      </c>
      <c r="E2111" t="s">
        <v>30</v>
      </c>
      <c r="F2111" t="s">
        <v>136</v>
      </c>
      <c r="G2111" t="s">
        <v>69</v>
      </c>
      <c r="H2111" t="s">
        <v>33</v>
      </c>
      <c r="I2111" s="1" t="s">
        <v>3591</v>
      </c>
      <c r="S2111" s="15">
        <v>1</v>
      </c>
    </row>
    <row r="2112" spans="1:25" ht="45" x14ac:dyDescent="0.25">
      <c r="A2112" t="s">
        <v>37</v>
      </c>
      <c r="B2112" t="s">
        <v>3540</v>
      </c>
      <c r="C2112" t="s">
        <v>263</v>
      </c>
      <c r="D2112" t="s">
        <v>3592</v>
      </c>
      <c r="E2112" t="s">
        <v>30</v>
      </c>
      <c r="F2112" t="s">
        <v>492</v>
      </c>
      <c r="G2112" t="s">
        <v>69</v>
      </c>
      <c r="H2112" t="s">
        <v>173</v>
      </c>
      <c r="I2112" s="1" t="s">
        <v>3593</v>
      </c>
      <c r="T2112" s="15">
        <v>1</v>
      </c>
    </row>
    <row r="2113" spans="1:25" ht="45" x14ac:dyDescent="0.25">
      <c r="A2113" t="s">
        <v>37</v>
      </c>
      <c r="B2113" t="s">
        <v>3540</v>
      </c>
      <c r="C2113" t="s">
        <v>106</v>
      </c>
      <c r="D2113" t="s">
        <v>605</v>
      </c>
      <c r="E2113" t="s">
        <v>30</v>
      </c>
      <c r="F2113" t="s">
        <v>140</v>
      </c>
      <c r="G2113" t="s">
        <v>69</v>
      </c>
      <c r="H2113" t="s">
        <v>33</v>
      </c>
      <c r="I2113" s="1" t="s">
        <v>3594</v>
      </c>
      <c r="V2113" s="15">
        <v>1</v>
      </c>
    </row>
    <row r="2114" spans="1:25" ht="30" x14ac:dyDescent="0.25">
      <c r="A2114" t="s">
        <v>37</v>
      </c>
      <c r="B2114" t="s">
        <v>3540</v>
      </c>
      <c r="C2114" t="s">
        <v>69</v>
      </c>
      <c r="D2114" t="s">
        <v>229</v>
      </c>
      <c r="E2114" t="s">
        <v>79</v>
      </c>
      <c r="F2114" t="s">
        <v>112</v>
      </c>
      <c r="G2114" t="s">
        <v>69</v>
      </c>
      <c r="H2114" t="s">
        <v>33</v>
      </c>
      <c r="I2114" s="1" t="s">
        <v>3595</v>
      </c>
    </row>
    <row r="2115" spans="1:25" x14ac:dyDescent="0.25">
      <c r="A2115" t="s">
        <v>37</v>
      </c>
      <c r="B2115" t="s">
        <v>3540</v>
      </c>
      <c r="C2115" t="s">
        <v>44</v>
      </c>
      <c r="D2115" t="s">
        <v>215</v>
      </c>
      <c r="E2115" t="s">
        <v>30</v>
      </c>
      <c r="F2115" t="s">
        <v>130</v>
      </c>
      <c r="G2115" t="s">
        <v>32</v>
      </c>
      <c r="H2115" t="s">
        <v>173</v>
      </c>
      <c r="I2115" s="1" t="s">
        <v>3596</v>
      </c>
      <c r="M2115" s="15">
        <v>1</v>
      </c>
    </row>
    <row r="2116" spans="1:25" ht="105" x14ac:dyDescent="0.25">
      <c r="A2116" t="s">
        <v>64</v>
      </c>
      <c r="B2116" t="s">
        <v>3540</v>
      </c>
      <c r="C2116" t="s">
        <v>240</v>
      </c>
      <c r="D2116" t="s">
        <v>2824</v>
      </c>
      <c r="E2116" t="s">
        <v>30</v>
      </c>
      <c r="F2116" t="s">
        <v>136</v>
      </c>
      <c r="G2116" t="s">
        <v>32</v>
      </c>
      <c r="H2116" t="s">
        <v>173</v>
      </c>
      <c r="I2116" s="1" t="s">
        <v>3597</v>
      </c>
      <c r="W2116" s="15">
        <v>1</v>
      </c>
    </row>
    <row r="2117" spans="1:25" ht="60" x14ac:dyDescent="0.25">
      <c r="A2117" t="s">
        <v>26</v>
      </c>
      <c r="B2117" t="s">
        <v>3598</v>
      </c>
      <c r="C2117" t="s">
        <v>44</v>
      </c>
      <c r="D2117" t="s">
        <v>949</v>
      </c>
      <c r="E2117" t="s">
        <v>30</v>
      </c>
      <c r="F2117" t="s">
        <v>112</v>
      </c>
      <c r="G2117" t="s">
        <v>32</v>
      </c>
      <c r="H2117" t="s">
        <v>33</v>
      </c>
      <c r="I2117" s="1" t="s">
        <v>3599</v>
      </c>
      <c r="X2117" s="15">
        <v>1</v>
      </c>
    </row>
    <row r="2118" spans="1:25" ht="105" x14ac:dyDescent="0.25">
      <c r="A2118" t="s">
        <v>26</v>
      </c>
      <c r="B2118" t="s">
        <v>3598</v>
      </c>
      <c r="C2118" t="s">
        <v>106</v>
      </c>
      <c r="D2118" t="s">
        <v>1958</v>
      </c>
      <c r="E2118" t="s">
        <v>30</v>
      </c>
      <c r="F2118" t="s">
        <v>177</v>
      </c>
      <c r="G2118" t="s">
        <v>69</v>
      </c>
      <c r="H2118" t="s">
        <v>87</v>
      </c>
      <c r="I2118" s="1" t="s">
        <v>3600</v>
      </c>
      <c r="W2118" s="15">
        <v>1</v>
      </c>
    </row>
    <row r="2119" spans="1:25" ht="30" x14ac:dyDescent="0.25">
      <c r="A2119" t="s">
        <v>26</v>
      </c>
      <c r="B2119" t="s">
        <v>3598</v>
      </c>
      <c r="C2119" t="s">
        <v>92</v>
      </c>
      <c r="D2119" t="s">
        <v>111</v>
      </c>
      <c r="E2119" t="s">
        <v>30</v>
      </c>
      <c r="F2119" t="s">
        <v>112</v>
      </c>
      <c r="G2119" t="s">
        <v>69</v>
      </c>
      <c r="H2119" t="s">
        <v>87</v>
      </c>
      <c r="I2119" s="1" t="s">
        <v>3601</v>
      </c>
      <c r="N2119" s="15">
        <v>1</v>
      </c>
    </row>
    <row r="2120" spans="1:25" ht="60" x14ac:dyDescent="0.25">
      <c r="A2120" t="s">
        <v>64</v>
      </c>
      <c r="B2120" t="s">
        <v>3598</v>
      </c>
      <c r="C2120" t="s">
        <v>32</v>
      </c>
      <c r="D2120" t="s">
        <v>101</v>
      </c>
      <c r="E2120" t="s">
        <v>79</v>
      </c>
      <c r="F2120" t="s">
        <v>46</v>
      </c>
      <c r="G2120" t="s">
        <v>81</v>
      </c>
      <c r="H2120" t="s">
        <v>33</v>
      </c>
      <c r="I2120" s="1" t="s">
        <v>3602</v>
      </c>
      <c r="Y2120">
        <v>1</v>
      </c>
    </row>
    <row r="2121" spans="1:25" ht="105" x14ac:dyDescent="0.25">
      <c r="A2121" t="s">
        <v>26</v>
      </c>
      <c r="B2121" t="s">
        <v>3603</v>
      </c>
      <c r="C2121" t="s">
        <v>92</v>
      </c>
      <c r="D2121" t="s">
        <v>887</v>
      </c>
      <c r="E2121" t="s">
        <v>30</v>
      </c>
      <c r="F2121" t="s">
        <v>189</v>
      </c>
      <c r="G2121" t="s">
        <v>32</v>
      </c>
      <c r="H2121" t="s">
        <v>33</v>
      </c>
      <c r="I2121" s="1" t="s">
        <v>3604</v>
      </c>
      <c r="P2121" s="15">
        <v>1</v>
      </c>
    </row>
    <row r="2122" spans="1:25" ht="60" x14ac:dyDescent="0.25">
      <c r="A2122" t="s">
        <v>26</v>
      </c>
      <c r="B2122" t="s">
        <v>3603</v>
      </c>
      <c r="C2122" t="s">
        <v>73</v>
      </c>
      <c r="D2122" t="s">
        <v>678</v>
      </c>
      <c r="E2122" t="s">
        <v>79</v>
      </c>
      <c r="F2122" t="s">
        <v>52</v>
      </c>
      <c r="G2122" t="s">
        <v>69</v>
      </c>
      <c r="H2122" t="s">
        <v>33</v>
      </c>
      <c r="I2122" s="1" t="s">
        <v>3605</v>
      </c>
      <c r="S2122" s="15">
        <v>1</v>
      </c>
    </row>
    <row r="2123" spans="1:25" ht="60" x14ac:dyDescent="0.25">
      <c r="A2123" t="s">
        <v>26</v>
      </c>
      <c r="B2123" t="s">
        <v>3603</v>
      </c>
      <c r="C2123" t="s">
        <v>92</v>
      </c>
      <c r="D2123" t="s">
        <v>111</v>
      </c>
      <c r="E2123" t="s">
        <v>30</v>
      </c>
      <c r="F2123" t="s">
        <v>40</v>
      </c>
      <c r="G2123" t="s">
        <v>69</v>
      </c>
      <c r="H2123" t="s">
        <v>87</v>
      </c>
      <c r="I2123" s="1" t="s">
        <v>3606</v>
      </c>
      <c r="N2123" s="15">
        <v>1</v>
      </c>
      <c r="T2123" s="15">
        <v>1</v>
      </c>
    </row>
    <row r="2124" spans="1:25" ht="120" x14ac:dyDescent="0.25">
      <c r="A2124" t="s">
        <v>26</v>
      </c>
      <c r="B2124" t="s">
        <v>3603</v>
      </c>
      <c r="C2124" t="s">
        <v>73</v>
      </c>
      <c r="D2124" t="s">
        <v>157</v>
      </c>
      <c r="E2124" t="s">
        <v>30</v>
      </c>
      <c r="F2124" t="s">
        <v>446</v>
      </c>
      <c r="G2124" t="s">
        <v>32</v>
      </c>
      <c r="H2124" t="s">
        <v>87</v>
      </c>
      <c r="I2124" s="1" t="s">
        <v>3607</v>
      </c>
      <c r="P2124" s="15">
        <v>1</v>
      </c>
      <c r="R2124" s="15">
        <v>1</v>
      </c>
    </row>
    <row r="2125" spans="1:25" ht="45" x14ac:dyDescent="0.25">
      <c r="A2125" t="s">
        <v>26</v>
      </c>
      <c r="B2125" t="s">
        <v>3603</v>
      </c>
      <c r="C2125" t="s">
        <v>106</v>
      </c>
      <c r="D2125" t="s">
        <v>803</v>
      </c>
      <c r="E2125" t="s">
        <v>30</v>
      </c>
      <c r="F2125" t="s">
        <v>102</v>
      </c>
      <c r="G2125" t="s">
        <v>32</v>
      </c>
      <c r="H2125" t="s">
        <v>33</v>
      </c>
      <c r="I2125" s="1" t="s">
        <v>3608</v>
      </c>
      <c r="S2125" s="15">
        <v>1</v>
      </c>
    </row>
    <row r="2126" spans="1:25" ht="30" x14ac:dyDescent="0.25">
      <c r="A2126" t="s">
        <v>26</v>
      </c>
      <c r="B2126" t="s">
        <v>3603</v>
      </c>
      <c r="C2126" t="s">
        <v>106</v>
      </c>
      <c r="D2126" t="s">
        <v>1076</v>
      </c>
      <c r="E2126" t="s">
        <v>30</v>
      </c>
      <c r="F2126" t="s">
        <v>102</v>
      </c>
      <c r="G2126" t="s">
        <v>32</v>
      </c>
      <c r="H2126" t="s">
        <v>33</v>
      </c>
      <c r="I2126" s="1" t="s">
        <v>3609</v>
      </c>
      <c r="O2126" s="15">
        <v>1</v>
      </c>
      <c r="S2126" s="15">
        <v>1</v>
      </c>
    </row>
    <row r="2127" spans="1:25" ht="75" x14ac:dyDescent="0.25">
      <c r="A2127" t="s">
        <v>26</v>
      </c>
      <c r="B2127" t="s">
        <v>3603</v>
      </c>
      <c r="C2127" t="s">
        <v>96</v>
      </c>
      <c r="D2127" t="s">
        <v>1812</v>
      </c>
      <c r="E2127" t="s">
        <v>30</v>
      </c>
      <c r="F2127" t="s">
        <v>290</v>
      </c>
      <c r="G2127" t="s">
        <v>69</v>
      </c>
      <c r="H2127" t="s">
        <v>173</v>
      </c>
      <c r="I2127" s="1" t="s">
        <v>3610</v>
      </c>
      <c r="T2127" s="15">
        <v>1</v>
      </c>
      <c r="W2127" s="15">
        <v>1</v>
      </c>
    </row>
    <row r="2128" spans="1:25" ht="90" x14ac:dyDescent="0.25">
      <c r="A2128" t="s">
        <v>26</v>
      </c>
      <c r="B2128" t="s">
        <v>3603</v>
      </c>
      <c r="C2128" t="s">
        <v>73</v>
      </c>
      <c r="D2128" t="s">
        <v>157</v>
      </c>
      <c r="E2128" t="s">
        <v>30</v>
      </c>
      <c r="F2128" t="s">
        <v>154</v>
      </c>
      <c r="G2128" t="s">
        <v>69</v>
      </c>
      <c r="H2128" t="s">
        <v>33</v>
      </c>
      <c r="I2128" s="1" t="s">
        <v>3611</v>
      </c>
      <c r="P2128" s="15">
        <v>1</v>
      </c>
    </row>
    <row r="2129" spans="1:25" ht="105" x14ac:dyDescent="0.25">
      <c r="A2129" t="s">
        <v>26</v>
      </c>
      <c r="B2129" t="s">
        <v>3603</v>
      </c>
      <c r="C2129" t="s">
        <v>96</v>
      </c>
      <c r="D2129" t="s">
        <v>676</v>
      </c>
      <c r="E2129" t="s">
        <v>30</v>
      </c>
      <c r="F2129" t="s">
        <v>196</v>
      </c>
      <c r="G2129" t="s">
        <v>32</v>
      </c>
      <c r="H2129" t="s">
        <v>87</v>
      </c>
      <c r="I2129" s="1" t="s">
        <v>3612</v>
      </c>
      <c r="N2129" s="15">
        <v>1</v>
      </c>
    </row>
    <row r="2130" spans="1:25" ht="60" x14ac:dyDescent="0.25">
      <c r="A2130" t="s">
        <v>26</v>
      </c>
      <c r="B2130" t="s">
        <v>3603</v>
      </c>
      <c r="C2130" t="s">
        <v>235</v>
      </c>
      <c r="D2130" t="s">
        <v>3613</v>
      </c>
      <c r="E2130" t="s">
        <v>79</v>
      </c>
      <c r="F2130" t="s">
        <v>290</v>
      </c>
      <c r="G2130" t="s">
        <v>32</v>
      </c>
      <c r="H2130" t="s">
        <v>33</v>
      </c>
      <c r="I2130" s="1" t="s">
        <v>3614</v>
      </c>
      <c r="S2130" s="15">
        <v>1</v>
      </c>
    </row>
    <row r="2131" spans="1:25" ht="90" x14ac:dyDescent="0.25">
      <c r="A2131" t="s">
        <v>26</v>
      </c>
      <c r="B2131" t="s">
        <v>3603</v>
      </c>
      <c r="C2131" t="s">
        <v>96</v>
      </c>
      <c r="D2131" t="s">
        <v>97</v>
      </c>
      <c r="E2131" t="s">
        <v>30</v>
      </c>
      <c r="F2131" t="s">
        <v>154</v>
      </c>
      <c r="G2131" t="s">
        <v>69</v>
      </c>
      <c r="H2131" t="s">
        <v>33</v>
      </c>
      <c r="I2131" s="1" t="s">
        <v>3615</v>
      </c>
      <c r="S2131" s="15">
        <v>1</v>
      </c>
    </row>
    <row r="2132" spans="1:25" ht="60" x14ac:dyDescent="0.25">
      <c r="A2132" t="s">
        <v>26</v>
      </c>
      <c r="B2132" t="s">
        <v>3603</v>
      </c>
      <c r="C2132" t="s">
        <v>235</v>
      </c>
      <c r="D2132" t="s">
        <v>2131</v>
      </c>
      <c r="E2132" t="s">
        <v>30</v>
      </c>
      <c r="F2132" t="s">
        <v>287</v>
      </c>
      <c r="G2132" t="s">
        <v>32</v>
      </c>
      <c r="H2132" t="s">
        <v>87</v>
      </c>
      <c r="I2132" s="1" t="s">
        <v>3616</v>
      </c>
      <c r="W2132" s="15">
        <v>1</v>
      </c>
      <c r="Y2132">
        <v>1</v>
      </c>
    </row>
    <row r="2133" spans="1:25" ht="45" x14ac:dyDescent="0.25">
      <c r="A2133" t="s">
        <v>26</v>
      </c>
      <c r="B2133" t="s">
        <v>3603</v>
      </c>
      <c r="C2133" t="s">
        <v>50</v>
      </c>
      <c r="D2133" t="s">
        <v>1013</v>
      </c>
      <c r="E2133" t="s">
        <v>30</v>
      </c>
      <c r="F2133" t="s">
        <v>216</v>
      </c>
      <c r="G2133" t="s">
        <v>69</v>
      </c>
      <c r="H2133" t="s">
        <v>33</v>
      </c>
      <c r="I2133" s="1" t="s">
        <v>3617</v>
      </c>
      <c r="O2133" s="15">
        <v>1</v>
      </c>
      <c r="S2133" s="15">
        <v>1</v>
      </c>
    </row>
    <row r="2134" spans="1:25" ht="90" x14ac:dyDescent="0.25">
      <c r="A2134" t="s">
        <v>26</v>
      </c>
      <c r="B2134" t="s">
        <v>3603</v>
      </c>
      <c r="C2134" t="s">
        <v>44</v>
      </c>
      <c r="D2134" t="s">
        <v>3618</v>
      </c>
      <c r="E2134" t="s">
        <v>79</v>
      </c>
      <c r="F2134" t="s">
        <v>216</v>
      </c>
      <c r="G2134" t="s">
        <v>69</v>
      </c>
      <c r="H2134" t="s">
        <v>173</v>
      </c>
      <c r="I2134" s="1" t="s">
        <v>3619</v>
      </c>
      <c r="W2134" s="15">
        <v>1</v>
      </c>
    </row>
    <row r="2135" spans="1:25" ht="105" x14ac:dyDescent="0.25">
      <c r="A2135" t="s">
        <v>26</v>
      </c>
      <c r="B2135" t="s">
        <v>3603</v>
      </c>
      <c r="C2135" t="s">
        <v>85</v>
      </c>
      <c r="D2135" t="s">
        <v>437</v>
      </c>
      <c r="E2135" t="s">
        <v>30</v>
      </c>
      <c r="F2135" t="s">
        <v>61</v>
      </c>
      <c r="G2135" t="s">
        <v>81</v>
      </c>
      <c r="H2135" t="s">
        <v>87</v>
      </c>
      <c r="I2135" s="1" t="s">
        <v>3620</v>
      </c>
      <c r="W2135" s="15">
        <v>1</v>
      </c>
    </row>
    <row r="2136" spans="1:25" ht="30" x14ac:dyDescent="0.25">
      <c r="A2136" t="s">
        <v>26</v>
      </c>
      <c r="B2136" t="s">
        <v>3603</v>
      </c>
      <c r="C2136" t="s">
        <v>235</v>
      </c>
      <c r="D2136" t="s">
        <v>3621</v>
      </c>
      <c r="E2136" t="s">
        <v>30</v>
      </c>
      <c r="F2136" t="s">
        <v>246</v>
      </c>
      <c r="G2136" t="s">
        <v>32</v>
      </c>
      <c r="H2136" t="s">
        <v>33</v>
      </c>
      <c r="I2136" s="1" t="s">
        <v>3622</v>
      </c>
      <c r="O2136" s="15">
        <v>1</v>
      </c>
    </row>
    <row r="2137" spans="1:25" ht="105" x14ac:dyDescent="0.25">
      <c r="A2137" t="s">
        <v>26</v>
      </c>
      <c r="B2137" t="s">
        <v>3603</v>
      </c>
      <c r="C2137" t="s">
        <v>50</v>
      </c>
      <c r="D2137" t="s">
        <v>1013</v>
      </c>
      <c r="E2137" t="s">
        <v>30</v>
      </c>
      <c r="F2137" t="s">
        <v>119</v>
      </c>
      <c r="G2137" t="s">
        <v>32</v>
      </c>
      <c r="H2137" t="s">
        <v>33</v>
      </c>
      <c r="I2137" s="1" t="s">
        <v>3623</v>
      </c>
      <c r="W2137" s="15">
        <v>1</v>
      </c>
    </row>
    <row r="2138" spans="1:25" ht="60" x14ac:dyDescent="0.25">
      <c r="A2138" t="s">
        <v>26</v>
      </c>
      <c r="B2138" t="s">
        <v>3603</v>
      </c>
      <c r="C2138" t="s">
        <v>28</v>
      </c>
      <c r="D2138" t="s">
        <v>3624</v>
      </c>
      <c r="E2138" t="s">
        <v>30</v>
      </c>
      <c r="F2138" t="s">
        <v>365</v>
      </c>
      <c r="G2138" t="s">
        <v>32</v>
      </c>
      <c r="H2138" t="s">
        <v>173</v>
      </c>
      <c r="I2138" s="1" t="s">
        <v>3625</v>
      </c>
      <c r="P2138" s="15">
        <v>1</v>
      </c>
    </row>
    <row r="2139" spans="1:25" ht="45" x14ac:dyDescent="0.25">
      <c r="A2139" t="s">
        <v>91</v>
      </c>
      <c r="B2139" t="s">
        <v>3603</v>
      </c>
      <c r="C2139" t="s">
        <v>44</v>
      </c>
      <c r="D2139" t="s">
        <v>616</v>
      </c>
      <c r="E2139" t="s">
        <v>30</v>
      </c>
      <c r="F2139" t="s">
        <v>189</v>
      </c>
      <c r="G2139" t="s">
        <v>32</v>
      </c>
      <c r="H2139" t="s">
        <v>173</v>
      </c>
      <c r="I2139" s="1" t="s">
        <v>3626</v>
      </c>
      <c r="W2139" s="15">
        <v>1</v>
      </c>
    </row>
    <row r="2140" spans="1:25" ht="30" x14ac:dyDescent="0.25">
      <c r="A2140" t="s">
        <v>26</v>
      </c>
      <c r="B2140" t="s">
        <v>3603</v>
      </c>
      <c r="C2140" t="s">
        <v>50</v>
      </c>
      <c r="D2140" t="s">
        <v>563</v>
      </c>
      <c r="E2140" t="s">
        <v>30</v>
      </c>
      <c r="F2140" t="s">
        <v>223</v>
      </c>
      <c r="G2140" t="s">
        <v>32</v>
      </c>
      <c r="H2140" t="s">
        <v>87</v>
      </c>
      <c r="I2140" s="1" t="s">
        <v>3627</v>
      </c>
      <c r="Q2140" s="15">
        <v>1</v>
      </c>
    </row>
    <row r="2141" spans="1:25" ht="90" x14ac:dyDescent="0.25">
      <c r="A2141" t="s">
        <v>26</v>
      </c>
      <c r="B2141" t="s">
        <v>3603</v>
      </c>
      <c r="C2141" t="s">
        <v>55</v>
      </c>
      <c r="D2141" t="s">
        <v>382</v>
      </c>
      <c r="E2141" t="s">
        <v>30</v>
      </c>
      <c r="F2141" t="s">
        <v>130</v>
      </c>
      <c r="G2141" t="s">
        <v>32</v>
      </c>
      <c r="H2141" t="s">
        <v>33</v>
      </c>
      <c r="I2141" s="1" t="s">
        <v>3628</v>
      </c>
      <c r="O2141" s="15">
        <v>1</v>
      </c>
      <c r="S2141" s="15">
        <v>1</v>
      </c>
    </row>
    <row r="2142" spans="1:25" ht="30" x14ac:dyDescent="0.25">
      <c r="A2142" t="s">
        <v>26</v>
      </c>
      <c r="B2142" t="s">
        <v>3603</v>
      </c>
      <c r="C2142" t="s">
        <v>55</v>
      </c>
      <c r="D2142" t="s">
        <v>953</v>
      </c>
      <c r="E2142" t="s">
        <v>30</v>
      </c>
      <c r="F2142" t="s">
        <v>154</v>
      </c>
      <c r="G2142" t="s">
        <v>32</v>
      </c>
      <c r="H2142" t="s">
        <v>33</v>
      </c>
      <c r="I2142" s="1" t="s">
        <v>3629</v>
      </c>
      <c r="S2142" s="15">
        <v>1</v>
      </c>
    </row>
    <row r="2143" spans="1:25" ht="45" x14ac:dyDescent="0.25">
      <c r="A2143" t="s">
        <v>91</v>
      </c>
      <c r="B2143" t="s">
        <v>3603</v>
      </c>
      <c r="C2143" t="s">
        <v>85</v>
      </c>
      <c r="D2143" t="s">
        <v>378</v>
      </c>
      <c r="E2143" t="s">
        <v>30</v>
      </c>
      <c r="F2143" t="s">
        <v>205</v>
      </c>
      <c r="G2143" t="s">
        <v>69</v>
      </c>
      <c r="H2143" t="s">
        <v>33</v>
      </c>
      <c r="I2143" s="1" t="s">
        <v>3630</v>
      </c>
      <c r="X2143" s="15">
        <v>1</v>
      </c>
    </row>
    <row r="2144" spans="1:25" ht="75" x14ac:dyDescent="0.25">
      <c r="A2144" t="s">
        <v>26</v>
      </c>
      <c r="B2144" t="s">
        <v>3603</v>
      </c>
      <c r="C2144" t="s">
        <v>50</v>
      </c>
      <c r="D2144" t="s">
        <v>122</v>
      </c>
      <c r="E2144" t="s">
        <v>30</v>
      </c>
      <c r="F2144" t="s">
        <v>40</v>
      </c>
      <c r="G2144" t="s">
        <v>69</v>
      </c>
      <c r="H2144" t="s">
        <v>87</v>
      </c>
      <c r="I2144" s="1" t="s">
        <v>3631</v>
      </c>
      <c r="W2144" s="15">
        <v>1</v>
      </c>
      <c r="Y2144">
        <v>1</v>
      </c>
    </row>
    <row r="2145" spans="1:25" ht="30" x14ac:dyDescent="0.25">
      <c r="A2145" t="s">
        <v>49</v>
      </c>
      <c r="B2145" t="s">
        <v>3603</v>
      </c>
      <c r="C2145" t="s">
        <v>28</v>
      </c>
      <c r="D2145" t="s">
        <v>528</v>
      </c>
      <c r="E2145" t="s">
        <v>30</v>
      </c>
      <c r="F2145" t="s">
        <v>543</v>
      </c>
      <c r="G2145" t="s">
        <v>81</v>
      </c>
      <c r="H2145" t="s">
        <v>173</v>
      </c>
      <c r="I2145" s="1" t="s">
        <v>3632</v>
      </c>
      <c r="Q2145" s="15">
        <v>1</v>
      </c>
    </row>
    <row r="2146" spans="1:25" ht="45" x14ac:dyDescent="0.25">
      <c r="A2146" t="s">
        <v>91</v>
      </c>
      <c r="B2146" t="s">
        <v>3603</v>
      </c>
      <c r="C2146" t="s">
        <v>96</v>
      </c>
      <c r="D2146" t="s">
        <v>97</v>
      </c>
      <c r="E2146" t="s">
        <v>30</v>
      </c>
      <c r="F2146" t="s">
        <v>209</v>
      </c>
      <c r="G2146" t="s">
        <v>69</v>
      </c>
      <c r="H2146" t="s">
        <v>87</v>
      </c>
      <c r="I2146" s="1" t="s">
        <v>3633</v>
      </c>
      <c r="P2146" s="15">
        <v>1</v>
      </c>
    </row>
    <row r="2147" spans="1:25" ht="105" x14ac:dyDescent="0.25">
      <c r="A2147" t="s">
        <v>59</v>
      </c>
      <c r="B2147" t="s">
        <v>3603</v>
      </c>
      <c r="C2147" t="s">
        <v>28</v>
      </c>
      <c r="D2147" t="s">
        <v>1391</v>
      </c>
      <c r="E2147" t="s">
        <v>30</v>
      </c>
      <c r="F2147" t="s">
        <v>161</v>
      </c>
      <c r="G2147" t="s">
        <v>32</v>
      </c>
      <c r="H2147" t="s">
        <v>87</v>
      </c>
      <c r="I2147" s="1" t="s">
        <v>3634</v>
      </c>
      <c r="S2147" s="15">
        <v>1</v>
      </c>
      <c r="T2147" s="15">
        <v>1</v>
      </c>
    </row>
    <row r="2148" spans="1:25" x14ac:dyDescent="0.25">
      <c r="A2148" t="s">
        <v>26</v>
      </c>
      <c r="B2148" t="s">
        <v>3603</v>
      </c>
      <c r="C2148" t="s">
        <v>69</v>
      </c>
      <c r="D2148" t="s">
        <v>1473</v>
      </c>
      <c r="E2148" t="s">
        <v>30</v>
      </c>
      <c r="F2148" t="s">
        <v>446</v>
      </c>
      <c r="G2148" t="s">
        <v>32</v>
      </c>
      <c r="H2148" t="s">
        <v>33</v>
      </c>
      <c r="I2148" s="1" t="s">
        <v>3635</v>
      </c>
      <c r="S2148" s="15">
        <v>1</v>
      </c>
    </row>
    <row r="2149" spans="1:25" ht="105" x14ac:dyDescent="0.25">
      <c r="A2149" t="s">
        <v>91</v>
      </c>
      <c r="B2149" t="s">
        <v>3603</v>
      </c>
      <c r="C2149" t="s">
        <v>106</v>
      </c>
      <c r="D2149" t="s">
        <v>539</v>
      </c>
      <c r="E2149" t="s">
        <v>30</v>
      </c>
      <c r="F2149" t="s">
        <v>130</v>
      </c>
      <c r="G2149" t="s">
        <v>32</v>
      </c>
      <c r="H2149" t="s">
        <v>33</v>
      </c>
      <c r="I2149" s="1" t="s">
        <v>3636</v>
      </c>
      <c r="O2149" s="15">
        <v>1</v>
      </c>
    </row>
    <row r="2150" spans="1:25" ht="30" x14ac:dyDescent="0.25">
      <c r="A2150" t="s">
        <v>91</v>
      </c>
      <c r="B2150" t="s">
        <v>3603</v>
      </c>
      <c r="C2150" t="s">
        <v>44</v>
      </c>
      <c r="D2150" t="s">
        <v>146</v>
      </c>
      <c r="E2150" t="s">
        <v>30</v>
      </c>
      <c r="F2150" t="s">
        <v>602</v>
      </c>
      <c r="G2150" t="s">
        <v>32</v>
      </c>
      <c r="H2150" t="s">
        <v>87</v>
      </c>
      <c r="I2150" s="1" t="s">
        <v>3637</v>
      </c>
      <c r="R2150" s="15">
        <v>1</v>
      </c>
    </row>
    <row r="2151" spans="1:25" ht="60" x14ac:dyDescent="0.25">
      <c r="A2151" t="s">
        <v>37</v>
      </c>
      <c r="B2151" t="s">
        <v>3603</v>
      </c>
      <c r="C2151" t="s">
        <v>73</v>
      </c>
      <c r="D2151" t="s">
        <v>857</v>
      </c>
      <c r="E2151" t="s">
        <v>79</v>
      </c>
      <c r="F2151" t="s">
        <v>154</v>
      </c>
      <c r="G2151" t="s">
        <v>32</v>
      </c>
      <c r="H2151" t="s">
        <v>173</v>
      </c>
      <c r="I2151" s="1" t="s">
        <v>3638</v>
      </c>
      <c r="Q2151" s="15">
        <v>1</v>
      </c>
      <c r="V2151" s="15">
        <v>1</v>
      </c>
    </row>
    <row r="2152" spans="1:25" ht="105" x14ac:dyDescent="0.25">
      <c r="A2152" t="s">
        <v>26</v>
      </c>
      <c r="B2152" t="s">
        <v>3603</v>
      </c>
      <c r="C2152" t="s">
        <v>85</v>
      </c>
      <c r="D2152" t="s">
        <v>519</v>
      </c>
      <c r="E2152" t="s">
        <v>30</v>
      </c>
      <c r="F2152" t="s">
        <v>446</v>
      </c>
      <c r="G2152" t="s">
        <v>69</v>
      </c>
      <c r="H2152" t="s">
        <v>173</v>
      </c>
      <c r="I2152" s="1" t="s">
        <v>3639</v>
      </c>
      <c r="P2152" s="15">
        <v>1</v>
      </c>
    </row>
    <row r="2153" spans="1:25" ht="30" x14ac:dyDescent="0.25">
      <c r="A2153" t="s">
        <v>59</v>
      </c>
      <c r="B2153" t="s">
        <v>3603</v>
      </c>
      <c r="C2153" t="s">
        <v>55</v>
      </c>
      <c r="D2153" t="s">
        <v>1520</v>
      </c>
      <c r="E2153" t="s">
        <v>30</v>
      </c>
      <c r="F2153" t="s">
        <v>112</v>
      </c>
      <c r="G2153" t="s">
        <v>32</v>
      </c>
      <c r="H2153" t="s">
        <v>33</v>
      </c>
      <c r="I2153" s="1" t="s">
        <v>3640</v>
      </c>
      <c r="S2153" s="15">
        <v>1</v>
      </c>
    </row>
    <row r="2154" spans="1:25" ht="45" x14ac:dyDescent="0.25">
      <c r="A2154" t="s">
        <v>37</v>
      </c>
      <c r="B2154" t="s">
        <v>3603</v>
      </c>
      <c r="C2154" t="s">
        <v>38</v>
      </c>
      <c r="D2154" t="s">
        <v>3641</v>
      </c>
      <c r="E2154" t="s">
        <v>30</v>
      </c>
      <c r="F2154" t="s">
        <v>112</v>
      </c>
      <c r="G2154" t="s">
        <v>32</v>
      </c>
      <c r="H2154" t="s">
        <v>33</v>
      </c>
      <c r="I2154" s="1" t="s">
        <v>3642</v>
      </c>
      <c r="S2154" s="15">
        <v>1</v>
      </c>
    </row>
    <row r="2155" spans="1:25" ht="105" x14ac:dyDescent="0.25">
      <c r="A2155" t="s">
        <v>37</v>
      </c>
      <c r="B2155" t="s">
        <v>3603</v>
      </c>
      <c r="C2155" t="s">
        <v>240</v>
      </c>
      <c r="D2155" t="s">
        <v>597</v>
      </c>
      <c r="E2155" t="s">
        <v>30</v>
      </c>
      <c r="F2155" t="s">
        <v>119</v>
      </c>
      <c r="G2155" t="s">
        <v>32</v>
      </c>
      <c r="H2155" t="s">
        <v>33</v>
      </c>
      <c r="I2155" s="1" t="s">
        <v>3643</v>
      </c>
      <c r="S2155" s="15">
        <v>1</v>
      </c>
    </row>
    <row r="2156" spans="1:25" ht="105" x14ac:dyDescent="0.25">
      <c r="A2156" t="s">
        <v>49</v>
      </c>
      <c r="B2156" t="s">
        <v>3603</v>
      </c>
      <c r="C2156" t="s">
        <v>106</v>
      </c>
      <c r="D2156" t="s">
        <v>539</v>
      </c>
      <c r="E2156" t="s">
        <v>30</v>
      </c>
      <c r="F2156" t="s">
        <v>52</v>
      </c>
      <c r="G2156" t="s">
        <v>32</v>
      </c>
      <c r="H2156" t="s">
        <v>173</v>
      </c>
      <c r="I2156" s="1" t="s">
        <v>3644</v>
      </c>
      <c r="Q2156" s="15">
        <v>1</v>
      </c>
      <c r="S2156" s="15">
        <v>1</v>
      </c>
    </row>
    <row r="2157" spans="1:25" ht="45" x14ac:dyDescent="0.25">
      <c r="A2157" t="s">
        <v>37</v>
      </c>
      <c r="B2157" t="s">
        <v>3603</v>
      </c>
      <c r="C2157" t="s">
        <v>73</v>
      </c>
      <c r="D2157" t="s">
        <v>157</v>
      </c>
      <c r="E2157" t="s">
        <v>30</v>
      </c>
      <c r="F2157" t="s">
        <v>161</v>
      </c>
      <c r="G2157" t="s">
        <v>32</v>
      </c>
      <c r="H2157" t="s">
        <v>33</v>
      </c>
      <c r="I2157" s="1" t="s">
        <v>3645</v>
      </c>
      <c r="W2157" s="15">
        <v>1</v>
      </c>
    </row>
    <row r="2158" spans="1:25" ht="105" x14ac:dyDescent="0.25">
      <c r="A2158" t="s">
        <v>64</v>
      </c>
      <c r="B2158" t="s">
        <v>3603</v>
      </c>
      <c r="C2158" t="s">
        <v>32</v>
      </c>
      <c r="D2158" t="s">
        <v>101</v>
      </c>
      <c r="E2158" t="s">
        <v>30</v>
      </c>
      <c r="F2158" t="s">
        <v>520</v>
      </c>
      <c r="G2158" t="s">
        <v>81</v>
      </c>
      <c r="H2158" t="s">
        <v>87</v>
      </c>
      <c r="I2158" s="1" t="s">
        <v>3646</v>
      </c>
      <c r="T2158" s="15">
        <v>1</v>
      </c>
    </row>
    <row r="2159" spans="1:25" ht="90" x14ac:dyDescent="0.25">
      <c r="A2159" t="s">
        <v>49</v>
      </c>
      <c r="B2159" t="s">
        <v>3603</v>
      </c>
      <c r="C2159" t="s">
        <v>106</v>
      </c>
      <c r="D2159" t="s">
        <v>3647</v>
      </c>
      <c r="E2159" t="s">
        <v>30</v>
      </c>
      <c r="F2159" t="s">
        <v>140</v>
      </c>
      <c r="G2159" t="s">
        <v>69</v>
      </c>
      <c r="H2159" t="s">
        <v>87</v>
      </c>
      <c r="I2159" s="1" t="s">
        <v>3648</v>
      </c>
      <c r="Q2159" s="15">
        <v>1</v>
      </c>
      <c r="Y2159">
        <v>1</v>
      </c>
    </row>
    <row r="2160" spans="1:25" ht="30" x14ac:dyDescent="0.25">
      <c r="A2160" t="s">
        <v>49</v>
      </c>
      <c r="B2160" t="s">
        <v>3603</v>
      </c>
      <c r="C2160" t="s">
        <v>28</v>
      </c>
      <c r="D2160" t="s">
        <v>1761</v>
      </c>
      <c r="E2160" t="s">
        <v>30</v>
      </c>
      <c r="F2160" t="s">
        <v>246</v>
      </c>
      <c r="G2160" t="s">
        <v>32</v>
      </c>
      <c r="H2160" t="s">
        <v>33</v>
      </c>
      <c r="I2160" s="1" t="s">
        <v>3649</v>
      </c>
      <c r="M2160" s="15">
        <v>1</v>
      </c>
    </row>
    <row r="2161" spans="1:25" ht="75" x14ac:dyDescent="0.25">
      <c r="A2161" t="s">
        <v>49</v>
      </c>
      <c r="B2161" t="s">
        <v>3603</v>
      </c>
      <c r="C2161" t="s">
        <v>28</v>
      </c>
      <c r="D2161" t="s">
        <v>715</v>
      </c>
      <c r="E2161" t="s">
        <v>30</v>
      </c>
      <c r="F2161" t="s">
        <v>52</v>
      </c>
      <c r="G2161" t="s">
        <v>69</v>
      </c>
      <c r="H2161" t="s">
        <v>173</v>
      </c>
      <c r="I2161" s="1" t="s">
        <v>3650</v>
      </c>
      <c r="M2161" s="15">
        <v>1</v>
      </c>
    </row>
    <row r="2162" spans="1:25" ht="45" x14ac:dyDescent="0.25">
      <c r="A2162" t="s">
        <v>49</v>
      </c>
      <c r="B2162" t="s">
        <v>3603</v>
      </c>
      <c r="C2162" t="s">
        <v>28</v>
      </c>
      <c r="D2162" t="s">
        <v>528</v>
      </c>
      <c r="E2162" t="s">
        <v>79</v>
      </c>
      <c r="F2162" t="s">
        <v>108</v>
      </c>
      <c r="G2162" t="s">
        <v>69</v>
      </c>
      <c r="H2162" t="s">
        <v>173</v>
      </c>
      <c r="I2162" s="1" t="s">
        <v>3651</v>
      </c>
      <c r="P2162" s="15">
        <v>1</v>
      </c>
    </row>
    <row r="2163" spans="1:25" ht="45" x14ac:dyDescent="0.25">
      <c r="A2163" t="s">
        <v>49</v>
      </c>
      <c r="B2163" t="s">
        <v>3603</v>
      </c>
      <c r="C2163" t="s">
        <v>28</v>
      </c>
      <c r="D2163" t="s">
        <v>613</v>
      </c>
      <c r="E2163" t="s">
        <v>30</v>
      </c>
      <c r="F2163" t="s">
        <v>40</v>
      </c>
      <c r="G2163" t="s">
        <v>32</v>
      </c>
      <c r="H2163" t="s">
        <v>87</v>
      </c>
      <c r="I2163" s="1" t="s">
        <v>3652</v>
      </c>
      <c r="Q2163" s="15">
        <v>1</v>
      </c>
      <c r="Y2163">
        <v>1</v>
      </c>
    </row>
    <row r="2164" spans="1:25" ht="60" x14ac:dyDescent="0.25">
      <c r="A2164" t="s">
        <v>59</v>
      </c>
      <c r="B2164" t="s">
        <v>3603</v>
      </c>
      <c r="C2164" t="s">
        <v>180</v>
      </c>
      <c r="D2164" t="s">
        <v>1722</v>
      </c>
      <c r="E2164" t="s">
        <v>30</v>
      </c>
      <c r="F2164" t="s">
        <v>94</v>
      </c>
      <c r="G2164" t="s">
        <v>69</v>
      </c>
      <c r="H2164" t="s">
        <v>87</v>
      </c>
      <c r="I2164" s="1" t="s">
        <v>3653</v>
      </c>
      <c r="Q2164" s="15">
        <v>1</v>
      </c>
      <c r="V2164" s="15">
        <v>1</v>
      </c>
    </row>
    <row r="2165" spans="1:25" ht="60" x14ac:dyDescent="0.25">
      <c r="A2165" t="s">
        <v>37</v>
      </c>
      <c r="B2165" t="s">
        <v>3603</v>
      </c>
      <c r="C2165" t="s">
        <v>69</v>
      </c>
      <c r="D2165" t="s">
        <v>2211</v>
      </c>
      <c r="E2165" t="s">
        <v>30</v>
      </c>
      <c r="F2165" t="s">
        <v>154</v>
      </c>
      <c r="G2165" t="s">
        <v>81</v>
      </c>
      <c r="H2165" t="s">
        <v>87</v>
      </c>
      <c r="I2165" s="1" t="s">
        <v>3654</v>
      </c>
      <c r="M2165" s="15">
        <v>1</v>
      </c>
    </row>
    <row r="2166" spans="1:25" ht="30" x14ac:dyDescent="0.25">
      <c r="A2166" t="s">
        <v>37</v>
      </c>
      <c r="B2166" t="s">
        <v>3603</v>
      </c>
      <c r="C2166" t="s">
        <v>44</v>
      </c>
      <c r="D2166" t="s">
        <v>2048</v>
      </c>
      <c r="E2166" t="s">
        <v>30</v>
      </c>
      <c r="F2166" t="s">
        <v>189</v>
      </c>
      <c r="G2166" t="s">
        <v>32</v>
      </c>
      <c r="H2166" t="s">
        <v>87</v>
      </c>
      <c r="I2166" s="1" t="s">
        <v>3655</v>
      </c>
      <c r="P2166" s="15">
        <v>1</v>
      </c>
      <c r="Q2166" s="15">
        <v>1</v>
      </c>
      <c r="V2166" s="15">
        <v>1</v>
      </c>
    </row>
    <row r="2167" spans="1:25" ht="75" x14ac:dyDescent="0.25">
      <c r="A2167" t="s">
        <v>37</v>
      </c>
      <c r="B2167" t="s">
        <v>3603</v>
      </c>
      <c r="C2167" t="s">
        <v>44</v>
      </c>
      <c r="D2167" t="s">
        <v>146</v>
      </c>
      <c r="E2167" t="s">
        <v>30</v>
      </c>
      <c r="F2167" t="s">
        <v>94</v>
      </c>
      <c r="G2167" t="s">
        <v>32</v>
      </c>
      <c r="H2167" t="s">
        <v>87</v>
      </c>
      <c r="I2167" s="1" t="s">
        <v>3656</v>
      </c>
      <c r="Q2167" s="15">
        <v>1</v>
      </c>
      <c r="V2167" s="15">
        <v>1</v>
      </c>
    </row>
    <row r="2168" spans="1:25" ht="105" x14ac:dyDescent="0.25">
      <c r="A2168" t="s">
        <v>26</v>
      </c>
      <c r="B2168" t="s">
        <v>3657</v>
      </c>
      <c r="C2168" t="s">
        <v>263</v>
      </c>
      <c r="D2168" t="s">
        <v>457</v>
      </c>
      <c r="E2168" t="s">
        <v>30</v>
      </c>
      <c r="F2168" t="s">
        <v>94</v>
      </c>
      <c r="G2168" t="s">
        <v>32</v>
      </c>
      <c r="H2168" t="s">
        <v>87</v>
      </c>
      <c r="I2168" s="1" t="s">
        <v>3658</v>
      </c>
      <c r="O2168" s="15">
        <v>1</v>
      </c>
      <c r="S2168" s="15">
        <v>1</v>
      </c>
    </row>
    <row r="2169" spans="1:25" ht="105" x14ac:dyDescent="0.25">
      <c r="A2169" t="s">
        <v>26</v>
      </c>
      <c r="B2169" t="s">
        <v>3657</v>
      </c>
      <c r="C2169" t="s">
        <v>249</v>
      </c>
      <c r="D2169" t="s">
        <v>401</v>
      </c>
      <c r="E2169" t="s">
        <v>30</v>
      </c>
      <c r="F2169" t="s">
        <v>205</v>
      </c>
      <c r="G2169" t="s">
        <v>81</v>
      </c>
      <c r="H2169" t="s">
        <v>87</v>
      </c>
      <c r="I2169" s="1" t="s">
        <v>3659</v>
      </c>
      <c r="Q2169" s="15">
        <v>1</v>
      </c>
      <c r="V2169" s="15">
        <v>1</v>
      </c>
    </row>
    <row r="2170" spans="1:25" x14ac:dyDescent="0.25">
      <c r="A2170" t="s">
        <v>26</v>
      </c>
      <c r="B2170" t="s">
        <v>3657</v>
      </c>
      <c r="C2170" t="s">
        <v>249</v>
      </c>
      <c r="D2170" t="s">
        <v>401</v>
      </c>
      <c r="E2170" t="s">
        <v>30</v>
      </c>
      <c r="F2170" t="s">
        <v>112</v>
      </c>
      <c r="G2170" t="s">
        <v>69</v>
      </c>
      <c r="H2170" t="s">
        <v>33</v>
      </c>
      <c r="I2170" s="1" t="s">
        <v>3660</v>
      </c>
      <c r="Q2170" s="15">
        <v>1</v>
      </c>
    </row>
    <row r="2171" spans="1:25" ht="90" x14ac:dyDescent="0.25">
      <c r="A2171" t="s">
        <v>26</v>
      </c>
      <c r="B2171" t="s">
        <v>3657</v>
      </c>
      <c r="C2171" t="s">
        <v>263</v>
      </c>
      <c r="D2171" t="s">
        <v>1925</v>
      </c>
      <c r="E2171" t="s">
        <v>79</v>
      </c>
      <c r="F2171" t="s">
        <v>140</v>
      </c>
      <c r="G2171" t="s">
        <v>81</v>
      </c>
      <c r="H2171" t="s">
        <v>87</v>
      </c>
      <c r="I2171" s="1" t="s">
        <v>3661</v>
      </c>
      <c r="R2171" s="15">
        <v>1</v>
      </c>
      <c r="V2171" s="15">
        <v>1</v>
      </c>
    </row>
    <row r="2172" spans="1:25" ht="105" x14ac:dyDescent="0.25">
      <c r="A2172" t="s">
        <v>26</v>
      </c>
      <c r="B2172" t="s">
        <v>3657</v>
      </c>
      <c r="C2172" t="s">
        <v>249</v>
      </c>
      <c r="D2172" t="s">
        <v>967</v>
      </c>
      <c r="E2172" t="s">
        <v>30</v>
      </c>
      <c r="F2172" t="s">
        <v>94</v>
      </c>
      <c r="G2172" t="s">
        <v>32</v>
      </c>
      <c r="H2172" t="s">
        <v>173</v>
      </c>
      <c r="I2172" s="1" t="s">
        <v>3662</v>
      </c>
      <c r="V2172" s="15">
        <v>1</v>
      </c>
    </row>
    <row r="2173" spans="1:25" ht="105" x14ac:dyDescent="0.25">
      <c r="A2173" t="s">
        <v>26</v>
      </c>
      <c r="B2173" t="s">
        <v>3657</v>
      </c>
      <c r="C2173" t="s">
        <v>106</v>
      </c>
      <c r="D2173" t="s">
        <v>1958</v>
      </c>
      <c r="E2173" t="s">
        <v>30</v>
      </c>
      <c r="F2173" t="s">
        <v>246</v>
      </c>
      <c r="G2173" t="s">
        <v>38</v>
      </c>
      <c r="H2173" t="s">
        <v>87</v>
      </c>
      <c r="I2173" s="1" t="s">
        <v>3663</v>
      </c>
      <c r="P2173" s="15">
        <v>1</v>
      </c>
      <c r="T2173" s="15">
        <v>1</v>
      </c>
    </row>
    <row r="2174" spans="1:25" ht="90" x14ac:dyDescent="0.25">
      <c r="A2174" t="s">
        <v>26</v>
      </c>
      <c r="B2174" t="s">
        <v>3657</v>
      </c>
      <c r="C2174" t="s">
        <v>92</v>
      </c>
      <c r="D2174" t="s">
        <v>452</v>
      </c>
      <c r="E2174" t="s">
        <v>30</v>
      </c>
      <c r="F2174" t="s">
        <v>186</v>
      </c>
      <c r="G2174" t="s">
        <v>38</v>
      </c>
      <c r="H2174" t="s">
        <v>87</v>
      </c>
      <c r="I2174" s="1" t="s">
        <v>3664</v>
      </c>
      <c r="T2174" s="15">
        <v>1</v>
      </c>
    </row>
    <row r="2175" spans="1:25" ht="105" x14ac:dyDescent="0.25">
      <c r="A2175" t="s">
        <v>26</v>
      </c>
      <c r="B2175" t="s">
        <v>3657</v>
      </c>
      <c r="C2175" t="s">
        <v>249</v>
      </c>
      <c r="D2175" t="s">
        <v>862</v>
      </c>
      <c r="E2175" t="s">
        <v>30</v>
      </c>
      <c r="F2175" t="s">
        <v>46</v>
      </c>
      <c r="G2175" t="s">
        <v>81</v>
      </c>
      <c r="H2175" t="s">
        <v>87</v>
      </c>
      <c r="I2175" s="1" t="s">
        <v>3665</v>
      </c>
      <c r="M2175" s="15">
        <v>1</v>
      </c>
      <c r="N2175" s="15">
        <v>1</v>
      </c>
      <c r="W2175" s="15">
        <v>1</v>
      </c>
      <c r="Y2175">
        <v>1</v>
      </c>
    </row>
    <row r="2176" spans="1:25" ht="105" x14ac:dyDescent="0.25">
      <c r="A2176" t="s">
        <v>26</v>
      </c>
      <c r="B2176" t="s">
        <v>3657</v>
      </c>
      <c r="C2176" t="s">
        <v>73</v>
      </c>
      <c r="D2176" t="s">
        <v>157</v>
      </c>
      <c r="E2176" t="s">
        <v>30</v>
      </c>
      <c r="F2176" t="s">
        <v>161</v>
      </c>
      <c r="G2176" t="s">
        <v>32</v>
      </c>
      <c r="H2176" t="s">
        <v>33</v>
      </c>
      <c r="I2176" s="1" t="s">
        <v>3666</v>
      </c>
      <c r="Q2176" s="15">
        <v>1</v>
      </c>
      <c r="V2176" s="15">
        <v>1</v>
      </c>
    </row>
    <row r="2177" spans="1:25" ht="105" x14ac:dyDescent="0.25">
      <c r="A2177" t="s">
        <v>26</v>
      </c>
      <c r="B2177" t="s">
        <v>3657</v>
      </c>
      <c r="C2177" t="s">
        <v>96</v>
      </c>
      <c r="D2177" t="s">
        <v>1152</v>
      </c>
      <c r="E2177" t="s">
        <v>30</v>
      </c>
      <c r="F2177" t="s">
        <v>216</v>
      </c>
      <c r="G2177" t="s">
        <v>69</v>
      </c>
      <c r="H2177" t="s">
        <v>87</v>
      </c>
      <c r="I2177" s="1" t="s">
        <v>3667</v>
      </c>
      <c r="R2177" s="15">
        <v>1</v>
      </c>
      <c r="W2177" s="15">
        <v>1</v>
      </c>
    </row>
    <row r="2178" spans="1:25" ht="75" x14ac:dyDescent="0.25">
      <c r="A2178" t="s">
        <v>26</v>
      </c>
      <c r="B2178" t="s">
        <v>3657</v>
      </c>
      <c r="C2178" t="s">
        <v>92</v>
      </c>
      <c r="D2178" t="s">
        <v>629</v>
      </c>
      <c r="E2178" t="s">
        <v>30</v>
      </c>
      <c r="F2178" t="s">
        <v>543</v>
      </c>
      <c r="G2178" t="s">
        <v>69</v>
      </c>
      <c r="H2178" t="s">
        <v>33</v>
      </c>
      <c r="I2178" s="1" t="s">
        <v>3668</v>
      </c>
      <c r="S2178" s="15">
        <v>1</v>
      </c>
    </row>
    <row r="2179" spans="1:25" ht="120" x14ac:dyDescent="0.25">
      <c r="A2179" t="s">
        <v>26</v>
      </c>
      <c r="B2179" t="s">
        <v>3657</v>
      </c>
      <c r="C2179" t="s">
        <v>96</v>
      </c>
      <c r="D2179" t="s">
        <v>176</v>
      </c>
      <c r="E2179" t="s">
        <v>30</v>
      </c>
      <c r="F2179" t="s">
        <v>186</v>
      </c>
      <c r="G2179" t="s">
        <v>38</v>
      </c>
      <c r="H2179" t="s">
        <v>87</v>
      </c>
      <c r="I2179" s="1" t="s">
        <v>3669</v>
      </c>
      <c r="Q2179" s="15">
        <v>1</v>
      </c>
      <c r="V2179" s="15">
        <v>1</v>
      </c>
      <c r="W2179" s="15">
        <v>1</v>
      </c>
    </row>
    <row r="2180" spans="1:25" ht="45" x14ac:dyDescent="0.25">
      <c r="A2180" t="s">
        <v>26</v>
      </c>
      <c r="B2180" t="s">
        <v>3657</v>
      </c>
      <c r="C2180" t="s">
        <v>73</v>
      </c>
      <c r="D2180" t="s">
        <v>157</v>
      </c>
      <c r="E2180" t="s">
        <v>30</v>
      </c>
      <c r="F2180" t="s">
        <v>94</v>
      </c>
      <c r="G2180" t="s">
        <v>69</v>
      </c>
      <c r="H2180" t="s">
        <v>173</v>
      </c>
      <c r="I2180" s="1" t="s">
        <v>3670</v>
      </c>
      <c r="P2180" s="15">
        <v>1</v>
      </c>
    </row>
    <row r="2181" spans="1:25" ht="105" x14ac:dyDescent="0.25">
      <c r="A2181" t="s">
        <v>26</v>
      </c>
      <c r="B2181" t="s">
        <v>3657</v>
      </c>
      <c r="C2181" t="s">
        <v>235</v>
      </c>
      <c r="D2181" t="s">
        <v>403</v>
      </c>
      <c r="E2181" t="s">
        <v>30</v>
      </c>
      <c r="F2181" t="s">
        <v>205</v>
      </c>
      <c r="G2181" t="s">
        <v>69</v>
      </c>
      <c r="H2181" t="s">
        <v>173</v>
      </c>
      <c r="I2181" s="1" t="s">
        <v>3671</v>
      </c>
      <c r="T2181" s="15">
        <v>1</v>
      </c>
    </row>
    <row r="2182" spans="1:25" ht="90" x14ac:dyDescent="0.25">
      <c r="A2182" t="s">
        <v>26</v>
      </c>
      <c r="B2182" t="s">
        <v>3657</v>
      </c>
      <c r="C2182" t="s">
        <v>92</v>
      </c>
      <c r="D2182" t="s">
        <v>111</v>
      </c>
      <c r="E2182" t="s">
        <v>30</v>
      </c>
      <c r="F2182" t="s">
        <v>61</v>
      </c>
      <c r="G2182" t="s">
        <v>32</v>
      </c>
      <c r="H2182" t="s">
        <v>33</v>
      </c>
      <c r="I2182" s="1" t="s">
        <v>3672</v>
      </c>
      <c r="O2182" s="15">
        <v>1</v>
      </c>
      <c r="S2182" s="15">
        <v>1</v>
      </c>
    </row>
    <row r="2183" spans="1:25" ht="30" x14ac:dyDescent="0.25">
      <c r="A2183" t="s">
        <v>26</v>
      </c>
      <c r="B2183" t="s">
        <v>3657</v>
      </c>
      <c r="C2183" t="s">
        <v>235</v>
      </c>
      <c r="D2183" t="s">
        <v>1158</v>
      </c>
      <c r="E2183" t="s">
        <v>30</v>
      </c>
      <c r="F2183" t="s">
        <v>61</v>
      </c>
      <c r="G2183" t="s">
        <v>32</v>
      </c>
      <c r="H2183" t="s">
        <v>33</v>
      </c>
      <c r="I2183" s="1" t="s">
        <v>3673</v>
      </c>
      <c r="O2183" s="15">
        <v>1</v>
      </c>
    </row>
    <row r="2184" spans="1:25" ht="60" x14ac:dyDescent="0.25">
      <c r="A2184" t="s">
        <v>26</v>
      </c>
      <c r="B2184" t="s">
        <v>3657</v>
      </c>
      <c r="C2184" t="s">
        <v>106</v>
      </c>
      <c r="D2184" t="s">
        <v>1958</v>
      </c>
      <c r="E2184" t="s">
        <v>30</v>
      </c>
      <c r="F2184" t="s">
        <v>46</v>
      </c>
      <c r="G2184" t="s">
        <v>69</v>
      </c>
      <c r="H2184" t="s">
        <v>87</v>
      </c>
      <c r="I2184" s="1" t="s">
        <v>3674</v>
      </c>
      <c r="T2184" s="15">
        <v>1</v>
      </c>
      <c r="Y2184">
        <v>1</v>
      </c>
    </row>
    <row r="2185" spans="1:25" ht="30" x14ac:dyDescent="0.25">
      <c r="A2185" t="s">
        <v>26</v>
      </c>
      <c r="B2185" t="s">
        <v>3657</v>
      </c>
      <c r="C2185" t="s">
        <v>44</v>
      </c>
      <c r="D2185" t="s">
        <v>68</v>
      </c>
      <c r="E2185" t="s">
        <v>30</v>
      </c>
      <c r="F2185" t="s">
        <v>140</v>
      </c>
      <c r="G2185" t="s">
        <v>32</v>
      </c>
      <c r="H2185" t="s">
        <v>33</v>
      </c>
      <c r="I2185" s="1" t="s">
        <v>3675</v>
      </c>
      <c r="S2185" s="15">
        <v>1</v>
      </c>
    </row>
    <row r="2186" spans="1:25" ht="75" x14ac:dyDescent="0.25">
      <c r="A2186" t="s">
        <v>26</v>
      </c>
      <c r="B2186" t="s">
        <v>3657</v>
      </c>
      <c r="C2186" t="s">
        <v>106</v>
      </c>
      <c r="D2186" t="s">
        <v>3676</v>
      </c>
      <c r="E2186" t="s">
        <v>79</v>
      </c>
      <c r="F2186" t="s">
        <v>40</v>
      </c>
      <c r="G2186" t="s">
        <v>69</v>
      </c>
      <c r="H2186" t="s">
        <v>87</v>
      </c>
      <c r="I2186" s="1" t="s">
        <v>3677</v>
      </c>
      <c r="Q2186" s="15">
        <v>1</v>
      </c>
      <c r="V2186" s="15">
        <v>1</v>
      </c>
      <c r="W2186" s="15">
        <v>1</v>
      </c>
    </row>
    <row r="2187" spans="1:25" ht="105" x14ac:dyDescent="0.25">
      <c r="A2187" t="s">
        <v>26</v>
      </c>
      <c r="B2187" t="s">
        <v>3657</v>
      </c>
      <c r="C2187" t="s">
        <v>28</v>
      </c>
      <c r="D2187" t="s">
        <v>846</v>
      </c>
      <c r="E2187" t="s">
        <v>30</v>
      </c>
      <c r="F2187" t="s">
        <v>140</v>
      </c>
      <c r="G2187" t="s">
        <v>81</v>
      </c>
      <c r="H2187" t="s">
        <v>87</v>
      </c>
      <c r="I2187" s="1" t="s">
        <v>3678</v>
      </c>
      <c r="Y2187">
        <v>1</v>
      </c>
    </row>
    <row r="2188" spans="1:25" ht="30" x14ac:dyDescent="0.25">
      <c r="A2188" t="s">
        <v>26</v>
      </c>
      <c r="B2188" t="s">
        <v>3657</v>
      </c>
      <c r="C2188" t="s">
        <v>38</v>
      </c>
      <c r="D2188" t="s">
        <v>3679</v>
      </c>
      <c r="E2188" t="s">
        <v>30</v>
      </c>
      <c r="F2188" t="s">
        <v>658</v>
      </c>
      <c r="G2188" t="s">
        <v>69</v>
      </c>
      <c r="H2188" t="s">
        <v>173</v>
      </c>
      <c r="I2188" s="1" t="s">
        <v>3680</v>
      </c>
      <c r="P2188" s="15">
        <v>1</v>
      </c>
    </row>
    <row r="2189" spans="1:25" ht="45" x14ac:dyDescent="0.25">
      <c r="A2189" t="s">
        <v>49</v>
      </c>
      <c r="B2189" t="s">
        <v>3657</v>
      </c>
      <c r="C2189" t="s">
        <v>240</v>
      </c>
      <c r="D2189" t="s">
        <v>1404</v>
      </c>
      <c r="E2189" t="s">
        <v>30</v>
      </c>
      <c r="F2189" t="s">
        <v>189</v>
      </c>
      <c r="G2189" t="s">
        <v>32</v>
      </c>
      <c r="H2189" t="s">
        <v>173</v>
      </c>
      <c r="I2189" s="1" t="s">
        <v>3681</v>
      </c>
      <c r="Q2189" s="15">
        <v>1</v>
      </c>
      <c r="Y2189">
        <v>1</v>
      </c>
    </row>
    <row r="2190" spans="1:25" ht="45" x14ac:dyDescent="0.25">
      <c r="A2190" t="s">
        <v>26</v>
      </c>
      <c r="B2190" t="s">
        <v>3657</v>
      </c>
      <c r="C2190" t="s">
        <v>50</v>
      </c>
      <c r="D2190" t="s">
        <v>660</v>
      </c>
      <c r="E2190" t="s">
        <v>30</v>
      </c>
      <c r="F2190" t="s">
        <v>446</v>
      </c>
      <c r="G2190" t="s">
        <v>32</v>
      </c>
      <c r="H2190" t="s">
        <v>33</v>
      </c>
      <c r="I2190" s="1" t="s">
        <v>3682</v>
      </c>
      <c r="O2190" s="15">
        <v>1</v>
      </c>
      <c r="S2190" s="15">
        <v>1</v>
      </c>
    </row>
    <row r="2191" spans="1:25" ht="105" x14ac:dyDescent="0.25">
      <c r="A2191" t="s">
        <v>49</v>
      </c>
      <c r="B2191" t="s">
        <v>3657</v>
      </c>
      <c r="C2191" t="s">
        <v>106</v>
      </c>
      <c r="D2191" t="s">
        <v>484</v>
      </c>
      <c r="E2191" t="s">
        <v>30</v>
      </c>
      <c r="F2191" t="s">
        <v>186</v>
      </c>
      <c r="G2191" t="s">
        <v>81</v>
      </c>
      <c r="H2191" t="s">
        <v>87</v>
      </c>
      <c r="I2191" s="1" t="s">
        <v>3683</v>
      </c>
      <c r="W2191" s="15">
        <v>1</v>
      </c>
    </row>
    <row r="2192" spans="1:25" ht="105" x14ac:dyDescent="0.25">
      <c r="A2192" t="s">
        <v>26</v>
      </c>
      <c r="B2192" t="s">
        <v>3657</v>
      </c>
      <c r="C2192" t="s">
        <v>50</v>
      </c>
      <c r="D2192" t="s">
        <v>3684</v>
      </c>
      <c r="E2192" t="s">
        <v>30</v>
      </c>
      <c r="F2192" t="s">
        <v>182</v>
      </c>
      <c r="G2192" t="s">
        <v>81</v>
      </c>
      <c r="H2192" t="s">
        <v>87</v>
      </c>
      <c r="I2192" s="1" t="s">
        <v>3685</v>
      </c>
      <c r="P2192" s="15">
        <v>1</v>
      </c>
    </row>
    <row r="2193" spans="1:25" x14ac:dyDescent="0.25">
      <c r="A2193" t="s">
        <v>49</v>
      </c>
      <c r="B2193" t="s">
        <v>3657</v>
      </c>
      <c r="C2193" t="s">
        <v>55</v>
      </c>
      <c r="D2193" t="s">
        <v>1053</v>
      </c>
      <c r="E2193" t="s">
        <v>30</v>
      </c>
      <c r="F2193" t="s">
        <v>606</v>
      </c>
      <c r="G2193" t="s">
        <v>32</v>
      </c>
      <c r="H2193" t="s">
        <v>87</v>
      </c>
      <c r="I2193" s="1" t="s">
        <v>3686</v>
      </c>
      <c r="Y2193">
        <v>1</v>
      </c>
    </row>
    <row r="2194" spans="1:25" ht="105" x14ac:dyDescent="0.25">
      <c r="A2194" t="s">
        <v>26</v>
      </c>
      <c r="B2194" t="s">
        <v>3657</v>
      </c>
      <c r="C2194" t="s">
        <v>180</v>
      </c>
      <c r="D2194" t="s">
        <v>893</v>
      </c>
      <c r="E2194" t="s">
        <v>30</v>
      </c>
      <c r="F2194" t="s">
        <v>189</v>
      </c>
      <c r="G2194" t="s">
        <v>32</v>
      </c>
      <c r="H2194" t="s">
        <v>87</v>
      </c>
      <c r="I2194" s="1" t="s">
        <v>3687</v>
      </c>
      <c r="P2194" s="15">
        <v>1</v>
      </c>
      <c r="W2194" s="15">
        <v>1</v>
      </c>
    </row>
    <row r="2195" spans="1:25" ht="45" x14ac:dyDescent="0.25">
      <c r="A2195" t="s">
        <v>37</v>
      </c>
      <c r="B2195" t="s">
        <v>3657</v>
      </c>
      <c r="C2195" t="s">
        <v>249</v>
      </c>
      <c r="D2195" t="s">
        <v>657</v>
      </c>
      <c r="E2195" t="s">
        <v>79</v>
      </c>
      <c r="F2195" t="s">
        <v>126</v>
      </c>
      <c r="G2195" t="s">
        <v>69</v>
      </c>
      <c r="H2195" t="s">
        <v>173</v>
      </c>
      <c r="I2195" s="1" t="s">
        <v>3688</v>
      </c>
      <c r="Q2195" s="15">
        <v>1</v>
      </c>
      <c r="V2195" s="15">
        <v>1</v>
      </c>
    </row>
    <row r="2196" spans="1:25" ht="105" x14ac:dyDescent="0.25">
      <c r="A2196" t="s">
        <v>26</v>
      </c>
      <c r="B2196" t="s">
        <v>3657</v>
      </c>
      <c r="C2196" t="s">
        <v>44</v>
      </c>
      <c r="D2196" t="s">
        <v>1711</v>
      </c>
      <c r="E2196" t="s">
        <v>79</v>
      </c>
      <c r="F2196" t="s">
        <v>446</v>
      </c>
      <c r="G2196" t="s">
        <v>69</v>
      </c>
      <c r="H2196" t="s">
        <v>87</v>
      </c>
      <c r="I2196" s="1" t="s">
        <v>3689</v>
      </c>
      <c r="S2196" s="15">
        <v>1</v>
      </c>
      <c r="W2196" s="15">
        <v>1</v>
      </c>
    </row>
    <row r="2197" spans="1:25" ht="105" x14ac:dyDescent="0.25">
      <c r="A2197" t="s">
        <v>37</v>
      </c>
      <c r="B2197" t="s">
        <v>3657</v>
      </c>
      <c r="C2197" t="s">
        <v>38</v>
      </c>
      <c r="D2197" t="s">
        <v>489</v>
      </c>
      <c r="E2197" t="s">
        <v>30</v>
      </c>
      <c r="F2197" t="s">
        <v>202</v>
      </c>
      <c r="G2197" t="s">
        <v>69</v>
      </c>
      <c r="H2197" t="s">
        <v>173</v>
      </c>
      <c r="I2197" s="1" t="s">
        <v>3690</v>
      </c>
      <c r="R2197" s="15">
        <v>1</v>
      </c>
      <c r="W2197" s="15">
        <v>1</v>
      </c>
    </row>
    <row r="2198" spans="1:25" ht="45" x14ac:dyDescent="0.25">
      <c r="A2198" t="s">
        <v>26</v>
      </c>
      <c r="B2198" t="s">
        <v>3657</v>
      </c>
      <c r="C2198" t="s">
        <v>69</v>
      </c>
      <c r="D2198" t="s">
        <v>819</v>
      </c>
      <c r="E2198" t="s">
        <v>30</v>
      </c>
      <c r="F2198" t="s">
        <v>365</v>
      </c>
      <c r="G2198" t="s">
        <v>32</v>
      </c>
      <c r="H2198" t="s">
        <v>87</v>
      </c>
      <c r="I2198" s="1" t="s">
        <v>3691</v>
      </c>
      <c r="T2198" s="15">
        <v>1</v>
      </c>
    </row>
    <row r="2199" spans="1:25" ht="30" x14ac:dyDescent="0.25">
      <c r="A2199" t="s">
        <v>37</v>
      </c>
      <c r="B2199" t="s">
        <v>3657</v>
      </c>
      <c r="C2199" t="s">
        <v>44</v>
      </c>
      <c r="D2199" t="s">
        <v>655</v>
      </c>
      <c r="E2199" t="s">
        <v>30</v>
      </c>
      <c r="F2199" t="s">
        <v>189</v>
      </c>
      <c r="G2199" t="s">
        <v>69</v>
      </c>
      <c r="H2199" t="s">
        <v>87</v>
      </c>
      <c r="I2199" s="1" t="s">
        <v>3692</v>
      </c>
      <c r="Q2199" s="15">
        <v>1</v>
      </c>
      <c r="V2199" s="15">
        <v>1</v>
      </c>
    </row>
    <row r="2200" spans="1:25" ht="60" x14ac:dyDescent="0.25">
      <c r="A2200" t="s">
        <v>49</v>
      </c>
      <c r="B2200" t="s">
        <v>3657</v>
      </c>
      <c r="C2200" t="s">
        <v>106</v>
      </c>
      <c r="D2200" t="s">
        <v>779</v>
      </c>
      <c r="E2200" t="s">
        <v>79</v>
      </c>
      <c r="F2200" t="s">
        <v>1142</v>
      </c>
      <c r="G2200" t="s">
        <v>32</v>
      </c>
      <c r="H2200" t="s">
        <v>33</v>
      </c>
      <c r="I2200" s="1" t="s">
        <v>3693</v>
      </c>
      <c r="S2200" s="15">
        <v>1</v>
      </c>
    </row>
    <row r="2201" spans="1:25" ht="30" x14ac:dyDescent="0.25">
      <c r="A2201" t="s">
        <v>37</v>
      </c>
      <c r="B2201" t="s">
        <v>3657</v>
      </c>
      <c r="C2201" t="s">
        <v>50</v>
      </c>
      <c r="D2201" t="s">
        <v>1226</v>
      </c>
      <c r="E2201" t="s">
        <v>30</v>
      </c>
      <c r="F2201" t="s">
        <v>3694</v>
      </c>
      <c r="G2201" t="s">
        <v>69</v>
      </c>
      <c r="H2201" t="s">
        <v>87</v>
      </c>
      <c r="I2201" s="1" t="s">
        <v>3695</v>
      </c>
      <c r="N2201" s="15">
        <v>1</v>
      </c>
    </row>
    <row r="2202" spans="1:25" ht="105" x14ac:dyDescent="0.25">
      <c r="A2202" t="s">
        <v>26</v>
      </c>
      <c r="B2202" t="s">
        <v>3657</v>
      </c>
      <c r="C2202" t="s">
        <v>69</v>
      </c>
      <c r="D2202" t="s">
        <v>1258</v>
      </c>
      <c r="E2202" t="s">
        <v>30</v>
      </c>
      <c r="F2202" t="s">
        <v>246</v>
      </c>
      <c r="G2202" t="s">
        <v>32</v>
      </c>
      <c r="H2202" t="s">
        <v>87</v>
      </c>
      <c r="I2202" s="1" t="s">
        <v>3696</v>
      </c>
      <c r="N2202" s="15">
        <v>1</v>
      </c>
      <c r="P2202" s="15">
        <v>1</v>
      </c>
    </row>
    <row r="2203" spans="1:25" ht="60" x14ac:dyDescent="0.25">
      <c r="A2203" t="s">
        <v>37</v>
      </c>
      <c r="B2203" t="s">
        <v>3657</v>
      </c>
      <c r="C2203" t="s">
        <v>32</v>
      </c>
      <c r="D2203" t="s">
        <v>208</v>
      </c>
      <c r="E2203" t="s">
        <v>30</v>
      </c>
      <c r="F2203" t="s">
        <v>140</v>
      </c>
      <c r="G2203" t="s">
        <v>32</v>
      </c>
      <c r="H2203" t="s">
        <v>33</v>
      </c>
      <c r="I2203" s="1" t="s">
        <v>3697</v>
      </c>
      <c r="S2203" s="15">
        <v>1</v>
      </c>
    </row>
    <row r="2204" spans="1:25" ht="45" x14ac:dyDescent="0.25">
      <c r="A2204" t="s">
        <v>49</v>
      </c>
      <c r="B2204" t="s">
        <v>3657</v>
      </c>
      <c r="C2204" t="s">
        <v>28</v>
      </c>
      <c r="D2204" t="s">
        <v>388</v>
      </c>
      <c r="E2204" t="s">
        <v>30</v>
      </c>
      <c r="F2204" t="s">
        <v>177</v>
      </c>
      <c r="G2204" t="s">
        <v>32</v>
      </c>
      <c r="H2204" t="s">
        <v>33</v>
      </c>
      <c r="I2204" s="1" t="s">
        <v>3698</v>
      </c>
      <c r="S2204" s="15">
        <v>1</v>
      </c>
    </row>
    <row r="2205" spans="1:25" x14ac:dyDescent="0.25">
      <c r="A2205" t="s">
        <v>26</v>
      </c>
      <c r="B2205" t="s">
        <v>3657</v>
      </c>
      <c r="C2205" t="s">
        <v>44</v>
      </c>
      <c r="D2205" t="s">
        <v>754</v>
      </c>
      <c r="E2205" t="s">
        <v>30</v>
      </c>
      <c r="F2205" t="s">
        <v>154</v>
      </c>
      <c r="G2205" t="s">
        <v>32</v>
      </c>
      <c r="H2205" t="s">
        <v>173</v>
      </c>
      <c r="I2205" s="1" t="s">
        <v>3699</v>
      </c>
      <c r="Q2205" s="15">
        <v>1</v>
      </c>
    </row>
    <row r="2206" spans="1:25" ht="30" x14ac:dyDescent="0.25">
      <c r="A2206" t="s">
        <v>49</v>
      </c>
      <c r="B2206" t="s">
        <v>3657</v>
      </c>
      <c r="C2206" t="s">
        <v>28</v>
      </c>
      <c r="D2206" t="s">
        <v>486</v>
      </c>
      <c r="E2206" t="s">
        <v>30</v>
      </c>
      <c r="F2206" t="s">
        <v>196</v>
      </c>
      <c r="G2206" t="s">
        <v>32</v>
      </c>
      <c r="H2206" t="s">
        <v>33</v>
      </c>
      <c r="I2206" s="1" t="s">
        <v>3700</v>
      </c>
      <c r="S2206" s="15">
        <v>1</v>
      </c>
    </row>
    <row r="2207" spans="1:25" ht="90" x14ac:dyDescent="0.25">
      <c r="A2207" t="s">
        <v>49</v>
      </c>
      <c r="B2207" t="s">
        <v>3657</v>
      </c>
      <c r="C2207" t="s">
        <v>106</v>
      </c>
      <c r="D2207" t="s">
        <v>3701</v>
      </c>
      <c r="E2207" t="s">
        <v>79</v>
      </c>
      <c r="F2207" t="s">
        <v>290</v>
      </c>
      <c r="G2207" t="s">
        <v>32</v>
      </c>
      <c r="H2207" t="s">
        <v>87</v>
      </c>
      <c r="I2207" s="1" t="s">
        <v>3702</v>
      </c>
      <c r="T2207" s="15">
        <v>1</v>
      </c>
    </row>
    <row r="2208" spans="1:25" ht="90" x14ac:dyDescent="0.25">
      <c r="A2208" t="s">
        <v>91</v>
      </c>
      <c r="B2208" t="s">
        <v>3657</v>
      </c>
      <c r="C2208" t="s">
        <v>263</v>
      </c>
      <c r="D2208" t="s">
        <v>457</v>
      </c>
      <c r="E2208" t="s">
        <v>30</v>
      </c>
      <c r="F2208" t="s">
        <v>182</v>
      </c>
      <c r="G2208" t="s">
        <v>69</v>
      </c>
      <c r="H2208" t="s">
        <v>87</v>
      </c>
      <c r="I2208" s="1" t="s">
        <v>3703</v>
      </c>
      <c r="W2208" s="15">
        <v>1</v>
      </c>
    </row>
    <row r="2209" spans="1:25" ht="30" x14ac:dyDescent="0.25">
      <c r="A2209" t="s">
        <v>49</v>
      </c>
      <c r="B2209" t="s">
        <v>3657</v>
      </c>
      <c r="C2209" t="s">
        <v>180</v>
      </c>
      <c r="D2209" t="s">
        <v>1722</v>
      </c>
      <c r="E2209" t="s">
        <v>30</v>
      </c>
      <c r="F2209" t="s">
        <v>108</v>
      </c>
      <c r="G2209" t="s">
        <v>32</v>
      </c>
      <c r="H2209" t="s">
        <v>33</v>
      </c>
      <c r="I2209" s="1" t="s">
        <v>3704</v>
      </c>
      <c r="S2209" s="15">
        <v>1</v>
      </c>
    </row>
    <row r="2210" spans="1:25" ht="90" x14ac:dyDescent="0.25">
      <c r="A2210" t="s">
        <v>91</v>
      </c>
      <c r="B2210" t="s">
        <v>3657</v>
      </c>
      <c r="C2210" t="s">
        <v>263</v>
      </c>
      <c r="D2210" t="s">
        <v>1128</v>
      </c>
      <c r="E2210" t="s">
        <v>30</v>
      </c>
      <c r="F2210" t="s">
        <v>177</v>
      </c>
      <c r="G2210" t="s">
        <v>32</v>
      </c>
      <c r="H2210" t="s">
        <v>173</v>
      </c>
      <c r="I2210" s="1" t="s">
        <v>3705</v>
      </c>
      <c r="W2210" s="15">
        <v>1</v>
      </c>
    </row>
    <row r="2211" spans="1:25" ht="45" x14ac:dyDescent="0.25">
      <c r="A2211" t="s">
        <v>49</v>
      </c>
      <c r="B2211" t="s">
        <v>3657</v>
      </c>
      <c r="C2211" t="s">
        <v>69</v>
      </c>
      <c r="D2211" t="s">
        <v>664</v>
      </c>
      <c r="E2211" t="s">
        <v>30</v>
      </c>
      <c r="F2211" t="s">
        <v>446</v>
      </c>
      <c r="G2211" t="s">
        <v>69</v>
      </c>
      <c r="H2211" t="s">
        <v>87</v>
      </c>
      <c r="I2211" s="1" t="s">
        <v>3706</v>
      </c>
      <c r="N2211" s="15">
        <v>1</v>
      </c>
      <c r="Q2211" s="15">
        <v>1</v>
      </c>
      <c r="W2211" s="15">
        <v>1</v>
      </c>
    </row>
    <row r="2212" spans="1:25" ht="30" x14ac:dyDescent="0.25">
      <c r="A2212" t="s">
        <v>91</v>
      </c>
      <c r="B2212" t="s">
        <v>3657</v>
      </c>
      <c r="C2212" t="s">
        <v>73</v>
      </c>
      <c r="D2212" t="s">
        <v>3707</v>
      </c>
      <c r="E2212" t="s">
        <v>30</v>
      </c>
      <c r="F2212" t="s">
        <v>98</v>
      </c>
      <c r="G2212" t="s">
        <v>69</v>
      </c>
      <c r="H2212" t="s">
        <v>87</v>
      </c>
      <c r="I2212" s="1" t="s">
        <v>3708</v>
      </c>
      <c r="Q2212" s="15">
        <v>1</v>
      </c>
    </row>
    <row r="2213" spans="1:25" ht="105" x14ac:dyDescent="0.25">
      <c r="A2213" t="s">
        <v>91</v>
      </c>
      <c r="B2213" t="s">
        <v>3657</v>
      </c>
      <c r="C2213" t="s">
        <v>235</v>
      </c>
      <c r="D2213" t="s">
        <v>537</v>
      </c>
      <c r="E2213" t="s">
        <v>30</v>
      </c>
      <c r="F2213" t="s">
        <v>446</v>
      </c>
      <c r="G2213" t="s">
        <v>69</v>
      </c>
      <c r="H2213" t="s">
        <v>173</v>
      </c>
      <c r="I2213" s="1" t="s">
        <v>3709</v>
      </c>
      <c r="P2213" s="15">
        <v>1</v>
      </c>
      <c r="W2213" s="15">
        <v>1</v>
      </c>
    </row>
    <row r="2214" spans="1:25" ht="90" x14ac:dyDescent="0.25">
      <c r="A2214" t="s">
        <v>91</v>
      </c>
      <c r="B2214" t="s">
        <v>3657</v>
      </c>
      <c r="C2214" t="s">
        <v>44</v>
      </c>
      <c r="D2214" t="s">
        <v>267</v>
      </c>
      <c r="E2214" t="s">
        <v>30</v>
      </c>
      <c r="F2214" t="s">
        <v>543</v>
      </c>
      <c r="G2214" t="s">
        <v>32</v>
      </c>
      <c r="H2214" t="s">
        <v>33</v>
      </c>
      <c r="I2214" s="1" t="s">
        <v>3710</v>
      </c>
      <c r="S2214" s="15">
        <v>1</v>
      </c>
    </row>
    <row r="2215" spans="1:25" ht="30" x14ac:dyDescent="0.25">
      <c r="A2215" t="s">
        <v>37</v>
      </c>
      <c r="B2215" t="s">
        <v>3657</v>
      </c>
      <c r="C2215" t="s">
        <v>472</v>
      </c>
      <c r="D2215" t="s">
        <v>3711</v>
      </c>
      <c r="E2215" t="s">
        <v>30</v>
      </c>
      <c r="F2215" t="s">
        <v>209</v>
      </c>
      <c r="G2215" t="s">
        <v>32</v>
      </c>
      <c r="H2215" t="s">
        <v>33</v>
      </c>
      <c r="I2215" s="1" t="s">
        <v>3712</v>
      </c>
      <c r="S2215" s="15">
        <v>1</v>
      </c>
    </row>
    <row r="2216" spans="1:25" ht="90" x14ac:dyDescent="0.25">
      <c r="A2216" t="s">
        <v>37</v>
      </c>
      <c r="B2216" t="s">
        <v>3657</v>
      </c>
      <c r="C2216" t="s">
        <v>69</v>
      </c>
      <c r="D2216" t="s">
        <v>229</v>
      </c>
      <c r="E2216" t="s">
        <v>30</v>
      </c>
      <c r="F2216" t="s">
        <v>561</v>
      </c>
      <c r="G2216" t="s">
        <v>69</v>
      </c>
      <c r="H2216" t="s">
        <v>173</v>
      </c>
      <c r="I2216" s="1" t="s">
        <v>3713</v>
      </c>
      <c r="P2216" s="15">
        <v>1</v>
      </c>
      <c r="Q2216" s="15">
        <v>1</v>
      </c>
      <c r="V2216" s="15">
        <v>1</v>
      </c>
    </row>
    <row r="2217" spans="1:25" ht="60" x14ac:dyDescent="0.25">
      <c r="A2217" t="s">
        <v>26</v>
      </c>
      <c r="B2217" t="s">
        <v>3714</v>
      </c>
      <c r="C2217" t="s">
        <v>263</v>
      </c>
      <c r="D2217" t="s">
        <v>3715</v>
      </c>
      <c r="E2217" t="s">
        <v>30</v>
      </c>
      <c r="F2217" t="s">
        <v>52</v>
      </c>
      <c r="G2217" t="s">
        <v>32</v>
      </c>
      <c r="H2217" t="s">
        <v>87</v>
      </c>
      <c r="I2217" s="1" t="s">
        <v>3716</v>
      </c>
      <c r="P2217" s="15">
        <v>1</v>
      </c>
      <c r="Y2217">
        <v>1</v>
      </c>
    </row>
    <row r="2218" spans="1:25" ht="30" x14ac:dyDescent="0.25">
      <c r="A2218" t="s">
        <v>26</v>
      </c>
      <c r="B2218" t="s">
        <v>3714</v>
      </c>
      <c r="C2218" t="s">
        <v>249</v>
      </c>
      <c r="D2218" t="s">
        <v>734</v>
      </c>
      <c r="E2218" t="s">
        <v>30</v>
      </c>
      <c r="F2218" t="s">
        <v>112</v>
      </c>
      <c r="G2218" t="s">
        <v>32</v>
      </c>
      <c r="H2218" t="s">
        <v>87</v>
      </c>
      <c r="I2218" s="1" t="s">
        <v>3717</v>
      </c>
      <c r="Q2218" s="15">
        <v>1</v>
      </c>
    </row>
    <row r="2219" spans="1:25" ht="105" x14ac:dyDescent="0.25">
      <c r="A2219" t="s">
        <v>37</v>
      </c>
      <c r="B2219" t="s">
        <v>3714</v>
      </c>
      <c r="C2219" t="s">
        <v>38</v>
      </c>
      <c r="D2219" t="s">
        <v>3718</v>
      </c>
      <c r="E2219" t="s">
        <v>30</v>
      </c>
      <c r="F2219" t="s">
        <v>61</v>
      </c>
      <c r="G2219" t="s">
        <v>32</v>
      </c>
      <c r="H2219" t="s">
        <v>33</v>
      </c>
      <c r="I2219" s="1" t="s">
        <v>3719</v>
      </c>
      <c r="Q2219" s="15">
        <v>1</v>
      </c>
      <c r="S2219" s="15">
        <v>1</v>
      </c>
    </row>
    <row r="2220" spans="1:25" ht="105" x14ac:dyDescent="0.25">
      <c r="A2220" t="s">
        <v>26</v>
      </c>
      <c r="B2220" t="s">
        <v>3714</v>
      </c>
      <c r="C2220" t="s">
        <v>106</v>
      </c>
      <c r="D2220" t="s">
        <v>803</v>
      </c>
      <c r="E2220" t="s">
        <v>30</v>
      </c>
      <c r="F2220" t="s">
        <v>294</v>
      </c>
      <c r="G2220" t="s">
        <v>263</v>
      </c>
      <c r="H2220" t="s">
        <v>87</v>
      </c>
      <c r="I2220" s="1" t="s">
        <v>3720</v>
      </c>
      <c r="Y2220">
        <v>1</v>
      </c>
    </row>
    <row r="2221" spans="1:25" x14ac:dyDescent="0.25">
      <c r="A2221" t="s">
        <v>26</v>
      </c>
      <c r="B2221" t="s">
        <v>3714</v>
      </c>
      <c r="C2221" t="s">
        <v>55</v>
      </c>
      <c r="D2221" t="s">
        <v>953</v>
      </c>
      <c r="E2221" t="s">
        <v>30</v>
      </c>
      <c r="F2221" t="s">
        <v>130</v>
      </c>
      <c r="G2221" t="s">
        <v>32</v>
      </c>
      <c r="H2221" t="s">
        <v>33</v>
      </c>
      <c r="I2221" s="1" t="s">
        <v>3721</v>
      </c>
      <c r="O2221" s="15">
        <v>1</v>
      </c>
    </row>
    <row r="2222" spans="1:25" ht="45" x14ac:dyDescent="0.25">
      <c r="A2222" t="s">
        <v>26</v>
      </c>
      <c r="B2222" t="s">
        <v>3714</v>
      </c>
      <c r="C2222" t="s">
        <v>73</v>
      </c>
      <c r="D2222" t="s">
        <v>293</v>
      </c>
      <c r="E2222" t="s">
        <v>30</v>
      </c>
      <c r="F2222" t="s">
        <v>52</v>
      </c>
      <c r="G2222" t="s">
        <v>69</v>
      </c>
      <c r="H2222" t="s">
        <v>87</v>
      </c>
      <c r="I2222" s="1" t="s">
        <v>3722</v>
      </c>
      <c r="V2222" s="15">
        <v>1</v>
      </c>
    </row>
    <row r="2223" spans="1:25" ht="90" x14ac:dyDescent="0.25">
      <c r="A2223" t="s">
        <v>26</v>
      </c>
      <c r="B2223" t="s">
        <v>3714</v>
      </c>
      <c r="C2223" t="s">
        <v>55</v>
      </c>
      <c r="D2223" t="s">
        <v>382</v>
      </c>
      <c r="E2223" t="s">
        <v>30</v>
      </c>
      <c r="F2223" t="s">
        <v>196</v>
      </c>
      <c r="G2223" t="s">
        <v>81</v>
      </c>
      <c r="H2223" t="s">
        <v>87</v>
      </c>
      <c r="I2223" s="1" t="s">
        <v>3723</v>
      </c>
      <c r="Q2223" s="15">
        <v>1</v>
      </c>
      <c r="Y2223">
        <v>1</v>
      </c>
    </row>
    <row r="2224" spans="1:25" ht="105" x14ac:dyDescent="0.25">
      <c r="A2224" t="s">
        <v>26</v>
      </c>
      <c r="B2224" t="s">
        <v>3714</v>
      </c>
      <c r="C2224" t="s">
        <v>55</v>
      </c>
      <c r="D2224" t="s">
        <v>1520</v>
      </c>
      <c r="E2224" t="s">
        <v>30</v>
      </c>
      <c r="F2224" t="s">
        <v>287</v>
      </c>
      <c r="G2224" t="s">
        <v>69</v>
      </c>
      <c r="H2224" t="s">
        <v>87</v>
      </c>
      <c r="I2224" s="1" t="s">
        <v>3724</v>
      </c>
      <c r="P2224" s="15">
        <v>1</v>
      </c>
      <c r="Y2224">
        <v>1</v>
      </c>
    </row>
    <row r="2225" spans="1:24" ht="75" x14ac:dyDescent="0.25">
      <c r="A2225" t="s">
        <v>59</v>
      </c>
      <c r="B2225" t="s">
        <v>3714</v>
      </c>
      <c r="C2225" t="s">
        <v>85</v>
      </c>
      <c r="D2225" t="s">
        <v>3725</v>
      </c>
      <c r="E2225" t="s">
        <v>30</v>
      </c>
      <c r="F2225" t="s">
        <v>389</v>
      </c>
      <c r="G2225" t="s">
        <v>32</v>
      </c>
      <c r="H2225" t="s">
        <v>33</v>
      </c>
      <c r="I2225" s="1" t="s">
        <v>3726</v>
      </c>
      <c r="S2225" s="15">
        <v>1</v>
      </c>
    </row>
    <row r="2226" spans="1:24" ht="30" x14ac:dyDescent="0.25">
      <c r="A2226" t="s">
        <v>26</v>
      </c>
      <c r="B2226" t="s">
        <v>3714</v>
      </c>
      <c r="C2226" t="s">
        <v>38</v>
      </c>
      <c r="D2226" t="s">
        <v>39</v>
      </c>
      <c r="E2226" t="s">
        <v>30</v>
      </c>
      <c r="F2226" t="s">
        <v>246</v>
      </c>
      <c r="G2226" t="s">
        <v>69</v>
      </c>
      <c r="H2226" t="s">
        <v>87</v>
      </c>
      <c r="I2226" s="1" t="s">
        <v>3727</v>
      </c>
      <c r="P2226" s="15">
        <v>1</v>
      </c>
    </row>
    <row r="2227" spans="1:24" ht="45" x14ac:dyDescent="0.25">
      <c r="A2227" t="s">
        <v>49</v>
      </c>
      <c r="B2227" t="s">
        <v>3714</v>
      </c>
      <c r="C2227" t="s">
        <v>106</v>
      </c>
      <c r="D2227" t="s">
        <v>3647</v>
      </c>
      <c r="E2227" t="s">
        <v>30</v>
      </c>
      <c r="F2227" t="s">
        <v>294</v>
      </c>
      <c r="G2227" t="s">
        <v>32</v>
      </c>
      <c r="H2227" t="s">
        <v>173</v>
      </c>
      <c r="I2227" s="1" t="s">
        <v>3728</v>
      </c>
      <c r="Q2227" s="15">
        <v>1</v>
      </c>
    </row>
    <row r="2228" spans="1:24" ht="90" x14ac:dyDescent="0.25">
      <c r="A2228" t="s">
        <v>26</v>
      </c>
      <c r="B2228" t="s">
        <v>3714</v>
      </c>
      <c r="C2228" t="s">
        <v>69</v>
      </c>
      <c r="D2228" t="s">
        <v>160</v>
      </c>
      <c r="E2228" t="s">
        <v>30</v>
      </c>
      <c r="F2228" t="s">
        <v>209</v>
      </c>
      <c r="G2228" t="s">
        <v>32</v>
      </c>
      <c r="H2228" t="s">
        <v>173</v>
      </c>
      <c r="I2228" s="1" t="s">
        <v>3729</v>
      </c>
      <c r="N2228" s="15">
        <v>1</v>
      </c>
    </row>
    <row r="2229" spans="1:24" ht="60" x14ac:dyDescent="0.25">
      <c r="A2229" t="s">
        <v>49</v>
      </c>
      <c r="B2229" t="s">
        <v>3714</v>
      </c>
      <c r="C2229" t="s">
        <v>32</v>
      </c>
      <c r="D2229" t="s">
        <v>101</v>
      </c>
      <c r="E2229" t="s">
        <v>79</v>
      </c>
      <c r="F2229" t="s">
        <v>40</v>
      </c>
      <c r="G2229" t="s">
        <v>69</v>
      </c>
      <c r="H2229" t="s">
        <v>87</v>
      </c>
      <c r="I2229" s="1" t="s">
        <v>3730</v>
      </c>
      <c r="V2229" s="15">
        <v>1</v>
      </c>
    </row>
    <row r="2230" spans="1:24" ht="90" x14ac:dyDescent="0.25">
      <c r="A2230" t="s">
        <v>64</v>
      </c>
      <c r="B2230" t="s">
        <v>3714</v>
      </c>
      <c r="C2230" t="s">
        <v>50</v>
      </c>
      <c r="D2230" t="s">
        <v>817</v>
      </c>
      <c r="E2230" t="s">
        <v>79</v>
      </c>
      <c r="F2230" t="s">
        <v>46</v>
      </c>
      <c r="G2230" t="s">
        <v>69</v>
      </c>
      <c r="H2230" t="s">
        <v>173</v>
      </c>
      <c r="I2230" s="1" t="s">
        <v>3731</v>
      </c>
      <c r="W2230" s="15">
        <v>1</v>
      </c>
    </row>
    <row r="2231" spans="1:24" ht="60" x14ac:dyDescent="0.25">
      <c r="A2231" t="s">
        <v>91</v>
      </c>
      <c r="B2231" t="s">
        <v>3714</v>
      </c>
      <c r="C2231" t="s">
        <v>55</v>
      </c>
      <c r="D2231" t="s">
        <v>1053</v>
      </c>
      <c r="E2231" t="s">
        <v>30</v>
      </c>
      <c r="F2231" t="s">
        <v>40</v>
      </c>
      <c r="G2231" t="s">
        <v>32</v>
      </c>
      <c r="H2231" t="s">
        <v>33</v>
      </c>
      <c r="I2231" s="1" t="s">
        <v>3732</v>
      </c>
      <c r="S2231" s="15">
        <v>1</v>
      </c>
    </row>
    <row r="2232" spans="1:24" ht="105" x14ac:dyDescent="0.25">
      <c r="A2232" t="s">
        <v>26</v>
      </c>
      <c r="B2232" t="s">
        <v>3733</v>
      </c>
      <c r="C2232" t="s">
        <v>92</v>
      </c>
      <c r="D2232" t="s">
        <v>111</v>
      </c>
      <c r="E2232" t="s">
        <v>30</v>
      </c>
      <c r="F2232" t="s">
        <v>94</v>
      </c>
      <c r="G2232" t="s">
        <v>32</v>
      </c>
      <c r="H2232" t="s">
        <v>87</v>
      </c>
      <c r="I2232" s="1" t="s">
        <v>3734</v>
      </c>
      <c r="N2232" s="15">
        <v>1</v>
      </c>
    </row>
    <row r="2233" spans="1:24" ht="60" x14ac:dyDescent="0.25">
      <c r="A2233" t="s">
        <v>26</v>
      </c>
      <c r="B2233" t="s">
        <v>3733</v>
      </c>
      <c r="C2233" t="s">
        <v>92</v>
      </c>
      <c r="D2233" t="s">
        <v>3735</v>
      </c>
      <c r="E2233" t="s">
        <v>30</v>
      </c>
      <c r="F2233" t="s">
        <v>389</v>
      </c>
      <c r="G2233" t="s">
        <v>69</v>
      </c>
      <c r="H2233" t="s">
        <v>87</v>
      </c>
      <c r="I2233" s="1" t="s">
        <v>3736</v>
      </c>
      <c r="Q2233" s="15">
        <v>1</v>
      </c>
    </row>
    <row r="2234" spans="1:24" ht="75" x14ac:dyDescent="0.25">
      <c r="A2234" t="s">
        <v>26</v>
      </c>
      <c r="B2234" t="s">
        <v>3733</v>
      </c>
      <c r="C2234" t="s">
        <v>85</v>
      </c>
      <c r="D2234" t="s">
        <v>667</v>
      </c>
      <c r="E2234" t="s">
        <v>30</v>
      </c>
      <c r="F2234" t="s">
        <v>102</v>
      </c>
      <c r="G2234" t="s">
        <v>69</v>
      </c>
      <c r="H2234" t="s">
        <v>173</v>
      </c>
      <c r="I2234" s="1" t="s">
        <v>3737</v>
      </c>
      <c r="Q2234" s="15">
        <v>1</v>
      </c>
    </row>
    <row r="2235" spans="1:24" ht="75" x14ac:dyDescent="0.25">
      <c r="A2235" t="s">
        <v>37</v>
      </c>
      <c r="B2235" t="s">
        <v>3733</v>
      </c>
      <c r="C2235" t="s">
        <v>263</v>
      </c>
      <c r="D2235" t="s">
        <v>1925</v>
      </c>
      <c r="E2235" t="s">
        <v>30</v>
      </c>
      <c r="F2235" t="s">
        <v>166</v>
      </c>
      <c r="G2235" t="s">
        <v>32</v>
      </c>
      <c r="H2235" t="s">
        <v>87</v>
      </c>
      <c r="I2235" s="1" t="s">
        <v>3738</v>
      </c>
      <c r="T2235" s="15">
        <v>1</v>
      </c>
      <c r="V2235" s="15">
        <v>1</v>
      </c>
    </row>
    <row r="2236" spans="1:24" ht="105" x14ac:dyDescent="0.25">
      <c r="A2236" t="s">
        <v>26</v>
      </c>
      <c r="B2236" t="s">
        <v>3733</v>
      </c>
      <c r="C2236" t="s">
        <v>472</v>
      </c>
      <c r="D2236" t="s">
        <v>1000</v>
      </c>
      <c r="E2236" t="s">
        <v>30</v>
      </c>
      <c r="F2236" t="s">
        <v>136</v>
      </c>
      <c r="G2236" t="s">
        <v>69</v>
      </c>
      <c r="H2236" t="s">
        <v>87</v>
      </c>
      <c r="I2236" s="1" t="s">
        <v>3739</v>
      </c>
      <c r="Q2236" s="15">
        <v>1</v>
      </c>
      <c r="V2236" s="15">
        <v>1</v>
      </c>
    </row>
    <row r="2237" spans="1:24" ht="45" x14ac:dyDescent="0.25">
      <c r="A2237" t="s">
        <v>49</v>
      </c>
      <c r="B2237" t="s">
        <v>3733</v>
      </c>
      <c r="C2237" t="s">
        <v>240</v>
      </c>
      <c r="D2237" t="s">
        <v>319</v>
      </c>
      <c r="E2237" t="s">
        <v>30</v>
      </c>
      <c r="F2237" t="s">
        <v>216</v>
      </c>
      <c r="G2237" t="s">
        <v>32</v>
      </c>
      <c r="H2237" t="s">
        <v>173</v>
      </c>
      <c r="I2237" s="1" t="s">
        <v>3740</v>
      </c>
      <c r="S2237" s="15">
        <v>1</v>
      </c>
    </row>
    <row r="2238" spans="1:24" ht="45" x14ac:dyDescent="0.25">
      <c r="A2238" t="s">
        <v>26</v>
      </c>
      <c r="B2238" t="s">
        <v>3733</v>
      </c>
      <c r="C2238" t="s">
        <v>180</v>
      </c>
      <c r="D2238" t="s">
        <v>1835</v>
      </c>
      <c r="E2238" t="s">
        <v>30</v>
      </c>
      <c r="F2238" t="s">
        <v>246</v>
      </c>
      <c r="G2238" t="s">
        <v>69</v>
      </c>
      <c r="H2238" t="s">
        <v>87</v>
      </c>
      <c r="I2238" s="1" t="s">
        <v>3741</v>
      </c>
      <c r="Q2238" s="15">
        <v>1</v>
      </c>
    </row>
    <row r="2239" spans="1:24" ht="60" x14ac:dyDescent="0.25">
      <c r="A2239" t="s">
        <v>49</v>
      </c>
      <c r="B2239" t="s">
        <v>3733</v>
      </c>
      <c r="C2239" t="s">
        <v>32</v>
      </c>
      <c r="D2239" t="s">
        <v>3742</v>
      </c>
      <c r="E2239" t="s">
        <v>30</v>
      </c>
      <c r="F2239" t="s">
        <v>189</v>
      </c>
      <c r="G2239" t="s">
        <v>32</v>
      </c>
      <c r="H2239" t="s">
        <v>33</v>
      </c>
      <c r="I2239" s="1" t="s">
        <v>3743</v>
      </c>
      <c r="O2239" s="15">
        <v>1</v>
      </c>
      <c r="S2239" s="15">
        <v>1</v>
      </c>
    </row>
    <row r="2240" spans="1:24" ht="30" x14ac:dyDescent="0.25">
      <c r="A2240" t="s">
        <v>49</v>
      </c>
      <c r="B2240" t="s">
        <v>3733</v>
      </c>
      <c r="C2240" t="s">
        <v>28</v>
      </c>
      <c r="D2240" t="s">
        <v>1621</v>
      </c>
      <c r="E2240" t="s">
        <v>30</v>
      </c>
      <c r="F2240" t="s">
        <v>216</v>
      </c>
      <c r="G2240" t="s">
        <v>32</v>
      </c>
      <c r="H2240" t="s">
        <v>33</v>
      </c>
      <c r="I2240" s="1" t="s">
        <v>3744</v>
      </c>
      <c r="O2240" s="15">
        <v>1</v>
      </c>
      <c r="X2240" s="15" t="s">
        <v>3745</v>
      </c>
    </row>
    <row r="2241" spans="1:25" ht="60" x14ac:dyDescent="0.25">
      <c r="A2241" t="s">
        <v>26</v>
      </c>
      <c r="B2241" t="s">
        <v>3746</v>
      </c>
      <c r="C2241" t="s">
        <v>106</v>
      </c>
      <c r="D2241" t="s">
        <v>803</v>
      </c>
      <c r="E2241" t="s">
        <v>30</v>
      </c>
      <c r="F2241" t="s">
        <v>1014</v>
      </c>
      <c r="G2241" t="s">
        <v>32</v>
      </c>
      <c r="H2241" t="s">
        <v>87</v>
      </c>
      <c r="I2241" s="1" t="s">
        <v>3747</v>
      </c>
      <c r="Y2241">
        <v>1</v>
      </c>
    </row>
    <row r="2242" spans="1:25" ht="105" x14ac:dyDescent="0.25">
      <c r="A2242" t="s">
        <v>26</v>
      </c>
      <c r="B2242" t="s">
        <v>3746</v>
      </c>
      <c r="C2242" t="s">
        <v>249</v>
      </c>
      <c r="D2242" t="s">
        <v>411</v>
      </c>
      <c r="E2242" t="s">
        <v>30</v>
      </c>
      <c r="F2242" t="s">
        <v>189</v>
      </c>
      <c r="G2242" t="s">
        <v>32</v>
      </c>
      <c r="H2242" t="s">
        <v>173</v>
      </c>
      <c r="I2242" s="1" t="s">
        <v>3748</v>
      </c>
      <c r="N2242" s="15">
        <v>1</v>
      </c>
    </row>
    <row r="2243" spans="1:25" ht="60" x14ac:dyDescent="0.25">
      <c r="A2243" t="s">
        <v>26</v>
      </c>
      <c r="B2243" t="s">
        <v>3746</v>
      </c>
      <c r="C2243" t="s">
        <v>263</v>
      </c>
      <c r="D2243" t="s">
        <v>1135</v>
      </c>
      <c r="E2243" t="s">
        <v>30</v>
      </c>
      <c r="F2243" t="s">
        <v>61</v>
      </c>
      <c r="G2243" t="s">
        <v>81</v>
      </c>
      <c r="H2243" t="s">
        <v>87</v>
      </c>
      <c r="I2243" s="1" t="s">
        <v>3749</v>
      </c>
      <c r="P2243" s="15">
        <v>1</v>
      </c>
    </row>
    <row r="2244" spans="1:25" ht="45" x14ac:dyDescent="0.25">
      <c r="A2244" t="s">
        <v>26</v>
      </c>
      <c r="B2244" t="s">
        <v>3746</v>
      </c>
      <c r="C2244" t="s">
        <v>92</v>
      </c>
      <c r="D2244" t="s">
        <v>93</v>
      </c>
      <c r="E2244" t="s">
        <v>30</v>
      </c>
      <c r="F2244" t="s">
        <v>280</v>
      </c>
      <c r="G2244" t="s">
        <v>32</v>
      </c>
      <c r="H2244" t="s">
        <v>173</v>
      </c>
      <c r="I2244" s="1" t="s">
        <v>3750</v>
      </c>
      <c r="R2244" s="15">
        <v>1</v>
      </c>
    </row>
    <row r="2245" spans="1:25" ht="45" x14ac:dyDescent="0.25">
      <c r="A2245" t="s">
        <v>26</v>
      </c>
      <c r="B2245" t="s">
        <v>3746</v>
      </c>
      <c r="C2245" t="s">
        <v>28</v>
      </c>
      <c r="D2245" t="s">
        <v>1761</v>
      </c>
      <c r="E2245" t="s">
        <v>30</v>
      </c>
      <c r="F2245" t="s">
        <v>287</v>
      </c>
      <c r="G2245" t="s">
        <v>32</v>
      </c>
      <c r="H2245" t="s">
        <v>33</v>
      </c>
      <c r="I2245" s="1" t="s">
        <v>3751</v>
      </c>
      <c r="S2245" s="15">
        <v>1</v>
      </c>
    </row>
    <row r="2246" spans="1:25" ht="30" x14ac:dyDescent="0.25">
      <c r="A2246" t="s">
        <v>26</v>
      </c>
      <c r="B2246" t="s">
        <v>3746</v>
      </c>
      <c r="C2246" t="s">
        <v>106</v>
      </c>
      <c r="D2246" t="s">
        <v>3676</v>
      </c>
      <c r="E2246" t="s">
        <v>79</v>
      </c>
      <c r="F2246" t="s">
        <v>161</v>
      </c>
      <c r="G2246" t="s">
        <v>32</v>
      </c>
      <c r="H2246" t="s">
        <v>33</v>
      </c>
      <c r="I2246" s="1" t="s">
        <v>3752</v>
      </c>
      <c r="S2246" s="15">
        <v>1</v>
      </c>
    </row>
    <row r="2247" spans="1:25" ht="105" x14ac:dyDescent="0.25">
      <c r="A2247" t="s">
        <v>26</v>
      </c>
      <c r="B2247" t="s">
        <v>3746</v>
      </c>
      <c r="C2247" t="s">
        <v>249</v>
      </c>
      <c r="D2247" t="s">
        <v>909</v>
      </c>
      <c r="E2247" t="s">
        <v>30</v>
      </c>
      <c r="F2247" t="s">
        <v>61</v>
      </c>
      <c r="G2247" t="s">
        <v>69</v>
      </c>
      <c r="H2247" t="s">
        <v>33</v>
      </c>
      <c r="I2247" s="1" t="s">
        <v>3753</v>
      </c>
      <c r="S2247" s="15">
        <v>1</v>
      </c>
      <c r="T2247" s="15">
        <v>1</v>
      </c>
    </row>
    <row r="2248" spans="1:25" ht="60" x14ac:dyDescent="0.25">
      <c r="A2248" t="s">
        <v>26</v>
      </c>
      <c r="B2248" t="s">
        <v>3746</v>
      </c>
      <c r="C2248" t="s">
        <v>240</v>
      </c>
      <c r="D2248" t="s">
        <v>1119</v>
      </c>
      <c r="E2248" t="s">
        <v>30</v>
      </c>
      <c r="F2248" t="s">
        <v>94</v>
      </c>
      <c r="G2248" t="s">
        <v>69</v>
      </c>
      <c r="H2248" t="s">
        <v>173</v>
      </c>
      <c r="I2248" s="1" t="s">
        <v>3754</v>
      </c>
      <c r="Q2248" s="15">
        <v>1</v>
      </c>
      <c r="T2248" s="15">
        <v>1</v>
      </c>
    </row>
    <row r="2249" spans="1:25" ht="60" x14ac:dyDescent="0.25">
      <c r="A2249" t="s">
        <v>49</v>
      </c>
      <c r="B2249" t="s">
        <v>3746</v>
      </c>
      <c r="C2249" t="s">
        <v>92</v>
      </c>
      <c r="D2249" t="s">
        <v>1192</v>
      </c>
      <c r="E2249" t="s">
        <v>30</v>
      </c>
      <c r="F2249" t="s">
        <v>287</v>
      </c>
      <c r="G2249" t="s">
        <v>32</v>
      </c>
      <c r="H2249" t="s">
        <v>173</v>
      </c>
      <c r="I2249" s="1" t="s">
        <v>3755</v>
      </c>
      <c r="S2249" s="15">
        <v>1</v>
      </c>
      <c r="W2249" s="15">
        <v>1</v>
      </c>
    </row>
    <row r="2250" spans="1:25" ht="30" x14ac:dyDescent="0.25">
      <c r="A2250" t="s">
        <v>26</v>
      </c>
      <c r="B2250" t="s">
        <v>3746</v>
      </c>
      <c r="C2250" t="s">
        <v>69</v>
      </c>
      <c r="D2250" t="s">
        <v>297</v>
      </c>
      <c r="E2250" t="s">
        <v>30</v>
      </c>
      <c r="F2250" t="s">
        <v>61</v>
      </c>
      <c r="G2250" t="s">
        <v>32</v>
      </c>
      <c r="H2250" t="s">
        <v>87</v>
      </c>
      <c r="I2250" s="1" t="s">
        <v>3756</v>
      </c>
      <c r="Q2250" s="15">
        <v>1</v>
      </c>
    </row>
    <row r="2251" spans="1:25" ht="105" x14ac:dyDescent="0.25">
      <c r="A2251" t="s">
        <v>26</v>
      </c>
      <c r="B2251" t="s">
        <v>3746</v>
      </c>
      <c r="C2251" t="s">
        <v>249</v>
      </c>
      <c r="D2251" t="s">
        <v>776</v>
      </c>
      <c r="E2251" t="s">
        <v>30</v>
      </c>
      <c r="F2251" t="s">
        <v>98</v>
      </c>
      <c r="G2251" t="s">
        <v>32</v>
      </c>
      <c r="H2251" t="s">
        <v>33</v>
      </c>
      <c r="I2251" s="1" t="s">
        <v>3757</v>
      </c>
      <c r="S2251" s="15">
        <v>1</v>
      </c>
    </row>
    <row r="2252" spans="1:25" ht="60" x14ac:dyDescent="0.25">
      <c r="A2252" t="s">
        <v>26</v>
      </c>
      <c r="B2252" t="s">
        <v>3746</v>
      </c>
      <c r="C2252" t="s">
        <v>235</v>
      </c>
      <c r="D2252" t="s">
        <v>427</v>
      </c>
      <c r="E2252" t="s">
        <v>30</v>
      </c>
      <c r="F2252" t="s">
        <v>216</v>
      </c>
      <c r="G2252" t="s">
        <v>32</v>
      </c>
      <c r="H2252" t="s">
        <v>173</v>
      </c>
      <c r="I2252" s="1" t="s">
        <v>3758</v>
      </c>
      <c r="R2252" s="15">
        <v>1</v>
      </c>
    </row>
    <row r="2253" spans="1:25" ht="45" x14ac:dyDescent="0.25">
      <c r="A2253" t="s">
        <v>49</v>
      </c>
      <c r="B2253" t="s">
        <v>3746</v>
      </c>
      <c r="C2253" t="s">
        <v>235</v>
      </c>
      <c r="D2253" t="s">
        <v>1285</v>
      </c>
      <c r="E2253" t="s">
        <v>30</v>
      </c>
      <c r="F2253" t="s">
        <v>130</v>
      </c>
      <c r="G2253" t="s">
        <v>32</v>
      </c>
      <c r="H2253" t="s">
        <v>33</v>
      </c>
      <c r="I2253" s="1" t="s">
        <v>3759</v>
      </c>
      <c r="W2253" s="15">
        <v>1</v>
      </c>
    </row>
    <row r="2254" spans="1:25" ht="30" x14ac:dyDescent="0.25">
      <c r="A2254" t="s">
        <v>26</v>
      </c>
      <c r="B2254" t="s">
        <v>3746</v>
      </c>
      <c r="C2254" t="s">
        <v>44</v>
      </c>
      <c r="D2254" t="s">
        <v>215</v>
      </c>
      <c r="E2254" t="s">
        <v>30</v>
      </c>
      <c r="F2254" t="s">
        <v>94</v>
      </c>
      <c r="G2254" t="s">
        <v>69</v>
      </c>
      <c r="H2254" t="s">
        <v>173</v>
      </c>
      <c r="I2254" s="1" t="s">
        <v>3760</v>
      </c>
      <c r="Q2254" s="15">
        <v>1</v>
      </c>
    </row>
    <row r="2255" spans="1:25" ht="120" x14ac:dyDescent="0.25">
      <c r="A2255" t="s">
        <v>26</v>
      </c>
      <c r="B2255" t="s">
        <v>3746</v>
      </c>
      <c r="C2255" t="s">
        <v>249</v>
      </c>
      <c r="D2255" t="s">
        <v>776</v>
      </c>
      <c r="E2255" t="s">
        <v>30</v>
      </c>
      <c r="F2255" t="s">
        <v>417</v>
      </c>
      <c r="G2255" t="s">
        <v>32</v>
      </c>
      <c r="H2255" t="s">
        <v>173</v>
      </c>
      <c r="I2255" s="1" t="s">
        <v>3761</v>
      </c>
      <c r="W2255" s="15">
        <v>1</v>
      </c>
    </row>
    <row r="2256" spans="1:25" ht="105" x14ac:dyDescent="0.25">
      <c r="A2256" t="s">
        <v>26</v>
      </c>
      <c r="B2256" t="s">
        <v>3746</v>
      </c>
      <c r="C2256" t="s">
        <v>44</v>
      </c>
      <c r="D2256" t="s">
        <v>215</v>
      </c>
      <c r="E2256" t="s">
        <v>79</v>
      </c>
      <c r="F2256" t="s">
        <v>202</v>
      </c>
      <c r="G2256" t="s">
        <v>81</v>
      </c>
      <c r="H2256" t="s">
        <v>87</v>
      </c>
      <c r="I2256" s="1" t="s">
        <v>3762</v>
      </c>
      <c r="N2256" s="15">
        <v>1</v>
      </c>
      <c r="P2256" s="15">
        <v>1</v>
      </c>
    </row>
    <row r="2257" spans="1:25" ht="90" x14ac:dyDescent="0.25">
      <c r="A2257" t="s">
        <v>49</v>
      </c>
      <c r="B2257" t="s">
        <v>3746</v>
      </c>
      <c r="C2257" t="s">
        <v>28</v>
      </c>
      <c r="D2257" t="s">
        <v>388</v>
      </c>
      <c r="E2257" t="s">
        <v>30</v>
      </c>
      <c r="F2257" t="s">
        <v>417</v>
      </c>
      <c r="G2257" t="s">
        <v>32</v>
      </c>
      <c r="H2257" t="s">
        <v>87</v>
      </c>
      <c r="I2257" s="1" t="s">
        <v>3763</v>
      </c>
      <c r="P2257" s="15">
        <v>1</v>
      </c>
      <c r="Y2257">
        <v>1</v>
      </c>
    </row>
    <row r="2258" spans="1:25" ht="30" x14ac:dyDescent="0.25">
      <c r="A2258" t="s">
        <v>49</v>
      </c>
      <c r="B2258" t="s">
        <v>3746</v>
      </c>
      <c r="C2258" t="s">
        <v>69</v>
      </c>
      <c r="D2258" t="s">
        <v>3764</v>
      </c>
      <c r="E2258" t="s">
        <v>30</v>
      </c>
      <c r="F2258" t="s">
        <v>112</v>
      </c>
      <c r="G2258" t="s">
        <v>32</v>
      </c>
      <c r="H2258" t="s">
        <v>33</v>
      </c>
      <c r="I2258" s="1" t="s">
        <v>3765</v>
      </c>
      <c r="S2258" s="15">
        <v>1</v>
      </c>
      <c r="X2258" s="15">
        <v>1</v>
      </c>
    </row>
    <row r="2259" spans="1:25" ht="30" x14ac:dyDescent="0.25">
      <c r="A2259" t="s">
        <v>26</v>
      </c>
      <c r="B2259" t="s">
        <v>3746</v>
      </c>
      <c r="C2259" t="s">
        <v>472</v>
      </c>
      <c r="D2259" t="s">
        <v>839</v>
      </c>
      <c r="E2259" t="s">
        <v>30</v>
      </c>
      <c r="F2259" t="s">
        <v>602</v>
      </c>
      <c r="G2259" t="s">
        <v>32</v>
      </c>
      <c r="H2259" t="s">
        <v>33</v>
      </c>
      <c r="I2259" s="1" t="s">
        <v>3766</v>
      </c>
      <c r="S2259" s="15">
        <v>1</v>
      </c>
    </row>
    <row r="2260" spans="1:25" ht="45" x14ac:dyDescent="0.25">
      <c r="A2260" t="s">
        <v>26</v>
      </c>
      <c r="B2260" t="s">
        <v>3746</v>
      </c>
      <c r="C2260" t="s">
        <v>28</v>
      </c>
      <c r="D2260" t="s">
        <v>846</v>
      </c>
      <c r="E2260" t="s">
        <v>30</v>
      </c>
      <c r="F2260" t="s">
        <v>205</v>
      </c>
      <c r="G2260" t="s">
        <v>32</v>
      </c>
      <c r="H2260" t="s">
        <v>173</v>
      </c>
      <c r="I2260" s="1" t="s">
        <v>3767</v>
      </c>
      <c r="W2260" s="15">
        <v>1</v>
      </c>
    </row>
    <row r="2261" spans="1:25" ht="105" x14ac:dyDescent="0.25">
      <c r="A2261" t="s">
        <v>37</v>
      </c>
      <c r="B2261" t="s">
        <v>3746</v>
      </c>
      <c r="C2261" t="s">
        <v>235</v>
      </c>
      <c r="D2261" t="s">
        <v>327</v>
      </c>
      <c r="E2261" t="s">
        <v>30</v>
      </c>
      <c r="F2261" t="s">
        <v>205</v>
      </c>
      <c r="G2261" t="s">
        <v>81</v>
      </c>
      <c r="H2261" t="s">
        <v>33</v>
      </c>
      <c r="I2261" s="1" t="s">
        <v>3768</v>
      </c>
      <c r="W2261" s="15">
        <v>1</v>
      </c>
    </row>
    <row r="2262" spans="1:25" ht="60" x14ac:dyDescent="0.25">
      <c r="A2262" t="s">
        <v>26</v>
      </c>
      <c r="B2262" t="s">
        <v>3746</v>
      </c>
      <c r="C2262" t="s">
        <v>28</v>
      </c>
      <c r="D2262" t="s">
        <v>129</v>
      </c>
      <c r="E2262" t="s">
        <v>79</v>
      </c>
      <c r="F2262" t="s">
        <v>260</v>
      </c>
      <c r="G2262" t="s">
        <v>32</v>
      </c>
      <c r="H2262" t="s">
        <v>173</v>
      </c>
      <c r="I2262" s="1" t="s">
        <v>3769</v>
      </c>
      <c r="N2262" s="15">
        <v>1</v>
      </c>
    </row>
    <row r="2263" spans="1:25" ht="90" x14ac:dyDescent="0.25">
      <c r="A2263" t="s">
        <v>26</v>
      </c>
      <c r="B2263" t="s">
        <v>3746</v>
      </c>
      <c r="C2263" t="s">
        <v>50</v>
      </c>
      <c r="D2263" t="s">
        <v>226</v>
      </c>
      <c r="E2263" t="s">
        <v>30</v>
      </c>
      <c r="F2263" t="s">
        <v>126</v>
      </c>
      <c r="G2263" t="s">
        <v>69</v>
      </c>
      <c r="H2263" t="s">
        <v>87</v>
      </c>
      <c r="I2263" s="1" t="s">
        <v>3770</v>
      </c>
      <c r="Q2263" s="15">
        <v>1</v>
      </c>
    </row>
    <row r="2264" spans="1:25" ht="75" x14ac:dyDescent="0.25">
      <c r="A2264" t="s">
        <v>49</v>
      </c>
      <c r="B2264" t="s">
        <v>3746</v>
      </c>
      <c r="C2264" t="s">
        <v>235</v>
      </c>
      <c r="D2264" t="s">
        <v>1158</v>
      </c>
      <c r="E2264" t="s">
        <v>30</v>
      </c>
      <c r="F2264" t="s">
        <v>61</v>
      </c>
      <c r="G2264" t="s">
        <v>69</v>
      </c>
      <c r="H2264" t="s">
        <v>173</v>
      </c>
      <c r="I2264" s="1" t="s">
        <v>3771</v>
      </c>
      <c r="P2264" s="15">
        <v>1</v>
      </c>
      <c r="Q2264" s="15">
        <v>1</v>
      </c>
    </row>
    <row r="2265" spans="1:25" ht="60" x14ac:dyDescent="0.25">
      <c r="A2265" t="s">
        <v>37</v>
      </c>
      <c r="B2265" t="s">
        <v>3746</v>
      </c>
      <c r="C2265" t="s">
        <v>32</v>
      </c>
      <c r="D2265" t="s">
        <v>101</v>
      </c>
      <c r="E2265" t="s">
        <v>79</v>
      </c>
      <c r="F2265" t="s">
        <v>112</v>
      </c>
      <c r="G2265" t="s">
        <v>69</v>
      </c>
      <c r="H2265" t="s">
        <v>33</v>
      </c>
      <c r="I2265" s="1" t="s">
        <v>3772</v>
      </c>
      <c r="S2265" s="15">
        <v>1</v>
      </c>
    </row>
    <row r="2266" spans="1:25" ht="45" x14ac:dyDescent="0.25">
      <c r="A2266" t="s">
        <v>49</v>
      </c>
      <c r="B2266" t="s">
        <v>3746</v>
      </c>
      <c r="C2266" t="s">
        <v>55</v>
      </c>
      <c r="D2266" t="s">
        <v>579</v>
      </c>
      <c r="E2266" t="s">
        <v>30</v>
      </c>
      <c r="F2266" t="s">
        <v>108</v>
      </c>
      <c r="G2266" t="s">
        <v>32</v>
      </c>
      <c r="H2266" t="s">
        <v>33</v>
      </c>
      <c r="I2266" s="1" t="s">
        <v>3773</v>
      </c>
      <c r="S2266" s="15">
        <v>1</v>
      </c>
      <c r="W2266" s="15">
        <v>1</v>
      </c>
    </row>
    <row r="2267" spans="1:25" ht="60" x14ac:dyDescent="0.25">
      <c r="A2267" t="s">
        <v>26</v>
      </c>
      <c r="B2267" t="s">
        <v>3746</v>
      </c>
      <c r="C2267" t="s">
        <v>180</v>
      </c>
      <c r="D2267" t="s">
        <v>893</v>
      </c>
      <c r="E2267" t="s">
        <v>30</v>
      </c>
      <c r="F2267" t="s">
        <v>189</v>
      </c>
      <c r="G2267" t="s">
        <v>32</v>
      </c>
      <c r="H2267" t="s">
        <v>33</v>
      </c>
      <c r="I2267" s="1" t="s">
        <v>3774</v>
      </c>
      <c r="S2267" s="15">
        <v>1</v>
      </c>
      <c r="W2267" s="15">
        <v>1</v>
      </c>
      <c r="X2267" s="15">
        <v>1</v>
      </c>
    </row>
    <row r="2268" spans="1:25" ht="60" x14ac:dyDescent="0.25">
      <c r="A2268" t="s">
        <v>37</v>
      </c>
      <c r="B2268" t="s">
        <v>3746</v>
      </c>
      <c r="C2268" t="s">
        <v>69</v>
      </c>
      <c r="D2268" t="s">
        <v>557</v>
      </c>
      <c r="E2268" t="s">
        <v>30</v>
      </c>
      <c r="F2268" t="s">
        <v>365</v>
      </c>
      <c r="G2268" t="s">
        <v>32</v>
      </c>
      <c r="H2268" t="s">
        <v>33</v>
      </c>
      <c r="I2268" s="1" t="s">
        <v>3775</v>
      </c>
      <c r="Q2268" s="15">
        <v>1</v>
      </c>
    </row>
    <row r="2269" spans="1:25" ht="45" x14ac:dyDescent="0.25">
      <c r="A2269" t="s">
        <v>64</v>
      </c>
      <c r="B2269" t="s">
        <v>3746</v>
      </c>
      <c r="C2269" t="s">
        <v>32</v>
      </c>
      <c r="D2269" t="s">
        <v>1915</v>
      </c>
      <c r="E2269" t="s">
        <v>79</v>
      </c>
      <c r="F2269" t="s">
        <v>102</v>
      </c>
      <c r="G2269" t="s">
        <v>32</v>
      </c>
      <c r="H2269" t="s">
        <v>33</v>
      </c>
      <c r="I2269" s="1" t="s">
        <v>3776</v>
      </c>
      <c r="S2269" s="15">
        <v>1</v>
      </c>
    </row>
    <row r="2270" spans="1:25" ht="60" x14ac:dyDescent="0.25">
      <c r="A2270" t="s">
        <v>49</v>
      </c>
      <c r="B2270" t="s">
        <v>3746</v>
      </c>
      <c r="C2270" t="s">
        <v>96</v>
      </c>
      <c r="D2270" t="s">
        <v>875</v>
      </c>
      <c r="E2270" t="s">
        <v>30</v>
      </c>
      <c r="F2270" t="s">
        <v>446</v>
      </c>
      <c r="G2270" t="s">
        <v>32</v>
      </c>
      <c r="H2270" t="s">
        <v>87</v>
      </c>
      <c r="I2270" s="1" t="s">
        <v>3777</v>
      </c>
      <c r="Q2270" s="15">
        <v>1</v>
      </c>
    </row>
    <row r="2271" spans="1:25" ht="60" x14ac:dyDescent="0.25">
      <c r="A2271" t="s">
        <v>37</v>
      </c>
      <c r="B2271" t="s">
        <v>3746</v>
      </c>
      <c r="C2271" t="s">
        <v>263</v>
      </c>
      <c r="D2271" t="s">
        <v>3778</v>
      </c>
      <c r="E2271" t="s">
        <v>30</v>
      </c>
      <c r="F2271" t="s">
        <v>543</v>
      </c>
      <c r="G2271" t="s">
        <v>32</v>
      </c>
      <c r="H2271" t="s">
        <v>33</v>
      </c>
      <c r="I2271" s="1" t="s">
        <v>3779</v>
      </c>
      <c r="S2271" s="15">
        <v>1</v>
      </c>
    </row>
    <row r="2272" spans="1:25" ht="30" x14ac:dyDescent="0.25">
      <c r="A2272" t="s">
        <v>37</v>
      </c>
      <c r="B2272" t="s">
        <v>3746</v>
      </c>
      <c r="C2272" t="s">
        <v>44</v>
      </c>
      <c r="D2272" t="s">
        <v>146</v>
      </c>
      <c r="E2272" t="s">
        <v>30</v>
      </c>
      <c r="F2272" t="s">
        <v>186</v>
      </c>
      <c r="G2272" t="s">
        <v>32</v>
      </c>
      <c r="H2272" t="s">
        <v>87</v>
      </c>
      <c r="I2272" s="1" t="s">
        <v>3780</v>
      </c>
      <c r="Q2272" s="15">
        <v>1</v>
      </c>
      <c r="V2272" s="15">
        <v>1</v>
      </c>
    </row>
    <row r="2273" spans="1:25" ht="60" x14ac:dyDescent="0.25">
      <c r="A2273" t="s">
        <v>26</v>
      </c>
      <c r="B2273" t="s">
        <v>3781</v>
      </c>
      <c r="C2273" t="s">
        <v>73</v>
      </c>
      <c r="D2273" t="s">
        <v>253</v>
      </c>
      <c r="E2273" t="s">
        <v>30</v>
      </c>
      <c r="F2273" t="s">
        <v>658</v>
      </c>
      <c r="G2273" t="s">
        <v>32</v>
      </c>
      <c r="H2273" t="s">
        <v>87</v>
      </c>
      <c r="I2273" s="1" t="s">
        <v>3782</v>
      </c>
      <c r="T2273" s="15">
        <v>1</v>
      </c>
      <c r="W2273" s="15">
        <v>1</v>
      </c>
    </row>
    <row r="2274" spans="1:25" ht="75" x14ac:dyDescent="0.25">
      <c r="A2274" t="s">
        <v>26</v>
      </c>
      <c r="B2274" t="s">
        <v>3781</v>
      </c>
      <c r="C2274" t="s">
        <v>92</v>
      </c>
      <c r="D2274" t="s">
        <v>316</v>
      </c>
      <c r="E2274" t="s">
        <v>30</v>
      </c>
      <c r="F2274" t="s">
        <v>61</v>
      </c>
      <c r="G2274" t="s">
        <v>69</v>
      </c>
      <c r="H2274" t="s">
        <v>87</v>
      </c>
      <c r="I2274" s="1" t="s">
        <v>3783</v>
      </c>
      <c r="N2274" s="15">
        <v>1</v>
      </c>
    </row>
    <row r="2275" spans="1:25" ht="90" x14ac:dyDescent="0.25">
      <c r="A2275" t="s">
        <v>26</v>
      </c>
      <c r="B2275" t="s">
        <v>3781</v>
      </c>
      <c r="C2275" t="s">
        <v>73</v>
      </c>
      <c r="D2275" t="s">
        <v>253</v>
      </c>
      <c r="E2275" t="s">
        <v>30</v>
      </c>
      <c r="F2275" t="s">
        <v>246</v>
      </c>
      <c r="G2275" t="s">
        <v>69</v>
      </c>
      <c r="H2275" t="s">
        <v>87</v>
      </c>
      <c r="I2275" s="1" t="s">
        <v>3784</v>
      </c>
      <c r="Q2275" s="15">
        <v>1</v>
      </c>
    </row>
    <row r="2276" spans="1:25" ht="45" x14ac:dyDescent="0.25">
      <c r="A2276" t="s">
        <v>26</v>
      </c>
      <c r="B2276" t="s">
        <v>3781</v>
      </c>
      <c r="C2276" t="s">
        <v>240</v>
      </c>
      <c r="D2276" t="s">
        <v>1008</v>
      </c>
      <c r="E2276" t="s">
        <v>30</v>
      </c>
      <c r="F2276" t="s">
        <v>280</v>
      </c>
      <c r="G2276" t="s">
        <v>32</v>
      </c>
      <c r="H2276" t="s">
        <v>33</v>
      </c>
      <c r="I2276" s="1" t="s">
        <v>3785</v>
      </c>
      <c r="S2276" s="15">
        <v>1</v>
      </c>
    </row>
    <row r="2277" spans="1:25" ht="120" x14ac:dyDescent="0.25">
      <c r="A2277" t="s">
        <v>26</v>
      </c>
      <c r="B2277" t="s">
        <v>3781</v>
      </c>
      <c r="C2277" t="s">
        <v>92</v>
      </c>
      <c r="D2277" t="s">
        <v>887</v>
      </c>
      <c r="E2277" t="s">
        <v>30</v>
      </c>
      <c r="F2277" t="s">
        <v>94</v>
      </c>
      <c r="G2277" t="s">
        <v>69</v>
      </c>
      <c r="H2277" t="s">
        <v>87</v>
      </c>
      <c r="I2277" s="1" t="s">
        <v>3786</v>
      </c>
      <c r="T2277" s="15">
        <v>1</v>
      </c>
    </row>
    <row r="2278" spans="1:25" ht="60" x14ac:dyDescent="0.25">
      <c r="A2278" t="s">
        <v>26</v>
      </c>
      <c r="B2278" t="s">
        <v>3781</v>
      </c>
      <c r="C2278" t="s">
        <v>106</v>
      </c>
      <c r="D2278" t="s">
        <v>3512</v>
      </c>
      <c r="E2278" t="s">
        <v>79</v>
      </c>
      <c r="F2278" t="s">
        <v>196</v>
      </c>
      <c r="G2278" t="s">
        <v>32</v>
      </c>
      <c r="H2278" t="s">
        <v>173</v>
      </c>
      <c r="I2278" s="1" t="s">
        <v>3787</v>
      </c>
      <c r="W2278" s="15">
        <v>1</v>
      </c>
    </row>
    <row r="2279" spans="1:25" ht="45" x14ac:dyDescent="0.25">
      <c r="A2279" t="s">
        <v>26</v>
      </c>
      <c r="B2279" t="s">
        <v>3781</v>
      </c>
      <c r="C2279" t="s">
        <v>38</v>
      </c>
      <c r="D2279" t="s">
        <v>533</v>
      </c>
      <c r="E2279" t="s">
        <v>30</v>
      </c>
      <c r="F2279" t="s">
        <v>287</v>
      </c>
      <c r="G2279" t="s">
        <v>32</v>
      </c>
      <c r="H2279" t="s">
        <v>33</v>
      </c>
      <c r="I2279" s="1" t="s">
        <v>3788</v>
      </c>
      <c r="S2279" s="15">
        <v>1</v>
      </c>
    </row>
    <row r="2280" spans="1:25" ht="120" x14ac:dyDescent="0.25">
      <c r="A2280" t="s">
        <v>26</v>
      </c>
      <c r="B2280" t="s">
        <v>3781</v>
      </c>
      <c r="C2280" t="s">
        <v>28</v>
      </c>
      <c r="D2280" t="s">
        <v>946</v>
      </c>
      <c r="E2280" t="s">
        <v>30</v>
      </c>
      <c r="F2280" t="s">
        <v>154</v>
      </c>
      <c r="G2280" t="s">
        <v>69</v>
      </c>
      <c r="H2280" t="s">
        <v>173</v>
      </c>
      <c r="I2280" s="1" t="s">
        <v>3789</v>
      </c>
      <c r="W2280" s="15">
        <v>1</v>
      </c>
      <c r="Y2280">
        <v>1</v>
      </c>
    </row>
    <row r="2281" spans="1:25" x14ac:dyDescent="0.25">
      <c r="A2281" t="s">
        <v>26</v>
      </c>
      <c r="B2281" t="s">
        <v>3781</v>
      </c>
      <c r="C2281" t="s">
        <v>240</v>
      </c>
      <c r="D2281" t="s">
        <v>504</v>
      </c>
      <c r="E2281" t="s">
        <v>30</v>
      </c>
      <c r="F2281" t="s">
        <v>161</v>
      </c>
      <c r="G2281" t="s">
        <v>32</v>
      </c>
      <c r="H2281" t="s">
        <v>33</v>
      </c>
      <c r="I2281" s="1" t="s">
        <v>3790</v>
      </c>
      <c r="S2281" s="15">
        <v>1</v>
      </c>
    </row>
    <row r="2282" spans="1:25" ht="45" x14ac:dyDescent="0.25">
      <c r="A2282" t="s">
        <v>26</v>
      </c>
      <c r="B2282" t="s">
        <v>3781</v>
      </c>
      <c r="C2282" t="s">
        <v>32</v>
      </c>
      <c r="D2282" t="s">
        <v>3791</v>
      </c>
      <c r="E2282" t="s">
        <v>30</v>
      </c>
      <c r="F2282" t="s">
        <v>94</v>
      </c>
      <c r="G2282" t="s">
        <v>69</v>
      </c>
      <c r="H2282" t="s">
        <v>33</v>
      </c>
      <c r="I2282" s="1" t="s">
        <v>3792</v>
      </c>
      <c r="S2282" s="15">
        <v>1</v>
      </c>
    </row>
    <row r="2283" spans="1:25" ht="105" x14ac:dyDescent="0.25">
      <c r="A2283" t="s">
        <v>26</v>
      </c>
      <c r="B2283" t="s">
        <v>3781</v>
      </c>
      <c r="C2283" t="s">
        <v>44</v>
      </c>
      <c r="D2283" t="s">
        <v>502</v>
      </c>
      <c r="E2283" t="s">
        <v>30</v>
      </c>
      <c r="F2283" t="s">
        <v>182</v>
      </c>
      <c r="G2283" t="s">
        <v>32</v>
      </c>
      <c r="H2283" t="s">
        <v>173</v>
      </c>
      <c r="I2283" s="1" t="s">
        <v>3793</v>
      </c>
      <c r="N2283" s="15">
        <v>1</v>
      </c>
      <c r="S2283" s="15">
        <v>1</v>
      </c>
    </row>
    <row r="2284" spans="1:25" ht="30" x14ac:dyDescent="0.25">
      <c r="A2284" t="s">
        <v>49</v>
      </c>
      <c r="B2284" t="s">
        <v>3781</v>
      </c>
      <c r="C2284" t="s">
        <v>50</v>
      </c>
      <c r="D2284" t="s">
        <v>122</v>
      </c>
      <c r="E2284" t="s">
        <v>30</v>
      </c>
      <c r="F2284" t="s">
        <v>61</v>
      </c>
      <c r="G2284" t="s">
        <v>32</v>
      </c>
      <c r="H2284" t="s">
        <v>87</v>
      </c>
      <c r="I2284" s="1" t="s">
        <v>3794</v>
      </c>
      <c r="Q2284" s="15">
        <v>1</v>
      </c>
    </row>
    <row r="2285" spans="1:25" ht="30" x14ac:dyDescent="0.25">
      <c r="A2285" t="s">
        <v>26</v>
      </c>
      <c r="B2285" t="s">
        <v>3781</v>
      </c>
      <c r="C2285" t="s">
        <v>96</v>
      </c>
      <c r="D2285" t="s">
        <v>676</v>
      </c>
      <c r="E2285" t="s">
        <v>30</v>
      </c>
      <c r="F2285" t="s">
        <v>140</v>
      </c>
      <c r="G2285" t="s">
        <v>69</v>
      </c>
      <c r="H2285" t="s">
        <v>173</v>
      </c>
      <c r="I2285" s="1" t="s">
        <v>3795</v>
      </c>
      <c r="P2285" s="15">
        <v>1</v>
      </c>
    </row>
    <row r="2286" spans="1:25" ht="90" x14ac:dyDescent="0.25">
      <c r="A2286" t="s">
        <v>26</v>
      </c>
      <c r="B2286" t="s">
        <v>3781</v>
      </c>
      <c r="C2286" t="s">
        <v>55</v>
      </c>
      <c r="D2286" t="s">
        <v>78</v>
      </c>
      <c r="E2286" t="s">
        <v>30</v>
      </c>
      <c r="F2286" t="s">
        <v>94</v>
      </c>
      <c r="G2286" t="s">
        <v>69</v>
      </c>
      <c r="H2286" t="s">
        <v>87</v>
      </c>
      <c r="I2286" s="1" t="s">
        <v>3796</v>
      </c>
      <c r="T2286" s="15">
        <v>1</v>
      </c>
    </row>
    <row r="2287" spans="1:25" ht="105" x14ac:dyDescent="0.25">
      <c r="A2287" t="s">
        <v>26</v>
      </c>
      <c r="B2287" t="s">
        <v>3781</v>
      </c>
      <c r="C2287" t="s">
        <v>85</v>
      </c>
      <c r="D2287" t="s">
        <v>667</v>
      </c>
      <c r="E2287" t="s">
        <v>30</v>
      </c>
      <c r="F2287" t="s">
        <v>182</v>
      </c>
      <c r="G2287" t="s">
        <v>32</v>
      </c>
      <c r="H2287" t="s">
        <v>173</v>
      </c>
      <c r="I2287" s="1" t="s">
        <v>3797</v>
      </c>
      <c r="P2287" s="15">
        <v>1</v>
      </c>
      <c r="R2287" s="15">
        <v>1</v>
      </c>
      <c r="Y2287">
        <v>1</v>
      </c>
    </row>
    <row r="2288" spans="1:25" ht="105" x14ac:dyDescent="0.25">
      <c r="A2288" t="s">
        <v>49</v>
      </c>
      <c r="B2288" t="s">
        <v>3781</v>
      </c>
      <c r="C2288" t="s">
        <v>69</v>
      </c>
      <c r="D2288" t="s">
        <v>1258</v>
      </c>
      <c r="E2288" t="s">
        <v>30</v>
      </c>
      <c r="F2288" t="s">
        <v>196</v>
      </c>
      <c r="G2288" t="s">
        <v>69</v>
      </c>
      <c r="H2288" t="s">
        <v>87</v>
      </c>
      <c r="I2288" s="1" t="s">
        <v>3798</v>
      </c>
      <c r="P2288" s="15">
        <v>1</v>
      </c>
      <c r="Y2288">
        <v>1</v>
      </c>
    </row>
    <row r="2289" spans="1:25" ht="60" x14ac:dyDescent="0.25">
      <c r="A2289" t="s">
        <v>26</v>
      </c>
      <c r="B2289" t="s">
        <v>3781</v>
      </c>
      <c r="C2289" t="s">
        <v>38</v>
      </c>
      <c r="D2289" t="s">
        <v>466</v>
      </c>
      <c r="E2289" t="s">
        <v>30</v>
      </c>
      <c r="F2289" t="s">
        <v>602</v>
      </c>
      <c r="G2289" t="s">
        <v>32</v>
      </c>
      <c r="H2289" t="s">
        <v>33</v>
      </c>
      <c r="I2289" s="1" t="s">
        <v>3799</v>
      </c>
      <c r="S2289" s="15">
        <v>1</v>
      </c>
    </row>
    <row r="2290" spans="1:25" ht="60" x14ac:dyDescent="0.25">
      <c r="A2290" t="s">
        <v>49</v>
      </c>
      <c r="B2290" t="s">
        <v>3781</v>
      </c>
      <c r="C2290" t="s">
        <v>50</v>
      </c>
      <c r="D2290" t="s">
        <v>1013</v>
      </c>
      <c r="E2290" t="s">
        <v>30</v>
      </c>
      <c r="F2290" t="s">
        <v>126</v>
      </c>
      <c r="G2290" t="s">
        <v>32</v>
      </c>
      <c r="H2290" t="s">
        <v>33</v>
      </c>
      <c r="I2290" s="1" t="s">
        <v>3800</v>
      </c>
      <c r="R2290" s="15">
        <v>1</v>
      </c>
      <c r="S2290" s="15">
        <v>1</v>
      </c>
    </row>
    <row r="2291" spans="1:25" ht="105" x14ac:dyDescent="0.25">
      <c r="A2291" t="s">
        <v>49</v>
      </c>
      <c r="B2291" t="s">
        <v>3781</v>
      </c>
      <c r="C2291" t="s">
        <v>50</v>
      </c>
      <c r="D2291" t="s">
        <v>843</v>
      </c>
      <c r="E2291" t="s">
        <v>30</v>
      </c>
      <c r="F2291" t="s">
        <v>140</v>
      </c>
      <c r="G2291" t="s">
        <v>32</v>
      </c>
      <c r="H2291" t="s">
        <v>33</v>
      </c>
      <c r="I2291" s="1" t="s">
        <v>3801</v>
      </c>
      <c r="S2291" s="15">
        <v>1</v>
      </c>
    </row>
    <row r="2292" spans="1:25" ht="90" x14ac:dyDescent="0.25">
      <c r="A2292" t="s">
        <v>49</v>
      </c>
      <c r="B2292" t="s">
        <v>3781</v>
      </c>
      <c r="C2292" t="s">
        <v>55</v>
      </c>
      <c r="D2292" t="s">
        <v>989</v>
      </c>
      <c r="E2292" t="s">
        <v>30</v>
      </c>
      <c r="F2292" t="s">
        <v>46</v>
      </c>
      <c r="G2292" t="s">
        <v>32</v>
      </c>
      <c r="H2292" t="s">
        <v>173</v>
      </c>
      <c r="I2292" s="1" t="s">
        <v>3802</v>
      </c>
      <c r="T2292" s="15">
        <v>1</v>
      </c>
    </row>
    <row r="2293" spans="1:25" ht="45" x14ac:dyDescent="0.25">
      <c r="A2293" t="s">
        <v>26</v>
      </c>
      <c r="B2293" t="s">
        <v>3781</v>
      </c>
      <c r="C2293" t="s">
        <v>50</v>
      </c>
      <c r="D2293" t="s">
        <v>817</v>
      </c>
      <c r="E2293" t="s">
        <v>30</v>
      </c>
      <c r="F2293" t="s">
        <v>216</v>
      </c>
      <c r="G2293" t="s">
        <v>69</v>
      </c>
      <c r="H2293" t="s">
        <v>33</v>
      </c>
      <c r="I2293" s="1" t="s">
        <v>3803</v>
      </c>
      <c r="P2293" s="15">
        <v>1</v>
      </c>
      <c r="R2293" s="15">
        <v>1</v>
      </c>
      <c r="Y2293">
        <v>1</v>
      </c>
    </row>
    <row r="2294" spans="1:25" ht="105" x14ac:dyDescent="0.25">
      <c r="A2294" t="s">
        <v>91</v>
      </c>
      <c r="B2294" t="s">
        <v>3781</v>
      </c>
      <c r="C2294" t="s">
        <v>50</v>
      </c>
      <c r="D2294" t="s">
        <v>1750</v>
      </c>
      <c r="E2294" t="s">
        <v>30</v>
      </c>
      <c r="F2294" t="s">
        <v>1926</v>
      </c>
      <c r="G2294" t="s">
        <v>32</v>
      </c>
      <c r="H2294" t="s">
        <v>87</v>
      </c>
      <c r="I2294" s="1" t="s">
        <v>3804</v>
      </c>
      <c r="W2294" s="15">
        <v>1</v>
      </c>
    </row>
    <row r="2295" spans="1:25" ht="60" x14ac:dyDescent="0.25">
      <c r="A2295" t="s">
        <v>91</v>
      </c>
      <c r="B2295" t="s">
        <v>3781</v>
      </c>
      <c r="C2295" t="s">
        <v>240</v>
      </c>
      <c r="D2295" t="s">
        <v>882</v>
      </c>
      <c r="E2295" t="s">
        <v>30</v>
      </c>
      <c r="F2295" t="s">
        <v>94</v>
      </c>
      <c r="G2295" t="s">
        <v>69</v>
      </c>
      <c r="H2295" t="s">
        <v>173</v>
      </c>
      <c r="I2295" s="1" t="s">
        <v>3805</v>
      </c>
      <c r="P2295" s="15">
        <v>1</v>
      </c>
    </row>
    <row r="2296" spans="1:25" ht="90" x14ac:dyDescent="0.25">
      <c r="A2296" t="s">
        <v>37</v>
      </c>
      <c r="B2296" t="s">
        <v>3781</v>
      </c>
      <c r="C2296" t="s">
        <v>263</v>
      </c>
      <c r="D2296" t="s">
        <v>264</v>
      </c>
      <c r="E2296" t="s">
        <v>30</v>
      </c>
      <c r="F2296" t="s">
        <v>1926</v>
      </c>
      <c r="G2296" t="s">
        <v>69</v>
      </c>
      <c r="H2296" t="s">
        <v>87</v>
      </c>
      <c r="I2296" s="1" t="s">
        <v>3806</v>
      </c>
      <c r="Q2296" s="15">
        <v>1</v>
      </c>
      <c r="V2296" s="15">
        <v>1</v>
      </c>
    </row>
    <row r="2297" spans="1:25" ht="105" x14ac:dyDescent="0.25">
      <c r="A2297" t="s">
        <v>26</v>
      </c>
      <c r="B2297" t="s">
        <v>3781</v>
      </c>
      <c r="C2297" t="s">
        <v>44</v>
      </c>
      <c r="D2297" t="s">
        <v>1711</v>
      </c>
      <c r="E2297" t="s">
        <v>30</v>
      </c>
      <c r="F2297" t="s">
        <v>365</v>
      </c>
      <c r="G2297" t="s">
        <v>69</v>
      </c>
      <c r="H2297" t="s">
        <v>87</v>
      </c>
      <c r="I2297" s="1" t="s">
        <v>3807</v>
      </c>
      <c r="Q2297" s="15">
        <v>1</v>
      </c>
      <c r="V2297" s="15">
        <v>1</v>
      </c>
    </row>
    <row r="2298" spans="1:25" ht="60" x14ac:dyDescent="0.25">
      <c r="A2298" t="s">
        <v>59</v>
      </c>
      <c r="B2298" t="s">
        <v>3781</v>
      </c>
      <c r="C2298" t="s">
        <v>28</v>
      </c>
      <c r="D2298" t="s">
        <v>129</v>
      </c>
      <c r="E2298" t="s">
        <v>30</v>
      </c>
      <c r="F2298" t="s">
        <v>290</v>
      </c>
      <c r="G2298" t="s">
        <v>32</v>
      </c>
      <c r="H2298" t="s">
        <v>33</v>
      </c>
      <c r="I2298" s="1" t="s">
        <v>3808</v>
      </c>
      <c r="S2298" s="15">
        <v>1</v>
      </c>
    </row>
    <row r="2299" spans="1:25" ht="105" x14ac:dyDescent="0.25">
      <c r="A2299" t="s">
        <v>91</v>
      </c>
      <c r="B2299" t="s">
        <v>3781</v>
      </c>
      <c r="C2299" t="s">
        <v>106</v>
      </c>
      <c r="D2299" t="s">
        <v>539</v>
      </c>
      <c r="E2299" t="s">
        <v>30</v>
      </c>
      <c r="F2299" t="s">
        <v>602</v>
      </c>
      <c r="G2299" t="s">
        <v>32</v>
      </c>
      <c r="H2299" t="s">
        <v>33</v>
      </c>
      <c r="I2299" s="1" t="s">
        <v>3809</v>
      </c>
      <c r="S2299" s="15">
        <v>1</v>
      </c>
    </row>
    <row r="2300" spans="1:25" ht="30" x14ac:dyDescent="0.25">
      <c r="A2300" t="s">
        <v>37</v>
      </c>
      <c r="B2300" t="s">
        <v>3781</v>
      </c>
      <c r="C2300" t="s">
        <v>96</v>
      </c>
      <c r="D2300" t="s">
        <v>1812</v>
      </c>
      <c r="E2300" t="s">
        <v>30</v>
      </c>
      <c r="F2300" t="s">
        <v>205</v>
      </c>
      <c r="G2300" t="s">
        <v>32</v>
      </c>
      <c r="H2300" t="s">
        <v>33</v>
      </c>
      <c r="I2300" s="1" t="s">
        <v>3810</v>
      </c>
      <c r="S2300" s="15">
        <v>1</v>
      </c>
    </row>
    <row r="2301" spans="1:25" ht="45" x14ac:dyDescent="0.25">
      <c r="A2301" t="s">
        <v>49</v>
      </c>
      <c r="B2301" t="s">
        <v>3781</v>
      </c>
      <c r="C2301" t="s">
        <v>85</v>
      </c>
      <c r="D2301" t="s">
        <v>1230</v>
      </c>
      <c r="E2301" t="s">
        <v>30</v>
      </c>
      <c r="F2301" t="s">
        <v>166</v>
      </c>
      <c r="G2301" t="s">
        <v>32</v>
      </c>
      <c r="H2301" t="s">
        <v>33</v>
      </c>
      <c r="I2301" s="1" t="s">
        <v>3811</v>
      </c>
      <c r="R2301" s="15">
        <v>1</v>
      </c>
    </row>
    <row r="2302" spans="1:25" ht="105" x14ac:dyDescent="0.25">
      <c r="A2302" t="s">
        <v>37</v>
      </c>
      <c r="B2302" t="s">
        <v>3781</v>
      </c>
      <c r="C2302" t="s">
        <v>28</v>
      </c>
      <c r="D2302" t="s">
        <v>29</v>
      </c>
      <c r="E2302" t="s">
        <v>30</v>
      </c>
      <c r="F2302" t="s">
        <v>389</v>
      </c>
      <c r="G2302" t="s">
        <v>32</v>
      </c>
      <c r="H2302" t="s">
        <v>33</v>
      </c>
      <c r="I2302" s="1" t="s">
        <v>3812</v>
      </c>
      <c r="S2302" s="15">
        <v>1</v>
      </c>
    </row>
    <row r="2303" spans="1:25" ht="120" x14ac:dyDescent="0.25">
      <c r="A2303" t="s">
        <v>37</v>
      </c>
      <c r="B2303" t="s">
        <v>3781</v>
      </c>
      <c r="C2303" t="s">
        <v>263</v>
      </c>
      <c r="D2303" t="s">
        <v>1557</v>
      </c>
      <c r="E2303" t="s">
        <v>30</v>
      </c>
      <c r="F2303" t="s">
        <v>182</v>
      </c>
      <c r="G2303" t="s">
        <v>32</v>
      </c>
      <c r="H2303" t="s">
        <v>33</v>
      </c>
      <c r="I2303" s="1" t="s">
        <v>3813</v>
      </c>
      <c r="S2303" s="15">
        <v>1</v>
      </c>
    </row>
    <row r="2304" spans="1:25" ht="75" x14ac:dyDescent="0.25">
      <c r="A2304" t="s">
        <v>37</v>
      </c>
      <c r="B2304" t="s">
        <v>3781</v>
      </c>
      <c r="C2304" t="s">
        <v>38</v>
      </c>
      <c r="D2304" t="s">
        <v>466</v>
      </c>
      <c r="E2304" t="s">
        <v>30</v>
      </c>
      <c r="F2304" t="s">
        <v>140</v>
      </c>
      <c r="G2304" t="s">
        <v>32</v>
      </c>
      <c r="H2304" t="s">
        <v>33</v>
      </c>
      <c r="I2304" s="1" t="s">
        <v>3814</v>
      </c>
      <c r="S2304" s="15">
        <v>1</v>
      </c>
    </row>
    <row r="2305" spans="1:25" ht="45" x14ac:dyDescent="0.25">
      <c r="A2305" t="s">
        <v>91</v>
      </c>
      <c r="B2305" t="s">
        <v>3781</v>
      </c>
      <c r="C2305" t="s">
        <v>96</v>
      </c>
      <c r="D2305" t="s">
        <v>3815</v>
      </c>
      <c r="E2305" t="s">
        <v>30</v>
      </c>
      <c r="F2305" t="s">
        <v>205</v>
      </c>
      <c r="G2305" t="s">
        <v>32</v>
      </c>
      <c r="H2305" t="s">
        <v>173</v>
      </c>
      <c r="I2305" s="1" t="s">
        <v>3816</v>
      </c>
      <c r="R2305" s="15">
        <v>1</v>
      </c>
    </row>
    <row r="2306" spans="1:25" ht="90" x14ac:dyDescent="0.25">
      <c r="A2306" t="s">
        <v>64</v>
      </c>
      <c r="B2306" t="s">
        <v>3781</v>
      </c>
      <c r="C2306" t="s">
        <v>96</v>
      </c>
      <c r="D2306" t="s">
        <v>195</v>
      </c>
      <c r="E2306" t="s">
        <v>30</v>
      </c>
      <c r="F2306" t="s">
        <v>186</v>
      </c>
      <c r="G2306" t="s">
        <v>69</v>
      </c>
      <c r="H2306" t="s">
        <v>173</v>
      </c>
      <c r="I2306" s="1" t="s">
        <v>3817</v>
      </c>
      <c r="N2306" s="15">
        <v>1</v>
      </c>
      <c r="Q2306" s="15">
        <v>1</v>
      </c>
      <c r="V2306" s="15">
        <v>1</v>
      </c>
      <c r="W2306" s="15">
        <v>1</v>
      </c>
    </row>
    <row r="2307" spans="1:25" ht="60" x14ac:dyDescent="0.25">
      <c r="A2307" t="s">
        <v>37</v>
      </c>
      <c r="B2307" t="s">
        <v>3781</v>
      </c>
      <c r="C2307" t="s">
        <v>106</v>
      </c>
      <c r="D2307" t="s">
        <v>922</v>
      </c>
      <c r="E2307" t="s">
        <v>30</v>
      </c>
      <c r="F2307" t="s">
        <v>61</v>
      </c>
      <c r="G2307" t="s">
        <v>69</v>
      </c>
      <c r="H2307" t="s">
        <v>33</v>
      </c>
      <c r="I2307" s="1" t="s">
        <v>3818</v>
      </c>
      <c r="Q2307" s="15">
        <v>1</v>
      </c>
      <c r="V2307" s="15">
        <v>1</v>
      </c>
    </row>
    <row r="2308" spans="1:25" ht="105" x14ac:dyDescent="0.25">
      <c r="A2308" t="s">
        <v>91</v>
      </c>
      <c r="B2308" t="s">
        <v>3781</v>
      </c>
      <c r="C2308" t="s">
        <v>50</v>
      </c>
      <c r="D2308" t="s">
        <v>226</v>
      </c>
      <c r="E2308" t="s">
        <v>30</v>
      </c>
      <c r="F2308" t="s">
        <v>61</v>
      </c>
      <c r="G2308" t="s">
        <v>32</v>
      </c>
      <c r="H2308" t="s">
        <v>33</v>
      </c>
      <c r="I2308" s="1" t="s">
        <v>3819</v>
      </c>
      <c r="W2308" s="15">
        <v>1</v>
      </c>
      <c r="X2308" s="15">
        <v>1</v>
      </c>
    </row>
    <row r="2309" spans="1:25" ht="105" x14ac:dyDescent="0.25">
      <c r="A2309" t="s">
        <v>59</v>
      </c>
      <c r="B2309" t="s">
        <v>3781</v>
      </c>
      <c r="C2309" t="s">
        <v>235</v>
      </c>
      <c r="D2309" t="s">
        <v>427</v>
      </c>
      <c r="E2309" t="s">
        <v>30</v>
      </c>
      <c r="F2309" t="s">
        <v>182</v>
      </c>
      <c r="G2309" t="s">
        <v>69</v>
      </c>
      <c r="H2309" t="s">
        <v>33</v>
      </c>
      <c r="I2309" s="1" t="s">
        <v>3820</v>
      </c>
      <c r="W2309" s="15">
        <v>1</v>
      </c>
    </row>
    <row r="2310" spans="1:25" ht="90" x14ac:dyDescent="0.25">
      <c r="A2310" t="s">
        <v>37</v>
      </c>
      <c r="B2310" t="s">
        <v>3781</v>
      </c>
      <c r="C2310" t="s">
        <v>69</v>
      </c>
      <c r="D2310" t="s">
        <v>1473</v>
      </c>
      <c r="E2310" t="s">
        <v>30</v>
      </c>
      <c r="F2310" t="s">
        <v>246</v>
      </c>
      <c r="G2310" t="s">
        <v>32</v>
      </c>
      <c r="H2310" t="s">
        <v>33</v>
      </c>
      <c r="I2310" s="1" t="s">
        <v>3821</v>
      </c>
      <c r="S2310" s="15">
        <v>1</v>
      </c>
    </row>
    <row r="2311" spans="1:25" ht="75" x14ac:dyDescent="0.25">
      <c r="A2311" t="s">
        <v>26</v>
      </c>
      <c r="B2311" t="s">
        <v>3822</v>
      </c>
      <c r="C2311" t="s">
        <v>472</v>
      </c>
      <c r="D2311" t="s">
        <v>1668</v>
      </c>
      <c r="E2311" t="s">
        <v>30</v>
      </c>
      <c r="F2311" t="s">
        <v>46</v>
      </c>
      <c r="G2311" t="s">
        <v>69</v>
      </c>
      <c r="H2311" t="s">
        <v>87</v>
      </c>
      <c r="I2311" s="1" t="s">
        <v>3823</v>
      </c>
      <c r="Q2311" s="15">
        <v>1</v>
      </c>
      <c r="V2311" s="15">
        <v>1</v>
      </c>
    </row>
    <row r="2312" spans="1:25" ht="105" x14ac:dyDescent="0.25">
      <c r="A2312" t="s">
        <v>91</v>
      </c>
      <c r="B2312" t="s">
        <v>3822</v>
      </c>
      <c r="C2312" t="s">
        <v>38</v>
      </c>
      <c r="D2312" t="s">
        <v>1333</v>
      </c>
      <c r="E2312" t="s">
        <v>30</v>
      </c>
      <c r="F2312" t="s">
        <v>189</v>
      </c>
      <c r="G2312" t="s">
        <v>81</v>
      </c>
      <c r="H2312" t="s">
        <v>87</v>
      </c>
      <c r="I2312" s="1" t="s">
        <v>3824</v>
      </c>
      <c r="Y2312">
        <v>1</v>
      </c>
    </row>
    <row r="2313" spans="1:25" ht="60" x14ac:dyDescent="0.25">
      <c r="A2313" t="s">
        <v>49</v>
      </c>
      <c r="B2313" t="s">
        <v>3822</v>
      </c>
      <c r="C2313" t="s">
        <v>106</v>
      </c>
      <c r="D2313" t="s">
        <v>107</v>
      </c>
      <c r="E2313" t="s">
        <v>30</v>
      </c>
      <c r="F2313" t="s">
        <v>102</v>
      </c>
      <c r="G2313" t="s">
        <v>69</v>
      </c>
      <c r="H2313" t="s">
        <v>87</v>
      </c>
      <c r="I2313" s="1" t="s">
        <v>3825</v>
      </c>
      <c r="Y2313">
        <v>11</v>
      </c>
    </row>
    <row r="2314" spans="1:25" ht="30" x14ac:dyDescent="0.25">
      <c r="A2314" t="s">
        <v>26</v>
      </c>
      <c r="B2314" t="s">
        <v>3822</v>
      </c>
      <c r="C2314" t="s">
        <v>106</v>
      </c>
      <c r="D2314" t="s">
        <v>803</v>
      </c>
      <c r="E2314" t="s">
        <v>30</v>
      </c>
      <c r="F2314" t="s">
        <v>786</v>
      </c>
      <c r="G2314" t="s">
        <v>32</v>
      </c>
      <c r="H2314" t="s">
        <v>33</v>
      </c>
      <c r="I2314" s="1" t="s">
        <v>3826</v>
      </c>
      <c r="S2314" s="15">
        <v>1</v>
      </c>
    </row>
    <row r="2315" spans="1:25" ht="90" x14ac:dyDescent="0.25">
      <c r="A2315" t="s">
        <v>37</v>
      </c>
      <c r="B2315" t="s">
        <v>3822</v>
      </c>
      <c r="C2315" t="s">
        <v>28</v>
      </c>
      <c r="D2315" t="s">
        <v>946</v>
      </c>
      <c r="E2315" t="s">
        <v>30</v>
      </c>
      <c r="F2315" t="s">
        <v>98</v>
      </c>
      <c r="G2315" t="s">
        <v>69</v>
      </c>
      <c r="H2315" t="s">
        <v>87</v>
      </c>
      <c r="I2315" s="1" t="s">
        <v>3827</v>
      </c>
      <c r="Q2315" s="15">
        <v>1</v>
      </c>
      <c r="W2315" s="15">
        <v>1</v>
      </c>
    </row>
    <row r="2316" spans="1:25" ht="30" x14ac:dyDescent="0.25">
      <c r="A2316" t="s">
        <v>59</v>
      </c>
      <c r="B2316" t="s">
        <v>3822</v>
      </c>
      <c r="C2316" t="s">
        <v>240</v>
      </c>
      <c r="D2316" t="s">
        <v>978</v>
      </c>
      <c r="E2316" t="s">
        <v>30</v>
      </c>
      <c r="F2316" t="s">
        <v>287</v>
      </c>
      <c r="G2316" t="s">
        <v>69</v>
      </c>
      <c r="H2316" t="s">
        <v>87</v>
      </c>
      <c r="I2316" s="1" t="s">
        <v>3828</v>
      </c>
      <c r="T2316" s="15">
        <v>1</v>
      </c>
    </row>
    <row r="2317" spans="1:25" ht="105" x14ac:dyDescent="0.25">
      <c r="A2317" t="s">
        <v>64</v>
      </c>
      <c r="B2317" t="s">
        <v>3822</v>
      </c>
      <c r="C2317" t="s">
        <v>240</v>
      </c>
      <c r="D2317" t="s">
        <v>1119</v>
      </c>
      <c r="E2317" t="s">
        <v>30</v>
      </c>
      <c r="F2317" t="s">
        <v>196</v>
      </c>
      <c r="G2317" t="s">
        <v>32</v>
      </c>
      <c r="H2317" t="s">
        <v>87</v>
      </c>
      <c r="I2317" s="1" t="s">
        <v>3829</v>
      </c>
      <c r="Y2317">
        <v>1</v>
      </c>
    </row>
    <row r="2318" spans="1:25" ht="75" x14ac:dyDescent="0.25">
      <c r="A2318" t="s">
        <v>26</v>
      </c>
      <c r="B2318" t="s">
        <v>3830</v>
      </c>
      <c r="C2318" t="s">
        <v>73</v>
      </c>
      <c r="D2318" t="s">
        <v>1123</v>
      </c>
      <c r="E2318" t="s">
        <v>30</v>
      </c>
      <c r="F2318" t="s">
        <v>112</v>
      </c>
      <c r="G2318" t="s">
        <v>32</v>
      </c>
      <c r="H2318" t="s">
        <v>173</v>
      </c>
      <c r="I2318" s="1" t="s">
        <v>3831</v>
      </c>
      <c r="N2318" s="15">
        <v>1</v>
      </c>
      <c r="Q2318" s="15">
        <v>1</v>
      </c>
      <c r="S2318" s="15">
        <v>1</v>
      </c>
    </row>
    <row r="2319" spans="1:25" ht="45" x14ac:dyDescent="0.25">
      <c r="A2319" t="s">
        <v>26</v>
      </c>
      <c r="B2319" t="s">
        <v>3830</v>
      </c>
      <c r="C2319" t="s">
        <v>92</v>
      </c>
      <c r="D2319" t="s">
        <v>93</v>
      </c>
      <c r="E2319" t="s">
        <v>30</v>
      </c>
      <c r="F2319" t="s">
        <v>126</v>
      </c>
      <c r="G2319" t="s">
        <v>32</v>
      </c>
      <c r="H2319" t="s">
        <v>33</v>
      </c>
      <c r="I2319" s="1" t="s">
        <v>3832</v>
      </c>
      <c r="S2319" s="15">
        <v>1</v>
      </c>
    </row>
    <row r="2320" spans="1:25" ht="105" x14ac:dyDescent="0.25">
      <c r="A2320" t="s">
        <v>26</v>
      </c>
      <c r="B2320" t="s">
        <v>3830</v>
      </c>
      <c r="C2320" t="s">
        <v>92</v>
      </c>
      <c r="D2320" t="s">
        <v>111</v>
      </c>
      <c r="E2320" t="s">
        <v>30</v>
      </c>
      <c r="F2320" t="s">
        <v>61</v>
      </c>
      <c r="G2320" t="s">
        <v>81</v>
      </c>
      <c r="H2320" t="s">
        <v>87</v>
      </c>
      <c r="I2320" s="1" t="s">
        <v>3833</v>
      </c>
      <c r="N2320" s="15">
        <v>1</v>
      </c>
      <c r="R2320" s="15">
        <v>1</v>
      </c>
      <c r="V2320" s="15">
        <v>1</v>
      </c>
    </row>
    <row r="2321" spans="1:25" ht="90" x14ac:dyDescent="0.25">
      <c r="A2321" t="s">
        <v>26</v>
      </c>
      <c r="B2321" t="s">
        <v>3830</v>
      </c>
      <c r="C2321" t="s">
        <v>106</v>
      </c>
      <c r="D2321" t="s">
        <v>107</v>
      </c>
      <c r="E2321" t="s">
        <v>30</v>
      </c>
      <c r="F2321" t="s">
        <v>543</v>
      </c>
      <c r="G2321" t="s">
        <v>69</v>
      </c>
      <c r="H2321" t="s">
        <v>87</v>
      </c>
      <c r="I2321" s="1" t="s">
        <v>3834</v>
      </c>
      <c r="W2321" s="15">
        <v>1</v>
      </c>
    </row>
    <row r="2322" spans="1:25" ht="105" x14ac:dyDescent="0.25">
      <c r="A2322" t="s">
        <v>26</v>
      </c>
      <c r="B2322" t="s">
        <v>3830</v>
      </c>
      <c r="C2322" t="s">
        <v>240</v>
      </c>
      <c r="D2322" t="s">
        <v>882</v>
      </c>
      <c r="E2322" t="s">
        <v>30</v>
      </c>
      <c r="F2322" t="s">
        <v>189</v>
      </c>
      <c r="G2322" t="s">
        <v>32</v>
      </c>
      <c r="H2322" t="s">
        <v>33</v>
      </c>
      <c r="I2322" s="1" t="s">
        <v>3835</v>
      </c>
      <c r="O2322" s="15">
        <v>1</v>
      </c>
      <c r="S2322" s="15">
        <v>1</v>
      </c>
    </row>
    <row r="2323" spans="1:25" ht="45" x14ac:dyDescent="0.25">
      <c r="A2323" t="s">
        <v>26</v>
      </c>
      <c r="B2323" t="s">
        <v>3830</v>
      </c>
      <c r="C2323" t="s">
        <v>106</v>
      </c>
      <c r="D2323" t="s">
        <v>150</v>
      </c>
      <c r="E2323" t="s">
        <v>30</v>
      </c>
      <c r="F2323" t="s">
        <v>52</v>
      </c>
      <c r="G2323" t="s">
        <v>32</v>
      </c>
      <c r="H2323" t="s">
        <v>33</v>
      </c>
      <c r="I2323" s="1" t="s">
        <v>3836</v>
      </c>
      <c r="S2323" s="15">
        <v>1</v>
      </c>
    </row>
    <row r="2324" spans="1:25" ht="45" x14ac:dyDescent="0.25">
      <c r="A2324" t="s">
        <v>26</v>
      </c>
      <c r="B2324" t="s">
        <v>3830</v>
      </c>
      <c r="C2324" t="s">
        <v>44</v>
      </c>
      <c r="D2324" t="s">
        <v>622</v>
      </c>
      <c r="E2324" t="s">
        <v>30</v>
      </c>
      <c r="F2324" t="s">
        <v>130</v>
      </c>
      <c r="G2324" t="s">
        <v>32</v>
      </c>
      <c r="H2324" t="s">
        <v>33</v>
      </c>
      <c r="I2324" s="1" t="s">
        <v>3837</v>
      </c>
      <c r="S2324" s="15">
        <v>1</v>
      </c>
    </row>
    <row r="2325" spans="1:25" ht="120" x14ac:dyDescent="0.25">
      <c r="A2325" t="s">
        <v>26</v>
      </c>
      <c r="B2325" t="s">
        <v>3830</v>
      </c>
      <c r="C2325" t="s">
        <v>28</v>
      </c>
      <c r="D2325" t="s">
        <v>2102</v>
      </c>
      <c r="E2325" t="s">
        <v>30</v>
      </c>
      <c r="F2325" t="s">
        <v>161</v>
      </c>
      <c r="G2325" t="s">
        <v>81</v>
      </c>
      <c r="H2325" t="s">
        <v>173</v>
      </c>
      <c r="I2325" s="1" t="s">
        <v>3838</v>
      </c>
      <c r="W2325" s="15">
        <v>1</v>
      </c>
      <c r="Y2325">
        <v>1</v>
      </c>
    </row>
    <row r="2326" spans="1:25" ht="45" x14ac:dyDescent="0.25">
      <c r="A2326" t="s">
        <v>26</v>
      </c>
      <c r="B2326" t="s">
        <v>3830</v>
      </c>
      <c r="C2326" t="s">
        <v>240</v>
      </c>
      <c r="D2326" t="s">
        <v>703</v>
      </c>
      <c r="E2326" t="s">
        <v>30</v>
      </c>
      <c r="F2326" t="s">
        <v>140</v>
      </c>
      <c r="G2326" t="s">
        <v>32</v>
      </c>
      <c r="H2326" t="s">
        <v>87</v>
      </c>
      <c r="I2326" s="1" t="s">
        <v>3839</v>
      </c>
      <c r="Q2326" s="15">
        <v>1</v>
      </c>
      <c r="Y2326">
        <v>1</v>
      </c>
    </row>
    <row r="2327" spans="1:25" ht="75" x14ac:dyDescent="0.25">
      <c r="A2327" t="s">
        <v>26</v>
      </c>
      <c r="B2327" t="s">
        <v>3830</v>
      </c>
      <c r="C2327" t="s">
        <v>96</v>
      </c>
      <c r="D2327" t="s">
        <v>195</v>
      </c>
      <c r="E2327" t="s">
        <v>79</v>
      </c>
      <c r="F2327" t="s">
        <v>287</v>
      </c>
      <c r="G2327" t="s">
        <v>32</v>
      </c>
      <c r="H2327" t="s">
        <v>87</v>
      </c>
      <c r="I2327" s="1" t="s">
        <v>3840</v>
      </c>
      <c r="N2327" s="15">
        <v>1</v>
      </c>
    </row>
    <row r="2328" spans="1:25" ht="45" x14ac:dyDescent="0.25">
      <c r="A2328" t="s">
        <v>26</v>
      </c>
      <c r="B2328" t="s">
        <v>3830</v>
      </c>
      <c r="C2328" t="s">
        <v>55</v>
      </c>
      <c r="D2328" t="s">
        <v>878</v>
      </c>
      <c r="E2328" t="s">
        <v>30</v>
      </c>
      <c r="F2328" t="s">
        <v>94</v>
      </c>
      <c r="G2328" t="s">
        <v>32</v>
      </c>
      <c r="H2328" t="s">
        <v>173</v>
      </c>
      <c r="I2328" s="1" t="s">
        <v>3841</v>
      </c>
      <c r="P2328" s="15">
        <v>1</v>
      </c>
    </row>
    <row r="2329" spans="1:25" ht="75" x14ac:dyDescent="0.25">
      <c r="A2329" t="s">
        <v>91</v>
      </c>
      <c r="B2329" t="s">
        <v>3830</v>
      </c>
      <c r="C2329" t="s">
        <v>73</v>
      </c>
      <c r="D2329" t="s">
        <v>157</v>
      </c>
      <c r="E2329" t="s">
        <v>30</v>
      </c>
      <c r="F2329" t="s">
        <v>587</v>
      </c>
      <c r="G2329" t="s">
        <v>69</v>
      </c>
      <c r="H2329" t="s">
        <v>87</v>
      </c>
      <c r="I2329" s="1" t="s">
        <v>3842</v>
      </c>
      <c r="P2329" s="15">
        <v>1</v>
      </c>
      <c r="W2329" s="15">
        <v>1</v>
      </c>
    </row>
    <row r="2330" spans="1:25" ht="30" x14ac:dyDescent="0.25">
      <c r="A2330" t="s">
        <v>26</v>
      </c>
      <c r="B2330" t="s">
        <v>3830</v>
      </c>
      <c r="C2330" t="s">
        <v>106</v>
      </c>
      <c r="D2330" t="s">
        <v>484</v>
      </c>
      <c r="E2330" t="s">
        <v>30</v>
      </c>
      <c r="F2330" t="s">
        <v>154</v>
      </c>
      <c r="G2330" t="s">
        <v>69</v>
      </c>
      <c r="H2330" t="s">
        <v>87</v>
      </c>
      <c r="I2330" s="1" t="s">
        <v>3843</v>
      </c>
      <c r="P2330" s="15">
        <v>1</v>
      </c>
    </row>
    <row r="2331" spans="1:25" ht="30" x14ac:dyDescent="0.25">
      <c r="A2331" t="s">
        <v>26</v>
      </c>
      <c r="B2331" t="s">
        <v>3830</v>
      </c>
      <c r="C2331" t="s">
        <v>96</v>
      </c>
      <c r="D2331" t="s">
        <v>201</v>
      </c>
      <c r="E2331" t="s">
        <v>30</v>
      </c>
      <c r="F2331" t="s">
        <v>140</v>
      </c>
      <c r="G2331" t="s">
        <v>69</v>
      </c>
      <c r="H2331" t="s">
        <v>173</v>
      </c>
      <c r="I2331" s="1" t="s">
        <v>3844</v>
      </c>
      <c r="Q2331" s="15">
        <v>1</v>
      </c>
      <c r="V2331" s="15">
        <v>1</v>
      </c>
    </row>
    <row r="2332" spans="1:25" ht="45" x14ac:dyDescent="0.25">
      <c r="A2332" t="s">
        <v>49</v>
      </c>
      <c r="B2332" t="s">
        <v>3830</v>
      </c>
      <c r="C2332" t="s">
        <v>85</v>
      </c>
      <c r="D2332" t="s">
        <v>3845</v>
      </c>
      <c r="E2332" t="s">
        <v>30</v>
      </c>
      <c r="F2332" t="s">
        <v>602</v>
      </c>
      <c r="G2332" t="s">
        <v>32</v>
      </c>
      <c r="H2332" t="s">
        <v>33</v>
      </c>
      <c r="I2332" s="1" t="s">
        <v>3846</v>
      </c>
      <c r="S2332" s="15">
        <v>1</v>
      </c>
    </row>
    <row r="2333" spans="1:25" ht="90" x14ac:dyDescent="0.25">
      <c r="A2333" t="s">
        <v>59</v>
      </c>
      <c r="B2333" t="s">
        <v>3830</v>
      </c>
      <c r="C2333" t="s">
        <v>249</v>
      </c>
      <c r="D2333" t="s">
        <v>862</v>
      </c>
      <c r="E2333" t="s">
        <v>30</v>
      </c>
      <c r="F2333" t="s">
        <v>112</v>
      </c>
      <c r="G2333" t="s">
        <v>69</v>
      </c>
      <c r="H2333" t="s">
        <v>87</v>
      </c>
      <c r="I2333" s="1" t="s">
        <v>3847</v>
      </c>
      <c r="T2333" s="15">
        <v>1</v>
      </c>
    </row>
    <row r="2334" spans="1:25" ht="60" x14ac:dyDescent="0.25">
      <c r="A2334" t="s">
        <v>26</v>
      </c>
      <c r="B2334" t="s">
        <v>3830</v>
      </c>
      <c r="C2334" t="s">
        <v>50</v>
      </c>
      <c r="D2334" t="s">
        <v>1502</v>
      </c>
      <c r="E2334" t="s">
        <v>30</v>
      </c>
      <c r="F2334" t="s">
        <v>719</v>
      </c>
      <c r="G2334" t="s">
        <v>32</v>
      </c>
      <c r="H2334" t="s">
        <v>33</v>
      </c>
      <c r="I2334" s="1" t="s">
        <v>3848</v>
      </c>
      <c r="S2334" s="15">
        <v>1</v>
      </c>
    </row>
    <row r="2335" spans="1:25" ht="105" x14ac:dyDescent="0.25">
      <c r="A2335" t="s">
        <v>26</v>
      </c>
      <c r="B2335" t="s">
        <v>3830</v>
      </c>
      <c r="C2335" t="s">
        <v>472</v>
      </c>
      <c r="D2335" t="s">
        <v>3849</v>
      </c>
      <c r="E2335" t="s">
        <v>79</v>
      </c>
      <c r="F2335" t="s">
        <v>290</v>
      </c>
      <c r="G2335" t="s">
        <v>32</v>
      </c>
      <c r="H2335" t="s">
        <v>33</v>
      </c>
      <c r="I2335" s="1" t="s">
        <v>3850</v>
      </c>
      <c r="S2335" s="15">
        <v>1</v>
      </c>
    </row>
    <row r="2336" spans="1:25" ht="135" x14ac:dyDescent="0.25">
      <c r="A2336" t="s">
        <v>49</v>
      </c>
      <c r="B2336" t="s">
        <v>3830</v>
      </c>
      <c r="C2336" t="s">
        <v>28</v>
      </c>
      <c r="D2336" t="s">
        <v>388</v>
      </c>
      <c r="E2336" t="s">
        <v>30</v>
      </c>
      <c r="F2336" t="s">
        <v>136</v>
      </c>
      <c r="G2336" t="s">
        <v>69</v>
      </c>
      <c r="H2336" t="s">
        <v>87</v>
      </c>
      <c r="I2336" s="1" t="s">
        <v>3851</v>
      </c>
      <c r="N2336" s="15">
        <v>1</v>
      </c>
      <c r="Y2336">
        <v>1</v>
      </c>
    </row>
    <row r="2337" spans="1:25" ht="105" x14ac:dyDescent="0.25">
      <c r="A2337" t="s">
        <v>37</v>
      </c>
      <c r="B2337" t="s">
        <v>3830</v>
      </c>
      <c r="C2337" t="s">
        <v>92</v>
      </c>
      <c r="D2337" t="s">
        <v>93</v>
      </c>
      <c r="E2337" t="s">
        <v>30</v>
      </c>
      <c r="F2337" t="s">
        <v>108</v>
      </c>
      <c r="G2337" t="s">
        <v>38</v>
      </c>
      <c r="H2337" t="s">
        <v>87</v>
      </c>
      <c r="I2337" s="1" t="s">
        <v>3852</v>
      </c>
      <c r="P2337" s="15">
        <v>1</v>
      </c>
    </row>
    <row r="2338" spans="1:25" ht="75" x14ac:dyDescent="0.25">
      <c r="A2338" t="s">
        <v>26</v>
      </c>
      <c r="B2338" t="s">
        <v>3830</v>
      </c>
      <c r="C2338" t="s">
        <v>44</v>
      </c>
      <c r="D2338" t="s">
        <v>655</v>
      </c>
      <c r="E2338" t="s">
        <v>30</v>
      </c>
      <c r="F2338" t="s">
        <v>52</v>
      </c>
      <c r="G2338" t="s">
        <v>69</v>
      </c>
      <c r="H2338" t="s">
        <v>87</v>
      </c>
      <c r="I2338" s="1" t="s">
        <v>3853</v>
      </c>
      <c r="V2338" s="15">
        <v>1</v>
      </c>
    </row>
    <row r="2339" spans="1:25" x14ac:dyDescent="0.25">
      <c r="A2339" t="s">
        <v>26</v>
      </c>
      <c r="B2339" t="s">
        <v>3830</v>
      </c>
      <c r="C2339" t="s">
        <v>50</v>
      </c>
      <c r="D2339" t="s">
        <v>122</v>
      </c>
      <c r="E2339" t="s">
        <v>30</v>
      </c>
      <c r="F2339" t="s">
        <v>602</v>
      </c>
      <c r="G2339" t="s">
        <v>32</v>
      </c>
      <c r="H2339" t="s">
        <v>33</v>
      </c>
      <c r="I2339" s="1" t="s">
        <v>3854</v>
      </c>
      <c r="Q2339" s="15">
        <v>1</v>
      </c>
    </row>
    <row r="2340" spans="1:25" ht="75" x14ac:dyDescent="0.25">
      <c r="A2340" t="s">
        <v>59</v>
      </c>
      <c r="B2340" t="s">
        <v>3830</v>
      </c>
      <c r="C2340" t="s">
        <v>69</v>
      </c>
      <c r="D2340" t="s">
        <v>3526</v>
      </c>
      <c r="E2340" t="s">
        <v>30</v>
      </c>
      <c r="F2340" t="s">
        <v>61</v>
      </c>
      <c r="G2340" t="s">
        <v>32</v>
      </c>
      <c r="H2340" t="s">
        <v>87</v>
      </c>
      <c r="I2340" s="1" t="s">
        <v>3855</v>
      </c>
      <c r="W2340" s="15">
        <v>1</v>
      </c>
      <c r="Y2340">
        <v>1</v>
      </c>
    </row>
    <row r="2341" spans="1:25" ht="90" x14ac:dyDescent="0.25">
      <c r="A2341" t="s">
        <v>37</v>
      </c>
      <c r="B2341" t="s">
        <v>3830</v>
      </c>
      <c r="C2341" t="s">
        <v>180</v>
      </c>
      <c r="D2341" t="s">
        <v>1331</v>
      </c>
      <c r="E2341" t="s">
        <v>30</v>
      </c>
      <c r="F2341" t="s">
        <v>189</v>
      </c>
      <c r="G2341" t="s">
        <v>32</v>
      </c>
      <c r="H2341" t="s">
        <v>87</v>
      </c>
      <c r="I2341" s="1" t="s">
        <v>3856</v>
      </c>
      <c r="Q2341" s="15">
        <v>1</v>
      </c>
    </row>
    <row r="2342" spans="1:25" ht="30" x14ac:dyDescent="0.25">
      <c r="A2342" t="s">
        <v>26</v>
      </c>
      <c r="B2342" t="s">
        <v>3830</v>
      </c>
      <c r="C2342" t="s">
        <v>44</v>
      </c>
      <c r="D2342" t="s">
        <v>215</v>
      </c>
      <c r="E2342" t="s">
        <v>30</v>
      </c>
      <c r="F2342" t="s">
        <v>52</v>
      </c>
      <c r="G2342" t="s">
        <v>32</v>
      </c>
      <c r="H2342" t="s">
        <v>173</v>
      </c>
      <c r="I2342" s="1" t="s">
        <v>3857</v>
      </c>
      <c r="M2342" s="15">
        <v>1</v>
      </c>
      <c r="P2342" s="15">
        <v>1</v>
      </c>
    </row>
    <row r="2343" spans="1:25" ht="60" x14ac:dyDescent="0.25">
      <c r="A2343" t="s">
        <v>26</v>
      </c>
      <c r="B2343" t="s">
        <v>3830</v>
      </c>
      <c r="C2343" t="s">
        <v>44</v>
      </c>
      <c r="D2343" t="s">
        <v>146</v>
      </c>
      <c r="E2343" t="s">
        <v>30</v>
      </c>
      <c r="F2343" t="s">
        <v>52</v>
      </c>
      <c r="G2343" t="s">
        <v>32</v>
      </c>
      <c r="H2343" t="s">
        <v>33</v>
      </c>
      <c r="I2343" s="1" t="s">
        <v>3858</v>
      </c>
      <c r="N2343" s="15">
        <v>1</v>
      </c>
    </row>
    <row r="2344" spans="1:25" ht="45" x14ac:dyDescent="0.25">
      <c r="A2344" t="s">
        <v>37</v>
      </c>
      <c r="B2344" t="s">
        <v>3830</v>
      </c>
      <c r="C2344" t="s">
        <v>38</v>
      </c>
      <c r="D2344" t="s">
        <v>3859</v>
      </c>
      <c r="E2344" t="s">
        <v>30</v>
      </c>
      <c r="F2344" t="s">
        <v>112</v>
      </c>
      <c r="G2344" t="s">
        <v>69</v>
      </c>
      <c r="H2344" t="s">
        <v>87</v>
      </c>
      <c r="I2344" s="1" t="s">
        <v>3860</v>
      </c>
      <c r="R2344" s="15">
        <v>1</v>
      </c>
    </row>
    <row r="2345" spans="1:25" ht="30" x14ac:dyDescent="0.25">
      <c r="A2345" t="s">
        <v>64</v>
      </c>
      <c r="B2345" t="s">
        <v>3830</v>
      </c>
      <c r="C2345" t="s">
        <v>106</v>
      </c>
      <c r="D2345" t="s">
        <v>539</v>
      </c>
      <c r="E2345" t="s">
        <v>30</v>
      </c>
      <c r="F2345" t="s">
        <v>189</v>
      </c>
      <c r="G2345" t="s">
        <v>69</v>
      </c>
      <c r="H2345" t="s">
        <v>33</v>
      </c>
      <c r="I2345" s="1" t="s">
        <v>3861</v>
      </c>
      <c r="S2345" s="15">
        <v>1</v>
      </c>
    </row>
    <row r="2346" spans="1:25" ht="45" x14ac:dyDescent="0.25">
      <c r="A2346" t="s">
        <v>49</v>
      </c>
      <c r="B2346" t="s">
        <v>3830</v>
      </c>
      <c r="C2346" t="s">
        <v>263</v>
      </c>
      <c r="D2346" t="s">
        <v>1128</v>
      </c>
      <c r="E2346" t="s">
        <v>30</v>
      </c>
      <c r="F2346" t="s">
        <v>287</v>
      </c>
      <c r="G2346" t="s">
        <v>32</v>
      </c>
      <c r="H2346" t="s">
        <v>33</v>
      </c>
      <c r="I2346" s="1" t="s">
        <v>3862</v>
      </c>
      <c r="S2346" s="15">
        <v>1</v>
      </c>
    </row>
    <row r="2347" spans="1:25" ht="105" x14ac:dyDescent="0.25">
      <c r="A2347" t="s">
        <v>26</v>
      </c>
      <c r="B2347" t="s">
        <v>3830</v>
      </c>
      <c r="C2347" t="s">
        <v>44</v>
      </c>
      <c r="D2347" t="s">
        <v>616</v>
      </c>
      <c r="E2347" t="s">
        <v>30</v>
      </c>
      <c r="F2347" t="s">
        <v>186</v>
      </c>
      <c r="G2347" t="s">
        <v>32</v>
      </c>
      <c r="H2347" t="s">
        <v>87</v>
      </c>
      <c r="I2347" s="1" t="s">
        <v>3863</v>
      </c>
      <c r="Q2347" s="15">
        <v>1</v>
      </c>
      <c r="V2347" s="15">
        <v>1</v>
      </c>
    </row>
    <row r="2348" spans="1:25" ht="75" x14ac:dyDescent="0.25">
      <c r="A2348" t="s">
        <v>49</v>
      </c>
      <c r="B2348" t="s">
        <v>3830</v>
      </c>
      <c r="C2348" t="s">
        <v>106</v>
      </c>
      <c r="D2348" t="s">
        <v>539</v>
      </c>
      <c r="E2348" t="s">
        <v>30</v>
      </c>
      <c r="F2348" t="s">
        <v>446</v>
      </c>
      <c r="G2348" t="s">
        <v>81</v>
      </c>
      <c r="H2348" t="s">
        <v>87</v>
      </c>
      <c r="I2348" s="1" t="s">
        <v>3864</v>
      </c>
      <c r="T2348" s="15">
        <v>1</v>
      </c>
      <c r="Y2348">
        <v>1</v>
      </c>
    </row>
    <row r="2349" spans="1:25" x14ac:dyDescent="0.25">
      <c r="A2349" t="s">
        <v>26</v>
      </c>
      <c r="B2349" t="s">
        <v>3830</v>
      </c>
      <c r="C2349" t="s">
        <v>85</v>
      </c>
      <c r="D2349" t="s">
        <v>3865</v>
      </c>
      <c r="E2349" t="s">
        <v>30</v>
      </c>
      <c r="F2349" t="s">
        <v>189</v>
      </c>
      <c r="G2349" t="s">
        <v>69</v>
      </c>
      <c r="H2349" t="s">
        <v>87</v>
      </c>
      <c r="I2349" s="1" t="s">
        <v>3866</v>
      </c>
      <c r="R2349" s="15">
        <v>1</v>
      </c>
    </row>
    <row r="2350" spans="1:25" ht="60" x14ac:dyDescent="0.25">
      <c r="A2350" t="s">
        <v>49</v>
      </c>
      <c r="B2350" t="s">
        <v>3830</v>
      </c>
      <c r="C2350" t="s">
        <v>106</v>
      </c>
      <c r="D2350" t="s">
        <v>3867</v>
      </c>
      <c r="E2350" t="s">
        <v>79</v>
      </c>
      <c r="F2350" t="s">
        <v>119</v>
      </c>
      <c r="G2350" t="s">
        <v>69</v>
      </c>
      <c r="H2350" t="s">
        <v>173</v>
      </c>
      <c r="I2350" s="1" t="s">
        <v>3868</v>
      </c>
      <c r="T2350" s="15">
        <v>1</v>
      </c>
    </row>
    <row r="2351" spans="1:25" ht="60" x14ac:dyDescent="0.25">
      <c r="A2351" t="s">
        <v>26</v>
      </c>
      <c r="B2351" t="s">
        <v>3830</v>
      </c>
      <c r="C2351" t="s">
        <v>85</v>
      </c>
      <c r="D2351" t="s">
        <v>984</v>
      </c>
      <c r="E2351" t="s">
        <v>30</v>
      </c>
      <c r="F2351" t="s">
        <v>627</v>
      </c>
      <c r="G2351" t="s">
        <v>32</v>
      </c>
      <c r="H2351" t="s">
        <v>87</v>
      </c>
      <c r="I2351" s="1" t="s">
        <v>3869</v>
      </c>
      <c r="P2351" s="15">
        <v>1</v>
      </c>
      <c r="W2351" s="15">
        <v>1</v>
      </c>
    </row>
    <row r="2352" spans="1:25" ht="105" x14ac:dyDescent="0.25">
      <c r="A2352" t="s">
        <v>49</v>
      </c>
      <c r="B2352" t="s">
        <v>3830</v>
      </c>
      <c r="C2352" t="s">
        <v>235</v>
      </c>
      <c r="D2352" t="s">
        <v>1158</v>
      </c>
      <c r="E2352" t="s">
        <v>30</v>
      </c>
      <c r="F2352" t="s">
        <v>94</v>
      </c>
      <c r="G2352" t="s">
        <v>32</v>
      </c>
      <c r="H2352" t="s">
        <v>87</v>
      </c>
      <c r="I2352" s="1" t="s">
        <v>3870</v>
      </c>
      <c r="N2352" s="15">
        <v>1</v>
      </c>
      <c r="Y2352">
        <v>1</v>
      </c>
    </row>
    <row r="2353" spans="1:25" ht="90" x14ac:dyDescent="0.25">
      <c r="A2353" t="s">
        <v>26</v>
      </c>
      <c r="B2353" t="s">
        <v>3830</v>
      </c>
      <c r="C2353" t="s">
        <v>85</v>
      </c>
      <c r="D2353" t="s">
        <v>519</v>
      </c>
      <c r="E2353" t="s">
        <v>30</v>
      </c>
      <c r="F2353" t="s">
        <v>294</v>
      </c>
      <c r="G2353" t="s">
        <v>32</v>
      </c>
      <c r="H2353" t="s">
        <v>33</v>
      </c>
      <c r="I2353" s="1" t="s">
        <v>3871</v>
      </c>
      <c r="S2353" s="15">
        <v>1</v>
      </c>
    </row>
    <row r="2354" spans="1:25" ht="60" x14ac:dyDescent="0.25">
      <c r="A2354" t="s">
        <v>49</v>
      </c>
      <c r="B2354" t="s">
        <v>3830</v>
      </c>
      <c r="C2354" t="s">
        <v>44</v>
      </c>
      <c r="D2354" t="s">
        <v>146</v>
      </c>
      <c r="E2354" t="s">
        <v>30</v>
      </c>
      <c r="F2354" t="s">
        <v>130</v>
      </c>
      <c r="G2354" t="s">
        <v>32</v>
      </c>
      <c r="H2354" t="s">
        <v>173</v>
      </c>
      <c r="I2354" s="1" t="s">
        <v>3872</v>
      </c>
      <c r="Q2354" s="15">
        <v>1</v>
      </c>
      <c r="V2354" s="15">
        <v>1</v>
      </c>
      <c r="Y2354">
        <v>1</v>
      </c>
    </row>
    <row r="2355" spans="1:25" ht="60" x14ac:dyDescent="0.25">
      <c r="A2355" t="s">
        <v>26</v>
      </c>
      <c r="B2355" t="s">
        <v>3830</v>
      </c>
      <c r="C2355" t="s">
        <v>55</v>
      </c>
      <c r="D2355" t="s">
        <v>1053</v>
      </c>
      <c r="E2355" t="s">
        <v>30</v>
      </c>
      <c r="F2355" t="s">
        <v>161</v>
      </c>
      <c r="G2355" t="s">
        <v>81</v>
      </c>
      <c r="H2355" t="s">
        <v>87</v>
      </c>
      <c r="I2355" s="1" t="s">
        <v>3873</v>
      </c>
      <c r="T2355" s="15">
        <v>1</v>
      </c>
      <c r="W2355" s="15">
        <v>1</v>
      </c>
    </row>
    <row r="2356" spans="1:25" ht="60" x14ac:dyDescent="0.25">
      <c r="A2356" t="s">
        <v>49</v>
      </c>
      <c r="B2356" t="s">
        <v>3830</v>
      </c>
      <c r="C2356" t="s">
        <v>85</v>
      </c>
      <c r="D2356" t="s">
        <v>2308</v>
      </c>
      <c r="E2356" t="s">
        <v>30</v>
      </c>
      <c r="F2356" t="s">
        <v>119</v>
      </c>
      <c r="G2356" t="s">
        <v>69</v>
      </c>
      <c r="H2356" t="s">
        <v>87</v>
      </c>
      <c r="I2356" s="1" t="s">
        <v>3874</v>
      </c>
      <c r="N2356" s="15">
        <v>1</v>
      </c>
      <c r="W2356" s="15">
        <v>1</v>
      </c>
    </row>
    <row r="2357" spans="1:25" ht="105" x14ac:dyDescent="0.25">
      <c r="A2357" t="s">
        <v>26</v>
      </c>
      <c r="B2357" t="s">
        <v>3830</v>
      </c>
      <c r="C2357" t="s">
        <v>55</v>
      </c>
      <c r="D2357" t="s">
        <v>279</v>
      </c>
      <c r="E2357" t="s">
        <v>79</v>
      </c>
      <c r="F2357" t="s">
        <v>520</v>
      </c>
      <c r="G2357" t="s">
        <v>38</v>
      </c>
      <c r="H2357" t="s">
        <v>87</v>
      </c>
      <c r="I2357" s="1" t="s">
        <v>3875</v>
      </c>
      <c r="T2357" s="15">
        <v>1</v>
      </c>
    </row>
    <row r="2358" spans="1:25" ht="105" x14ac:dyDescent="0.25">
      <c r="A2358" t="s">
        <v>91</v>
      </c>
      <c r="B2358" t="s">
        <v>3830</v>
      </c>
      <c r="C2358" t="s">
        <v>96</v>
      </c>
      <c r="D2358" t="s">
        <v>97</v>
      </c>
      <c r="E2358" t="s">
        <v>30</v>
      </c>
      <c r="F2358" t="s">
        <v>202</v>
      </c>
      <c r="G2358" t="s">
        <v>32</v>
      </c>
      <c r="H2358" t="s">
        <v>173</v>
      </c>
      <c r="I2358" s="1" t="s">
        <v>3876</v>
      </c>
      <c r="W2358" s="15">
        <v>1</v>
      </c>
    </row>
    <row r="2359" spans="1:25" ht="90" x14ac:dyDescent="0.25">
      <c r="A2359" t="s">
        <v>49</v>
      </c>
      <c r="B2359" t="s">
        <v>3830</v>
      </c>
      <c r="C2359" t="s">
        <v>240</v>
      </c>
      <c r="D2359" t="s">
        <v>1404</v>
      </c>
      <c r="E2359" t="s">
        <v>79</v>
      </c>
      <c r="F2359" t="s">
        <v>108</v>
      </c>
      <c r="G2359" t="s">
        <v>32</v>
      </c>
      <c r="H2359" t="s">
        <v>87</v>
      </c>
      <c r="I2359" s="1" t="s">
        <v>3877</v>
      </c>
      <c r="Q2359" s="15">
        <v>1</v>
      </c>
    </row>
    <row r="2360" spans="1:25" ht="45" x14ac:dyDescent="0.25">
      <c r="A2360" t="s">
        <v>37</v>
      </c>
      <c r="B2360" t="s">
        <v>3830</v>
      </c>
      <c r="C2360" t="s">
        <v>263</v>
      </c>
      <c r="D2360" t="s">
        <v>1925</v>
      </c>
      <c r="E2360" t="s">
        <v>79</v>
      </c>
      <c r="F2360" t="s">
        <v>119</v>
      </c>
      <c r="G2360" t="s">
        <v>32</v>
      </c>
      <c r="H2360" t="s">
        <v>33</v>
      </c>
      <c r="I2360" s="1" t="s">
        <v>3878</v>
      </c>
      <c r="O2360" s="15">
        <v>1</v>
      </c>
      <c r="S2360" s="15">
        <v>1</v>
      </c>
    </row>
    <row r="2361" spans="1:25" ht="105" x14ac:dyDescent="0.25">
      <c r="A2361" t="s">
        <v>49</v>
      </c>
      <c r="B2361" t="s">
        <v>3830</v>
      </c>
      <c r="C2361" t="s">
        <v>106</v>
      </c>
      <c r="D2361" t="s">
        <v>3647</v>
      </c>
      <c r="E2361" t="s">
        <v>30</v>
      </c>
      <c r="F2361" t="s">
        <v>161</v>
      </c>
      <c r="G2361" t="s">
        <v>263</v>
      </c>
      <c r="H2361" t="s">
        <v>87</v>
      </c>
      <c r="I2361" s="1" t="s">
        <v>3879</v>
      </c>
      <c r="N2361" s="15">
        <v>1</v>
      </c>
      <c r="Q2361" s="15">
        <v>1</v>
      </c>
      <c r="W2361" s="15">
        <v>1</v>
      </c>
    </row>
    <row r="2362" spans="1:25" ht="60" x14ac:dyDescent="0.25">
      <c r="A2362" t="s">
        <v>64</v>
      </c>
      <c r="B2362" t="s">
        <v>3830</v>
      </c>
      <c r="C2362" t="s">
        <v>263</v>
      </c>
      <c r="D2362" t="s">
        <v>3880</v>
      </c>
      <c r="E2362" t="s">
        <v>30</v>
      </c>
      <c r="F2362" t="s">
        <v>154</v>
      </c>
      <c r="G2362" t="s">
        <v>32</v>
      </c>
      <c r="H2362" t="s">
        <v>33</v>
      </c>
      <c r="I2362" s="1" t="s">
        <v>3881</v>
      </c>
      <c r="N2362" s="15">
        <v>1</v>
      </c>
      <c r="S2362" s="15">
        <v>1</v>
      </c>
      <c r="X2362" s="15">
        <v>1</v>
      </c>
    </row>
    <row r="2363" spans="1:25" ht="75" x14ac:dyDescent="0.25">
      <c r="A2363" t="s">
        <v>59</v>
      </c>
      <c r="B2363" t="s">
        <v>3830</v>
      </c>
      <c r="C2363" t="s">
        <v>28</v>
      </c>
      <c r="D2363" t="s">
        <v>526</v>
      </c>
      <c r="E2363" t="s">
        <v>79</v>
      </c>
      <c r="F2363" t="s">
        <v>136</v>
      </c>
      <c r="G2363" t="s">
        <v>81</v>
      </c>
      <c r="H2363" t="s">
        <v>173</v>
      </c>
      <c r="I2363" s="1" t="s">
        <v>3882</v>
      </c>
      <c r="P2363" s="15">
        <v>1</v>
      </c>
      <c r="W2363" s="15">
        <v>1</v>
      </c>
    </row>
    <row r="2364" spans="1:25" ht="60" x14ac:dyDescent="0.25">
      <c r="A2364" t="s">
        <v>37</v>
      </c>
      <c r="B2364" t="s">
        <v>3830</v>
      </c>
      <c r="C2364" t="s">
        <v>249</v>
      </c>
      <c r="D2364" t="s">
        <v>3883</v>
      </c>
      <c r="E2364" t="s">
        <v>30</v>
      </c>
      <c r="F2364" t="s">
        <v>119</v>
      </c>
      <c r="G2364" t="s">
        <v>32</v>
      </c>
      <c r="H2364" t="s">
        <v>33</v>
      </c>
      <c r="I2364" s="1" t="s">
        <v>3884</v>
      </c>
      <c r="S2364" s="15">
        <v>1</v>
      </c>
    </row>
    <row r="2365" spans="1:25" ht="105" x14ac:dyDescent="0.25">
      <c r="A2365" t="s">
        <v>37</v>
      </c>
      <c r="B2365" t="s">
        <v>3830</v>
      </c>
      <c r="C2365" t="s">
        <v>85</v>
      </c>
      <c r="D2365" t="s">
        <v>1529</v>
      </c>
      <c r="E2365" t="s">
        <v>30</v>
      </c>
      <c r="F2365" t="s">
        <v>189</v>
      </c>
      <c r="G2365" t="s">
        <v>263</v>
      </c>
      <c r="H2365" t="s">
        <v>87</v>
      </c>
      <c r="I2365" s="1" t="s">
        <v>3885</v>
      </c>
      <c r="T2365" s="15">
        <v>1</v>
      </c>
      <c r="W2365" s="15">
        <v>1</v>
      </c>
    </row>
    <row r="2366" spans="1:25" x14ac:dyDescent="0.25">
      <c r="A2366" t="s">
        <v>26</v>
      </c>
      <c r="B2366" t="s">
        <v>2328</v>
      </c>
      <c r="C2366" t="s">
        <v>249</v>
      </c>
      <c r="D2366" t="s">
        <v>657</v>
      </c>
      <c r="E2366" t="s">
        <v>30</v>
      </c>
      <c r="F2366" t="s">
        <v>61</v>
      </c>
      <c r="G2366" t="s">
        <v>32</v>
      </c>
      <c r="H2366" t="s">
        <v>87</v>
      </c>
      <c r="I2366" s="1" t="s">
        <v>2333</v>
      </c>
      <c r="N2366" s="15">
        <v>1</v>
      </c>
    </row>
    <row r="2367" spans="1:25" ht="105" x14ac:dyDescent="0.25">
      <c r="A2367" t="s">
        <v>26</v>
      </c>
      <c r="B2367" t="s">
        <v>2328</v>
      </c>
      <c r="C2367" t="s">
        <v>263</v>
      </c>
      <c r="D2367" t="s">
        <v>264</v>
      </c>
      <c r="E2367" t="s">
        <v>79</v>
      </c>
      <c r="F2367" t="s">
        <v>147</v>
      </c>
      <c r="G2367" t="s">
        <v>69</v>
      </c>
      <c r="H2367" t="s">
        <v>173</v>
      </c>
      <c r="I2367" s="1" t="s">
        <v>2331</v>
      </c>
      <c r="W2367" s="15">
        <v>1</v>
      </c>
    </row>
    <row r="2368" spans="1:25" x14ac:dyDescent="0.25">
      <c r="A2368" t="s">
        <v>26</v>
      </c>
      <c r="B2368" t="s">
        <v>2328</v>
      </c>
      <c r="C2368" t="s">
        <v>249</v>
      </c>
      <c r="D2368" t="s">
        <v>880</v>
      </c>
      <c r="E2368" t="s">
        <v>30</v>
      </c>
      <c r="F2368" t="s">
        <v>154</v>
      </c>
      <c r="G2368" t="s">
        <v>32</v>
      </c>
      <c r="H2368" t="s">
        <v>33</v>
      </c>
      <c r="I2368" s="1" t="s">
        <v>2329</v>
      </c>
      <c r="O2368" s="15">
        <v>1</v>
      </c>
      <c r="S2368" s="15">
        <v>1</v>
      </c>
    </row>
    <row r="2369" spans="1:25" ht="105" x14ac:dyDescent="0.25">
      <c r="A2369" t="s">
        <v>26</v>
      </c>
      <c r="B2369" t="s">
        <v>2328</v>
      </c>
      <c r="C2369" t="s">
        <v>249</v>
      </c>
      <c r="D2369" t="s">
        <v>2335</v>
      </c>
      <c r="E2369" t="s">
        <v>79</v>
      </c>
      <c r="F2369" t="s">
        <v>182</v>
      </c>
      <c r="G2369" t="s">
        <v>32</v>
      </c>
      <c r="H2369" t="s">
        <v>173</v>
      </c>
      <c r="I2369" s="1" t="s">
        <v>2336</v>
      </c>
      <c r="N2369" s="15">
        <v>1</v>
      </c>
      <c r="Q2369" s="15">
        <v>1</v>
      </c>
      <c r="V2369" s="15">
        <v>1</v>
      </c>
    </row>
    <row r="2370" spans="1:25" ht="30" x14ac:dyDescent="0.25">
      <c r="A2370" t="s">
        <v>26</v>
      </c>
      <c r="B2370" t="s">
        <v>2328</v>
      </c>
      <c r="C2370" t="s">
        <v>249</v>
      </c>
      <c r="D2370" t="s">
        <v>355</v>
      </c>
      <c r="E2370" t="s">
        <v>30</v>
      </c>
      <c r="F2370" t="s">
        <v>202</v>
      </c>
      <c r="G2370" t="s">
        <v>32</v>
      </c>
      <c r="H2370" t="s">
        <v>33</v>
      </c>
      <c r="I2370" s="1" t="s">
        <v>2342</v>
      </c>
      <c r="O2370" s="15">
        <v>1</v>
      </c>
      <c r="W2370" s="15">
        <v>1</v>
      </c>
      <c r="X2370" s="15">
        <v>1</v>
      </c>
    </row>
    <row r="2371" spans="1:25" ht="105" x14ac:dyDescent="0.25">
      <c r="A2371" t="s">
        <v>26</v>
      </c>
      <c r="B2371" t="s">
        <v>2328</v>
      </c>
      <c r="C2371" t="s">
        <v>106</v>
      </c>
      <c r="D2371" t="s">
        <v>1076</v>
      </c>
      <c r="E2371" t="s">
        <v>30</v>
      </c>
      <c r="F2371" t="s">
        <v>602</v>
      </c>
      <c r="G2371" t="s">
        <v>32</v>
      </c>
      <c r="H2371" t="s">
        <v>87</v>
      </c>
      <c r="I2371" s="1" t="s">
        <v>2340</v>
      </c>
      <c r="T2371" s="15">
        <v>1</v>
      </c>
    </row>
    <row r="2372" spans="1:25" x14ac:dyDescent="0.25">
      <c r="A2372" t="s">
        <v>26</v>
      </c>
      <c r="B2372" t="s">
        <v>2328</v>
      </c>
      <c r="C2372" t="s">
        <v>106</v>
      </c>
      <c r="D2372" t="s">
        <v>803</v>
      </c>
      <c r="E2372" t="s">
        <v>30</v>
      </c>
      <c r="F2372" t="s">
        <v>389</v>
      </c>
      <c r="G2372" t="s">
        <v>69</v>
      </c>
      <c r="H2372" t="s">
        <v>87</v>
      </c>
      <c r="I2372" s="1" t="s">
        <v>2338</v>
      </c>
      <c r="N2372" s="15">
        <v>1</v>
      </c>
    </row>
    <row r="2373" spans="1:25" ht="30" x14ac:dyDescent="0.25">
      <c r="A2373" t="s">
        <v>26</v>
      </c>
      <c r="B2373" t="s">
        <v>2328</v>
      </c>
      <c r="C2373" t="s">
        <v>240</v>
      </c>
      <c r="D2373" t="s">
        <v>504</v>
      </c>
      <c r="E2373" t="s">
        <v>30</v>
      </c>
      <c r="F2373" t="s">
        <v>136</v>
      </c>
      <c r="G2373" t="s">
        <v>32</v>
      </c>
      <c r="H2373" t="s">
        <v>33</v>
      </c>
      <c r="I2373" s="1" t="s">
        <v>2345</v>
      </c>
      <c r="S2373" s="15">
        <v>1</v>
      </c>
      <c r="W2373" s="15">
        <v>1</v>
      </c>
    </row>
    <row r="2374" spans="1:25" ht="30" x14ac:dyDescent="0.25">
      <c r="A2374" t="s">
        <v>26</v>
      </c>
      <c r="B2374" t="s">
        <v>2328</v>
      </c>
      <c r="C2374" t="s">
        <v>73</v>
      </c>
      <c r="D2374" t="s">
        <v>862</v>
      </c>
      <c r="E2374" t="s">
        <v>30</v>
      </c>
      <c r="F2374" t="s">
        <v>209</v>
      </c>
      <c r="G2374" t="s">
        <v>69</v>
      </c>
      <c r="H2374" t="s">
        <v>33</v>
      </c>
      <c r="I2374" s="1" t="s">
        <v>2352</v>
      </c>
      <c r="Q2374" s="15">
        <v>1</v>
      </c>
      <c r="S2374" s="15">
        <v>1</v>
      </c>
    </row>
    <row r="2375" spans="1:25" ht="75" x14ac:dyDescent="0.25">
      <c r="A2375" t="s">
        <v>26</v>
      </c>
      <c r="B2375" t="s">
        <v>2328</v>
      </c>
      <c r="C2375" t="s">
        <v>96</v>
      </c>
      <c r="D2375" t="s">
        <v>2349</v>
      </c>
      <c r="E2375" t="s">
        <v>30</v>
      </c>
      <c r="F2375" t="s">
        <v>94</v>
      </c>
      <c r="G2375" t="s">
        <v>32</v>
      </c>
      <c r="H2375" t="s">
        <v>87</v>
      </c>
      <c r="I2375" s="1" t="s">
        <v>2350</v>
      </c>
      <c r="T2375" s="15">
        <v>1</v>
      </c>
      <c r="Y2375">
        <v>1</v>
      </c>
    </row>
    <row r="2376" spans="1:25" x14ac:dyDescent="0.25">
      <c r="A2376" t="s">
        <v>26</v>
      </c>
      <c r="B2376" t="s">
        <v>2328</v>
      </c>
      <c r="C2376" t="s">
        <v>44</v>
      </c>
      <c r="D2376" t="s">
        <v>616</v>
      </c>
      <c r="E2376" t="s">
        <v>30</v>
      </c>
      <c r="F2376" t="s">
        <v>186</v>
      </c>
      <c r="G2376" t="s">
        <v>69</v>
      </c>
      <c r="H2376" t="s">
        <v>87</v>
      </c>
      <c r="I2376" s="1" t="s">
        <v>2347</v>
      </c>
      <c r="Q2376" s="15">
        <v>1</v>
      </c>
    </row>
    <row r="2377" spans="1:25" ht="105" x14ac:dyDescent="0.25">
      <c r="A2377" t="s">
        <v>26</v>
      </c>
      <c r="B2377" t="s">
        <v>2328</v>
      </c>
      <c r="C2377" t="s">
        <v>240</v>
      </c>
      <c r="D2377" t="s">
        <v>1309</v>
      </c>
      <c r="E2377" t="s">
        <v>30</v>
      </c>
      <c r="F2377" t="s">
        <v>119</v>
      </c>
      <c r="G2377" t="s">
        <v>69</v>
      </c>
      <c r="H2377" t="s">
        <v>87</v>
      </c>
      <c r="I2377" s="1" t="s">
        <v>2355</v>
      </c>
      <c r="S2377" s="15">
        <v>1</v>
      </c>
      <c r="Y2377">
        <v>1</v>
      </c>
    </row>
    <row r="2378" spans="1:25" ht="105" x14ac:dyDescent="0.25">
      <c r="A2378" t="s">
        <v>26</v>
      </c>
      <c r="B2378" t="s">
        <v>2328</v>
      </c>
      <c r="C2378" t="s">
        <v>96</v>
      </c>
      <c r="D2378" t="s">
        <v>860</v>
      </c>
      <c r="E2378" t="s">
        <v>30</v>
      </c>
      <c r="F2378" t="s">
        <v>154</v>
      </c>
      <c r="G2378" t="s">
        <v>32</v>
      </c>
      <c r="H2378" t="s">
        <v>33</v>
      </c>
      <c r="I2378" s="1" t="s">
        <v>2361</v>
      </c>
      <c r="S2378" s="15">
        <v>1</v>
      </c>
    </row>
    <row r="2379" spans="1:25" ht="45" x14ac:dyDescent="0.25">
      <c r="A2379" t="s">
        <v>26</v>
      </c>
      <c r="B2379" t="s">
        <v>2328</v>
      </c>
      <c r="C2379" t="s">
        <v>96</v>
      </c>
      <c r="D2379" t="s">
        <v>1898</v>
      </c>
      <c r="E2379" t="s">
        <v>30</v>
      </c>
      <c r="F2379" t="s">
        <v>112</v>
      </c>
      <c r="G2379" t="s">
        <v>69</v>
      </c>
      <c r="H2379" t="s">
        <v>87</v>
      </c>
      <c r="I2379" s="1" t="s">
        <v>2359</v>
      </c>
      <c r="N2379" s="15">
        <v>1</v>
      </c>
      <c r="Q2379" s="15">
        <v>1</v>
      </c>
    </row>
    <row r="2380" spans="1:25" ht="30" x14ac:dyDescent="0.25">
      <c r="A2380" t="s">
        <v>26</v>
      </c>
      <c r="B2380" t="s">
        <v>2328</v>
      </c>
      <c r="C2380" t="s">
        <v>85</v>
      </c>
      <c r="D2380" t="s">
        <v>510</v>
      </c>
      <c r="E2380" t="s">
        <v>30</v>
      </c>
      <c r="F2380" t="s">
        <v>246</v>
      </c>
      <c r="G2380" t="s">
        <v>32</v>
      </c>
      <c r="H2380" t="s">
        <v>33</v>
      </c>
      <c r="I2380" s="1" t="s">
        <v>2357</v>
      </c>
      <c r="S2380" s="15">
        <v>1</v>
      </c>
    </row>
    <row r="2381" spans="1:25" ht="90" x14ac:dyDescent="0.25">
      <c r="A2381" t="s">
        <v>26</v>
      </c>
      <c r="B2381" t="s">
        <v>2328</v>
      </c>
      <c r="C2381" t="s">
        <v>106</v>
      </c>
      <c r="D2381" t="s">
        <v>1958</v>
      </c>
      <c r="E2381" t="s">
        <v>79</v>
      </c>
      <c r="F2381" t="s">
        <v>186</v>
      </c>
      <c r="G2381" t="s">
        <v>69</v>
      </c>
      <c r="H2381" t="s">
        <v>87</v>
      </c>
      <c r="I2381" s="1" t="s">
        <v>2363</v>
      </c>
      <c r="T2381" s="15">
        <v>1</v>
      </c>
    </row>
    <row r="2382" spans="1:25" ht="105" x14ac:dyDescent="0.25">
      <c r="A2382" t="s">
        <v>26</v>
      </c>
      <c r="B2382" t="s">
        <v>2328</v>
      </c>
      <c r="C2382" t="s">
        <v>235</v>
      </c>
      <c r="D2382" t="s">
        <v>537</v>
      </c>
      <c r="E2382" t="s">
        <v>30</v>
      </c>
      <c r="F2382" t="s">
        <v>186</v>
      </c>
      <c r="G2382" t="s">
        <v>81</v>
      </c>
      <c r="H2382" t="s">
        <v>87</v>
      </c>
      <c r="I2382" s="1" t="s">
        <v>2369</v>
      </c>
      <c r="T2382" s="15">
        <v>1</v>
      </c>
    </row>
    <row r="2383" spans="1:25" ht="75" x14ac:dyDescent="0.25">
      <c r="A2383" t="s">
        <v>26</v>
      </c>
      <c r="B2383" t="s">
        <v>2328</v>
      </c>
      <c r="C2383" t="s">
        <v>96</v>
      </c>
      <c r="D2383" t="s">
        <v>176</v>
      </c>
      <c r="E2383" t="s">
        <v>30</v>
      </c>
      <c r="F2383" t="s">
        <v>126</v>
      </c>
      <c r="G2383" t="s">
        <v>69</v>
      </c>
      <c r="H2383" t="s">
        <v>87</v>
      </c>
      <c r="I2383" s="1" t="s">
        <v>2367</v>
      </c>
      <c r="N2383" s="15">
        <v>1</v>
      </c>
      <c r="V2383" s="15">
        <v>1</v>
      </c>
    </row>
    <row r="2384" spans="1:25" ht="30" x14ac:dyDescent="0.25">
      <c r="A2384" t="s">
        <v>26</v>
      </c>
      <c r="B2384" t="s">
        <v>2328</v>
      </c>
      <c r="C2384" t="s">
        <v>28</v>
      </c>
      <c r="D2384" t="s">
        <v>153</v>
      </c>
      <c r="E2384" t="s">
        <v>30</v>
      </c>
      <c r="F2384" t="s">
        <v>112</v>
      </c>
      <c r="G2384" t="s">
        <v>32</v>
      </c>
      <c r="H2384" t="s">
        <v>33</v>
      </c>
      <c r="I2384" s="1" t="s">
        <v>2365</v>
      </c>
      <c r="S2384" s="15">
        <v>1</v>
      </c>
    </row>
    <row r="2385" spans="1:25" ht="90" x14ac:dyDescent="0.25">
      <c r="A2385" t="s">
        <v>26</v>
      </c>
      <c r="B2385" t="s">
        <v>2328</v>
      </c>
      <c r="C2385" t="s">
        <v>96</v>
      </c>
      <c r="D2385" t="s">
        <v>676</v>
      </c>
      <c r="E2385" t="s">
        <v>30</v>
      </c>
      <c r="F2385" t="s">
        <v>543</v>
      </c>
      <c r="G2385" t="s">
        <v>81</v>
      </c>
      <c r="H2385" t="s">
        <v>173</v>
      </c>
      <c r="I2385" s="1" t="s">
        <v>2371</v>
      </c>
      <c r="T2385" s="15">
        <v>1</v>
      </c>
    </row>
    <row r="2386" spans="1:25" ht="105" x14ac:dyDescent="0.25">
      <c r="A2386" t="s">
        <v>26</v>
      </c>
      <c r="B2386" t="s">
        <v>2328</v>
      </c>
      <c r="C2386" t="s">
        <v>50</v>
      </c>
      <c r="D2386" t="s">
        <v>2377</v>
      </c>
      <c r="E2386" t="s">
        <v>30</v>
      </c>
      <c r="F2386" t="s">
        <v>1014</v>
      </c>
      <c r="G2386" t="s">
        <v>81</v>
      </c>
      <c r="H2386" t="s">
        <v>173</v>
      </c>
      <c r="I2386" s="1" t="s">
        <v>2378</v>
      </c>
      <c r="T2386" s="15">
        <v>1</v>
      </c>
    </row>
    <row r="2387" spans="1:25" ht="30" x14ac:dyDescent="0.25">
      <c r="A2387" t="s">
        <v>26</v>
      </c>
      <c r="B2387" t="s">
        <v>2328</v>
      </c>
      <c r="C2387" t="s">
        <v>69</v>
      </c>
      <c r="D2387" t="s">
        <v>819</v>
      </c>
      <c r="E2387" t="s">
        <v>30</v>
      </c>
      <c r="F2387" t="s">
        <v>446</v>
      </c>
      <c r="G2387" t="s">
        <v>32</v>
      </c>
      <c r="H2387" t="s">
        <v>33</v>
      </c>
      <c r="I2387" s="1" t="s">
        <v>2376</v>
      </c>
      <c r="S2387" s="15">
        <v>1</v>
      </c>
    </row>
    <row r="2388" spans="1:25" ht="75" x14ac:dyDescent="0.25">
      <c r="A2388" t="s">
        <v>26</v>
      </c>
      <c r="B2388" t="s">
        <v>2328</v>
      </c>
      <c r="C2388" t="s">
        <v>28</v>
      </c>
      <c r="D2388" t="s">
        <v>571</v>
      </c>
      <c r="E2388" t="s">
        <v>30</v>
      </c>
      <c r="F2388" t="s">
        <v>365</v>
      </c>
      <c r="G2388" t="s">
        <v>69</v>
      </c>
      <c r="H2388" t="s">
        <v>87</v>
      </c>
      <c r="I2388" s="1" t="s">
        <v>2374</v>
      </c>
      <c r="T2388" s="15">
        <v>1</v>
      </c>
    </row>
    <row r="2389" spans="1:25" ht="60" x14ac:dyDescent="0.25">
      <c r="A2389" t="s">
        <v>26</v>
      </c>
      <c r="B2389" t="s">
        <v>2328</v>
      </c>
      <c r="C2389" t="s">
        <v>38</v>
      </c>
      <c r="D2389" t="s">
        <v>2380</v>
      </c>
      <c r="E2389" t="s">
        <v>30</v>
      </c>
      <c r="F2389" t="s">
        <v>520</v>
      </c>
      <c r="G2389" t="s">
        <v>32</v>
      </c>
      <c r="H2389" t="s">
        <v>33</v>
      </c>
      <c r="I2389" s="1" t="s">
        <v>2381</v>
      </c>
      <c r="S2389" s="15">
        <v>1</v>
      </c>
      <c r="W2389" s="15">
        <v>1</v>
      </c>
    </row>
    <row r="2390" spans="1:25" ht="60" x14ac:dyDescent="0.25">
      <c r="A2390" t="s">
        <v>26</v>
      </c>
      <c r="B2390" t="s">
        <v>2328</v>
      </c>
      <c r="C2390" t="s">
        <v>180</v>
      </c>
      <c r="D2390" t="s">
        <v>723</v>
      </c>
      <c r="E2390" t="s">
        <v>30</v>
      </c>
      <c r="F2390" t="s">
        <v>112</v>
      </c>
      <c r="G2390" t="s">
        <v>32</v>
      </c>
      <c r="H2390" t="s">
        <v>33</v>
      </c>
      <c r="I2390" s="1" t="s">
        <v>2387</v>
      </c>
      <c r="S2390" s="15">
        <v>1</v>
      </c>
      <c r="W2390" s="15">
        <v>1</v>
      </c>
    </row>
    <row r="2391" spans="1:25" ht="75" x14ac:dyDescent="0.25">
      <c r="A2391" t="s">
        <v>26</v>
      </c>
      <c r="B2391" t="s">
        <v>2328</v>
      </c>
      <c r="C2391" t="s">
        <v>28</v>
      </c>
      <c r="D2391" t="s">
        <v>946</v>
      </c>
      <c r="E2391" t="s">
        <v>30</v>
      </c>
      <c r="F2391" t="s">
        <v>98</v>
      </c>
      <c r="G2391" t="s">
        <v>32</v>
      </c>
      <c r="H2391" t="s">
        <v>87</v>
      </c>
      <c r="I2391" s="1" t="s">
        <v>2385</v>
      </c>
      <c r="W2391" s="15">
        <v>1</v>
      </c>
    </row>
    <row r="2392" spans="1:25" ht="105" x14ac:dyDescent="0.25">
      <c r="A2392" t="s">
        <v>26</v>
      </c>
      <c r="B2392" t="s">
        <v>2328</v>
      </c>
      <c r="C2392" t="s">
        <v>55</v>
      </c>
      <c r="D2392" t="s">
        <v>965</v>
      </c>
      <c r="E2392" t="s">
        <v>30</v>
      </c>
      <c r="F2392" t="s">
        <v>166</v>
      </c>
      <c r="G2392" t="s">
        <v>81</v>
      </c>
      <c r="H2392" t="s">
        <v>173</v>
      </c>
      <c r="I2392" s="1" t="s">
        <v>2383</v>
      </c>
      <c r="P2392" s="15">
        <v>1</v>
      </c>
      <c r="T2392" s="15">
        <v>1</v>
      </c>
    </row>
    <row r="2393" spans="1:25" ht="105" x14ac:dyDescent="0.25">
      <c r="A2393" t="s">
        <v>26</v>
      </c>
      <c r="B2393" t="s">
        <v>2328</v>
      </c>
      <c r="C2393" t="s">
        <v>235</v>
      </c>
      <c r="D2393" t="s">
        <v>1256</v>
      </c>
      <c r="E2393" t="s">
        <v>30</v>
      </c>
      <c r="F2393" t="s">
        <v>140</v>
      </c>
      <c r="G2393" t="s">
        <v>32</v>
      </c>
      <c r="H2393" t="s">
        <v>33</v>
      </c>
      <c r="I2393" s="1" t="s">
        <v>3886</v>
      </c>
      <c r="S2393" s="15">
        <v>1</v>
      </c>
      <c r="W2393" s="15">
        <v>1</v>
      </c>
    </row>
    <row r="2394" spans="1:25" ht="45" x14ac:dyDescent="0.25">
      <c r="A2394" t="s">
        <v>26</v>
      </c>
      <c r="B2394" t="s">
        <v>2328</v>
      </c>
      <c r="C2394" t="s">
        <v>85</v>
      </c>
      <c r="D2394" t="s">
        <v>2126</v>
      </c>
      <c r="E2394" t="s">
        <v>79</v>
      </c>
      <c r="F2394" t="s">
        <v>136</v>
      </c>
      <c r="G2394" t="s">
        <v>81</v>
      </c>
      <c r="H2394" t="s">
        <v>33</v>
      </c>
      <c r="I2394" s="1" t="s">
        <v>3887</v>
      </c>
      <c r="S2394" s="15">
        <v>1</v>
      </c>
    </row>
    <row r="2395" spans="1:25" ht="60" x14ac:dyDescent="0.25">
      <c r="A2395" t="s">
        <v>26</v>
      </c>
      <c r="B2395" t="s">
        <v>2328</v>
      </c>
      <c r="C2395" t="s">
        <v>55</v>
      </c>
      <c r="D2395" t="s">
        <v>2393</v>
      </c>
      <c r="E2395" t="s">
        <v>30</v>
      </c>
      <c r="F2395" t="s">
        <v>61</v>
      </c>
      <c r="G2395" t="s">
        <v>32</v>
      </c>
      <c r="H2395" t="s">
        <v>33</v>
      </c>
      <c r="I2395" s="1" t="s">
        <v>2394</v>
      </c>
      <c r="W2395" s="15">
        <v>1</v>
      </c>
    </row>
    <row r="2396" spans="1:25" ht="105" x14ac:dyDescent="0.25">
      <c r="A2396" t="s">
        <v>26</v>
      </c>
      <c r="B2396" t="s">
        <v>2328</v>
      </c>
      <c r="C2396" t="s">
        <v>55</v>
      </c>
      <c r="D2396" t="s">
        <v>2390</v>
      </c>
      <c r="E2396" t="s">
        <v>30</v>
      </c>
      <c r="F2396" t="s">
        <v>154</v>
      </c>
      <c r="G2396" t="s">
        <v>69</v>
      </c>
      <c r="H2396" t="s">
        <v>173</v>
      </c>
      <c r="I2396" s="1" t="s">
        <v>2391</v>
      </c>
      <c r="W2396" s="15">
        <v>1</v>
      </c>
    </row>
    <row r="2397" spans="1:25" ht="75" x14ac:dyDescent="0.25">
      <c r="A2397" t="s">
        <v>26</v>
      </c>
      <c r="B2397" t="s">
        <v>2328</v>
      </c>
      <c r="C2397" t="s">
        <v>44</v>
      </c>
      <c r="D2397" t="s">
        <v>2398</v>
      </c>
      <c r="E2397" t="s">
        <v>30</v>
      </c>
      <c r="F2397" t="s">
        <v>154</v>
      </c>
      <c r="G2397" t="s">
        <v>32</v>
      </c>
      <c r="H2397" t="s">
        <v>33</v>
      </c>
      <c r="I2397" s="1" t="s">
        <v>2399</v>
      </c>
      <c r="Q2397" s="15">
        <v>1</v>
      </c>
    </row>
    <row r="2398" spans="1:25" ht="105" x14ac:dyDescent="0.25">
      <c r="A2398" t="s">
        <v>49</v>
      </c>
      <c r="B2398" t="s">
        <v>2328</v>
      </c>
      <c r="C2398" t="s">
        <v>263</v>
      </c>
      <c r="D2398" t="s">
        <v>1925</v>
      </c>
      <c r="E2398" t="s">
        <v>30</v>
      </c>
      <c r="F2398" t="s">
        <v>154</v>
      </c>
      <c r="G2398" t="s">
        <v>38</v>
      </c>
      <c r="H2398" t="s">
        <v>87</v>
      </c>
      <c r="I2398" s="1" t="s">
        <v>2405</v>
      </c>
      <c r="W2398" s="15">
        <v>1</v>
      </c>
    </row>
    <row r="2399" spans="1:25" ht="30" x14ac:dyDescent="0.25">
      <c r="A2399" t="s">
        <v>49</v>
      </c>
      <c r="B2399" t="s">
        <v>2328</v>
      </c>
      <c r="C2399" t="s">
        <v>50</v>
      </c>
      <c r="D2399" t="s">
        <v>1013</v>
      </c>
      <c r="E2399" t="s">
        <v>30</v>
      </c>
      <c r="F2399" t="s">
        <v>94</v>
      </c>
      <c r="G2399" t="s">
        <v>32</v>
      </c>
      <c r="H2399" t="s">
        <v>33</v>
      </c>
      <c r="I2399" s="1" t="s">
        <v>2403</v>
      </c>
      <c r="Q2399" s="15">
        <v>1</v>
      </c>
      <c r="S2399" s="15">
        <v>1</v>
      </c>
    </row>
    <row r="2400" spans="1:25" ht="105" x14ac:dyDescent="0.25">
      <c r="A2400" t="s">
        <v>49</v>
      </c>
      <c r="B2400" t="s">
        <v>2328</v>
      </c>
      <c r="C2400" t="s">
        <v>472</v>
      </c>
      <c r="D2400" t="s">
        <v>839</v>
      </c>
      <c r="E2400" t="s">
        <v>79</v>
      </c>
      <c r="F2400" t="s">
        <v>52</v>
      </c>
      <c r="G2400" t="s">
        <v>81</v>
      </c>
      <c r="H2400" t="s">
        <v>87</v>
      </c>
      <c r="I2400" s="1" t="s">
        <v>2401</v>
      </c>
      <c r="W2400" s="15">
        <v>1</v>
      </c>
      <c r="Y2400">
        <v>1</v>
      </c>
    </row>
    <row r="2401" spans="1:25" ht="30" x14ac:dyDescent="0.25">
      <c r="A2401" t="s">
        <v>26</v>
      </c>
      <c r="B2401" t="s">
        <v>2328</v>
      </c>
      <c r="C2401" t="s">
        <v>44</v>
      </c>
      <c r="D2401" t="s">
        <v>616</v>
      </c>
      <c r="E2401" t="s">
        <v>30</v>
      </c>
      <c r="F2401" t="s">
        <v>205</v>
      </c>
      <c r="G2401" t="s">
        <v>32</v>
      </c>
      <c r="H2401" t="s">
        <v>173</v>
      </c>
      <c r="I2401" s="1" t="s">
        <v>2407</v>
      </c>
      <c r="N2401" s="15">
        <v>1</v>
      </c>
      <c r="Q2401" s="15">
        <v>1</v>
      </c>
    </row>
    <row r="2402" spans="1:25" ht="45" x14ac:dyDescent="0.25">
      <c r="A2402" t="s">
        <v>49</v>
      </c>
      <c r="B2402" t="s">
        <v>2328</v>
      </c>
      <c r="C2402" t="s">
        <v>240</v>
      </c>
      <c r="D2402" t="s">
        <v>882</v>
      </c>
      <c r="E2402" t="s">
        <v>79</v>
      </c>
      <c r="F2402" t="s">
        <v>280</v>
      </c>
      <c r="G2402" t="s">
        <v>69</v>
      </c>
      <c r="H2402" t="s">
        <v>33</v>
      </c>
      <c r="I2402" s="1" t="s">
        <v>2414</v>
      </c>
      <c r="S2402" s="15">
        <v>1</v>
      </c>
    </row>
    <row r="2403" spans="1:25" ht="105" x14ac:dyDescent="0.25">
      <c r="A2403" t="s">
        <v>49</v>
      </c>
      <c r="B2403" t="s">
        <v>2328</v>
      </c>
      <c r="C2403" t="s">
        <v>32</v>
      </c>
      <c r="D2403" t="s">
        <v>1116</v>
      </c>
      <c r="E2403" t="s">
        <v>30</v>
      </c>
      <c r="F2403" t="s">
        <v>161</v>
      </c>
      <c r="G2403" t="s">
        <v>69</v>
      </c>
      <c r="H2403" t="s">
        <v>173</v>
      </c>
      <c r="I2403" s="1" t="s">
        <v>2412</v>
      </c>
      <c r="W2403" s="15">
        <v>1</v>
      </c>
      <c r="Y2403">
        <v>1</v>
      </c>
    </row>
    <row r="2404" spans="1:25" ht="60" x14ac:dyDescent="0.25">
      <c r="A2404" t="s">
        <v>49</v>
      </c>
      <c r="B2404" t="s">
        <v>2328</v>
      </c>
      <c r="C2404" t="s">
        <v>85</v>
      </c>
      <c r="D2404" t="s">
        <v>2409</v>
      </c>
      <c r="E2404" t="s">
        <v>79</v>
      </c>
      <c r="F2404" t="s">
        <v>136</v>
      </c>
      <c r="G2404" t="s">
        <v>32</v>
      </c>
      <c r="H2404" t="s">
        <v>33</v>
      </c>
      <c r="I2404" s="1" t="s">
        <v>2410</v>
      </c>
      <c r="S2404" s="15">
        <v>1</v>
      </c>
    </row>
    <row r="2405" spans="1:25" ht="30" x14ac:dyDescent="0.25">
      <c r="A2405" t="s">
        <v>26</v>
      </c>
      <c r="B2405" t="s">
        <v>2328</v>
      </c>
      <c r="C2405" t="s">
        <v>55</v>
      </c>
      <c r="D2405" t="s">
        <v>729</v>
      </c>
      <c r="E2405" t="s">
        <v>30</v>
      </c>
      <c r="F2405" t="s">
        <v>290</v>
      </c>
      <c r="G2405" t="s">
        <v>32</v>
      </c>
      <c r="H2405" t="s">
        <v>33</v>
      </c>
      <c r="I2405" s="1" t="s">
        <v>2416</v>
      </c>
      <c r="S2405" s="15">
        <v>1</v>
      </c>
    </row>
    <row r="2406" spans="1:25" ht="60" x14ac:dyDescent="0.25">
      <c r="A2406" t="s">
        <v>49</v>
      </c>
      <c r="B2406" t="s">
        <v>2328</v>
      </c>
      <c r="C2406" t="s">
        <v>106</v>
      </c>
      <c r="D2406" t="s">
        <v>1275</v>
      </c>
      <c r="E2406" t="s">
        <v>30</v>
      </c>
      <c r="F2406" t="s">
        <v>166</v>
      </c>
      <c r="G2406" t="s">
        <v>32</v>
      </c>
      <c r="H2406" t="s">
        <v>33</v>
      </c>
      <c r="I2406" s="1" t="s">
        <v>2422</v>
      </c>
      <c r="S2406" s="15">
        <v>1</v>
      </c>
    </row>
    <row r="2407" spans="1:25" ht="45" x14ac:dyDescent="0.25">
      <c r="A2407" t="s">
        <v>49</v>
      </c>
      <c r="B2407" t="s">
        <v>2328</v>
      </c>
      <c r="C2407" t="s">
        <v>28</v>
      </c>
      <c r="D2407" t="s">
        <v>1621</v>
      </c>
      <c r="E2407" t="s">
        <v>30</v>
      </c>
      <c r="F2407" t="s">
        <v>94</v>
      </c>
      <c r="G2407" t="s">
        <v>32</v>
      </c>
      <c r="H2407" t="s">
        <v>33</v>
      </c>
      <c r="I2407" s="1" t="s">
        <v>2420</v>
      </c>
      <c r="O2407" s="15">
        <v>1</v>
      </c>
      <c r="W2407" s="15">
        <v>1</v>
      </c>
      <c r="X2407" s="15">
        <v>1</v>
      </c>
    </row>
    <row r="2408" spans="1:25" ht="45" x14ac:dyDescent="0.25">
      <c r="A2408" t="s">
        <v>49</v>
      </c>
      <c r="B2408" t="s">
        <v>2328</v>
      </c>
      <c r="C2408" t="s">
        <v>55</v>
      </c>
      <c r="D2408" t="s">
        <v>579</v>
      </c>
      <c r="E2408" t="s">
        <v>30</v>
      </c>
      <c r="F2408" t="s">
        <v>130</v>
      </c>
      <c r="G2408" t="s">
        <v>32</v>
      </c>
      <c r="H2408" t="s">
        <v>33</v>
      </c>
      <c r="I2408" s="1" t="s">
        <v>2418</v>
      </c>
      <c r="S2408" s="15">
        <v>1</v>
      </c>
    </row>
    <row r="2409" spans="1:25" ht="30" x14ac:dyDescent="0.25">
      <c r="A2409" t="s">
        <v>26</v>
      </c>
      <c r="B2409" t="s">
        <v>2328</v>
      </c>
      <c r="C2409" t="s">
        <v>55</v>
      </c>
      <c r="D2409" t="s">
        <v>953</v>
      </c>
      <c r="E2409" t="s">
        <v>30</v>
      </c>
      <c r="F2409" t="s">
        <v>189</v>
      </c>
      <c r="G2409" t="s">
        <v>32</v>
      </c>
      <c r="H2409" t="s">
        <v>33</v>
      </c>
      <c r="I2409" s="1" t="s">
        <v>2424</v>
      </c>
      <c r="S2409" s="15">
        <v>1</v>
      </c>
    </row>
    <row r="2410" spans="1:25" ht="30" x14ac:dyDescent="0.25">
      <c r="A2410" t="s">
        <v>49</v>
      </c>
      <c r="B2410" t="s">
        <v>2328</v>
      </c>
      <c r="C2410" t="s">
        <v>44</v>
      </c>
      <c r="D2410" t="s">
        <v>514</v>
      </c>
      <c r="E2410" t="s">
        <v>30</v>
      </c>
      <c r="F2410" t="s">
        <v>119</v>
      </c>
      <c r="G2410" t="s">
        <v>32</v>
      </c>
      <c r="H2410" t="s">
        <v>173</v>
      </c>
      <c r="I2410" s="1" t="s">
        <v>2430</v>
      </c>
      <c r="Q2410" s="15">
        <v>1</v>
      </c>
      <c r="V2410" s="15">
        <v>1</v>
      </c>
    </row>
    <row r="2411" spans="1:25" ht="30" x14ac:dyDescent="0.25">
      <c r="A2411" t="s">
        <v>37</v>
      </c>
      <c r="B2411" t="s">
        <v>2328</v>
      </c>
      <c r="C2411" t="s">
        <v>472</v>
      </c>
      <c r="D2411" t="s">
        <v>2427</v>
      </c>
      <c r="E2411" t="s">
        <v>30</v>
      </c>
      <c r="F2411" t="s">
        <v>166</v>
      </c>
      <c r="G2411" t="s">
        <v>32</v>
      </c>
      <c r="H2411" t="s">
        <v>33</v>
      </c>
      <c r="I2411" s="1" t="s">
        <v>2428</v>
      </c>
      <c r="W2411" s="15">
        <v>1</v>
      </c>
      <c r="X2411" s="15">
        <v>1</v>
      </c>
    </row>
    <row r="2412" spans="1:25" ht="60" x14ac:dyDescent="0.25">
      <c r="A2412" t="s">
        <v>91</v>
      </c>
      <c r="B2412" t="s">
        <v>2328</v>
      </c>
      <c r="C2412" t="s">
        <v>50</v>
      </c>
      <c r="D2412" t="s">
        <v>569</v>
      </c>
      <c r="E2412" t="s">
        <v>30</v>
      </c>
      <c r="F2412" t="s">
        <v>94</v>
      </c>
      <c r="G2412" t="s">
        <v>32</v>
      </c>
      <c r="H2412" t="s">
        <v>33</v>
      </c>
      <c r="I2412" s="1" t="s">
        <v>2425</v>
      </c>
      <c r="S2412" s="15">
        <v>1</v>
      </c>
    </row>
    <row r="2413" spans="1:25" ht="60" x14ac:dyDescent="0.25">
      <c r="A2413" t="s">
        <v>49</v>
      </c>
      <c r="B2413" t="s">
        <v>2328</v>
      </c>
      <c r="C2413" t="s">
        <v>106</v>
      </c>
      <c r="D2413" t="s">
        <v>2432</v>
      </c>
      <c r="E2413" t="s">
        <v>30</v>
      </c>
      <c r="F2413" t="s">
        <v>154</v>
      </c>
      <c r="G2413" t="s">
        <v>69</v>
      </c>
      <c r="H2413" t="s">
        <v>173</v>
      </c>
      <c r="I2413" s="1" t="s">
        <v>2433</v>
      </c>
      <c r="W2413" s="15">
        <v>1</v>
      </c>
    </row>
    <row r="2414" spans="1:25" ht="120" x14ac:dyDescent="0.25">
      <c r="A2414" t="s">
        <v>91</v>
      </c>
      <c r="B2414" t="s">
        <v>2328</v>
      </c>
      <c r="C2414" t="s">
        <v>263</v>
      </c>
      <c r="D2414" t="s">
        <v>1280</v>
      </c>
      <c r="E2414" t="s">
        <v>30</v>
      </c>
      <c r="F2414" t="s">
        <v>154</v>
      </c>
      <c r="G2414" t="s">
        <v>32</v>
      </c>
      <c r="H2414" t="s">
        <v>173</v>
      </c>
      <c r="I2414" s="1" t="s">
        <v>2439</v>
      </c>
      <c r="T2414" s="15">
        <v>1</v>
      </c>
      <c r="W2414" s="15">
        <v>1</v>
      </c>
    </row>
    <row r="2415" spans="1:25" ht="60" x14ac:dyDescent="0.25">
      <c r="A2415" t="s">
        <v>37</v>
      </c>
      <c r="B2415" t="s">
        <v>2328</v>
      </c>
      <c r="C2415" t="s">
        <v>85</v>
      </c>
      <c r="D2415" t="s">
        <v>86</v>
      </c>
      <c r="E2415" t="s">
        <v>30</v>
      </c>
      <c r="F2415" t="s">
        <v>126</v>
      </c>
      <c r="G2415" t="s">
        <v>69</v>
      </c>
      <c r="H2415" t="s">
        <v>87</v>
      </c>
      <c r="I2415" s="1" t="s">
        <v>2437</v>
      </c>
      <c r="Y2415">
        <v>1</v>
      </c>
    </row>
    <row r="2416" spans="1:25" ht="60" x14ac:dyDescent="0.25">
      <c r="A2416" t="s">
        <v>59</v>
      </c>
      <c r="B2416" t="s">
        <v>2328</v>
      </c>
      <c r="C2416" t="s">
        <v>263</v>
      </c>
      <c r="D2416" t="s">
        <v>1280</v>
      </c>
      <c r="E2416" t="s">
        <v>30</v>
      </c>
      <c r="F2416" t="s">
        <v>61</v>
      </c>
      <c r="G2416" t="s">
        <v>32</v>
      </c>
      <c r="H2416" t="s">
        <v>87</v>
      </c>
      <c r="I2416" s="1" t="s">
        <v>2435</v>
      </c>
      <c r="Q2416" s="15">
        <v>1</v>
      </c>
      <c r="V2416" s="15">
        <v>1</v>
      </c>
    </row>
    <row r="2417" spans="1:25" ht="105" x14ac:dyDescent="0.25">
      <c r="A2417" t="s">
        <v>49</v>
      </c>
      <c r="B2417" t="s">
        <v>2328</v>
      </c>
      <c r="C2417" t="s">
        <v>96</v>
      </c>
      <c r="D2417" t="s">
        <v>176</v>
      </c>
      <c r="E2417" t="s">
        <v>79</v>
      </c>
      <c r="F2417" t="s">
        <v>52</v>
      </c>
      <c r="G2417" t="s">
        <v>32</v>
      </c>
      <c r="H2417" t="s">
        <v>33</v>
      </c>
      <c r="I2417" s="1" t="s">
        <v>2441</v>
      </c>
      <c r="S2417" s="15">
        <v>1</v>
      </c>
    </row>
    <row r="2418" spans="1:25" ht="105" x14ac:dyDescent="0.25">
      <c r="A2418" t="s">
        <v>91</v>
      </c>
      <c r="B2418" t="s">
        <v>2328</v>
      </c>
      <c r="C2418" t="s">
        <v>50</v>
      </c>
      <c r="D2418" t="s">
        <v>1013</v>
      </c>
      <c r="E2418" t="s">
        <v>79</v>
      </c>
      <c r="F2418" t="s">
        <v>112</v>
      </c>
      <c r="G2418" t="s">
        <v>32</v>
      </c>
      <c r="H2418" t="s">
        <v>33</v>
      </c>
      <c r="I2418" s="1" t="s">
        <v>2446</v>
      </c>
      <c r="S2418" s="15">
        <v>1</v>
      </c>
      <c r="X2418" s="15">
        <v>1</v>
      </c>
    </row>
    <row r="2419" spans="1:25" x14ac:dyDescent="0.25">
      <c r="A2419" t="s">
        <v>37</v>
      </c>
      <c r="B2419" t="s">
        <v>2328</v>
      </c>
      <c r="C2419" t="s">
        <v>85</v>
      </c>
      <c r="D2419" t="s">
        <v>510</v>
      </c>
      <c r="E2419" t="s">
        <v>30</v>
      </c>
      <c r="F2419" t="s">
        <v>246</v>
      </c>
      <c r="G2419" t="s">
        <v>69</v>
      </c>
      <c r="H2419" t="s">
        <v>33</v>
      </c>
      <c r="I2419" s="1" t="s">
        <v>2444</v>
      </c>
      <c r="X2419" s="15">
        <v>1</v>
      </c>
    </row>
    <row r="2420" spans="1:25" ht="75" x14ac:dyDescent="0.25">
      <c r="A2420" t="s">
        <v>59</v>
      </c>
      <c r="B2420" t="s">
        <v>2328</v>
      </c>
      <c r="C2420" t="s">
        <v>249</v>
      </c>
      <c r="D2420" t="s">
        <v>639</v>
      </c>
      <c r="E2420" t="s">
        <v>30</v>
      </c>
      <c r="F2420" t="s">
        <v>98</v>
      </c>
      <c r="G2420" t="s">
        <v>32</v>
      </c>
      <c r="H2420" t="s">
        <v>173</v>
      </c>
      <c r="I2420" s="1" t="s">
        <v>2442</v>
      </c>
      <c r="Q2420" s="15">
        <v>1</v>
      </c>
    </row>
    <row r="2421" spans="1:25" ht="30" x14ac:dyDescent="0.25">
      <c r="A2421" t="s">
        <v>49</v>
      </c>
      <c r="B2421" t="s">
        <v>2328</v>
      </c>
      <c r="C2421" t="s">
        <v>38</v>
      </c>
      <c r="D2421" t="s">
        <v>39</v>
      </c>
      <c r="E2421" t="s">
        <v>30</v>
      </c>
      <c r="F2421" t="s">
        <v>61</v>
      </c>
      <c r="G2421" t="s">
        <v>32</v>
      </c>
      <c r="H2421" t="s">
        <v>33</v>
      </c>
      <c r="I2421" s="1" t="s">
        <v>2448</v>
      </c>
      <c r="O2421" s="15">
        <v>1</v>
      </c>
      <c r="W2421" s="15">
        <v>1</v>
      </c>
    </row>
    <row r="2422" spans="1:25" ht="105" x14ac:dyDescent="0.25">
      <c r="A2422" t="s">
        <v>37</v>
      </c>
      <c r="B2422" t="s">
        <v>2328</v>
      </c>
      <c r="C2422" t="s">
        <v>73</v>
      </c>
      <c r="D2422" t="s">
        <v>653</v>
      </c>
      <c r="E2422" t="s">
        <v>30</v>
      </c>
      <c r="F2422" t="s">
        <v>602</v>
      </c>
      <c r="G2422" t="s">
        <v>32</v>
      </c>
      <c r="H2422" t="s">
        <v>33</v>
      </c>
      <c r="I2422" s="1" t="s">
        <v>2456</v>
      </c>
      <c r="S2422" s="15">
        <v>1</v>
      </c>
    </row>
    <row r="2423" spans="1:25" ht="75" x14ac:dyDescent="0.25">
      <c r="A2423" t="s">
        <v>37</v>
      </c>
      <c r="B2423" t="s">
        <v>2328</v>
      </c>
      <c r="C2423" t="s">
        <v>28</v>
      </c>
      <c r="D2423" t="s">
        <v>2453</v>
      </c>
      <c r="E2423" t="s">
        <v>30</v>
      </c>
      <c r="F2423" t="s">
        <v>98</v>
      </c>
      <c r="G2423" t="s">
        <v>69</v>
      </c>
      <c r="H2423" t="s">
        <v>173</v>
      </c>
      <c r="I2423" s="1" t="s">
        <v>2454</v>
      </c>
      <c r="W2423" s="15">
        <v>1</v>
      </c>
    </row>
    <row r="2424" spans="1:25" ht="45" x14ac:dyDescent="0.25">
      <c r="A2424" t="s">
        <v>37</v>
      </c>
      <c r="B2424" t="s">
        <v>2328</v>
      </c>
      <c r="C2424" t="s">
        <v>249</v>
      </c>
      <c r="D2424" t="s">
        <v>2450</v>
      </c>
      <c r="E2424" t="s">
        <v>30</v>
      </c>
      <c r="F2424" t="s">
        <v>166</v>
      </c>
      <c r="G2424" t="s">
        <v>32</v>
      </c>
      <c r="H2424" t="s">
        <v>33</v>
      </c>
      <c r="I2424" s="1" t="s">
        <v>2451</v>
      </c>
      <c r="S2424" s="15">
        <v>1</v>
      </c>
    </row>
    <row r="2425" spans="1:25" ht="45" x14ac:dyDescent="0.25">
      <c r="A2425" t="s">
        <v>49</v>
      </c>
      <c r="B2425" t="s">
        <v>2328</v>
      </c>
      <c r="C2425" t="s">
        <v>50</v>
      </c>
      <c r="D2425" t="s">
        <v>1013</v>
      </c>
      <c r="E2425" t="s">
        <v>30</v>
      </c>
      <c r="F2425" t="s">
        <v>102</v>
      </c>
      <c r="G2425" t="s">
        <v>32</v>
      </c>
      <c r="H2425" t="s">
        <v>33</v>
      </c>
      <c r="I2425" s="1" t="s">
        <v>2458</v>
      </c>
      <c r="R2425" s="15">
        <v>1</v>
      </c>
      <c r="S2425" s="15">
        <v>1</v>
      </c>
      <c r="X2425" s="15">
        <v>1</v>
      </c>
    </row>
    <row r="2426" spans="1:25" ht="90" x14ac:dyDescent="0.25">
      <c r="A2426" t="s">
        <v>37</v>
      </c>
      <c r="B2426" t="s">
        <v>2328</v>
      </c>
      <c r="C2426" t="s">
        <v>235</v>
      </c>
      <c r="D2426" t="s">
        <v>1002</v>
      </c>
      <c r="E2426" t="s">
        <v>79</v>
      </c>
      <c r="F2426" t="s">
        <v>520</v>
      </c>
      <c r="G2426" t="s">
        <v>32</v>
      </c>
      <c r="H2426" t="s">
        <v>33</v>
      </c>
      <c r="I2426" s="1" t="s">
        <v>2465</v>
      </c>
      <c r="S2426" s="15">
        <v>1</v>
      </c>
    </row>
    <row r="2427" spans="1:25" x14ac:dyDescent="0.25">
      <c r="A2427" t="s">
        <v>64</v>
      </c>
      <c r="B2427" t="s">
        <v>2328</v>
      </c>
      <c r="C2427" t="s">
        <v>28</v>
      </c>
      <c r="D2427" t="s">
        <v>273</v>
      </c>
      <c r="E2427" t="s">
        <v>30</v>
      </c>
      <c r="F2427" t="s">
        <v>102</v>
      </c>
      <c r="G2427" t="s">
        <v>32</v>
      </c>
      <c r="H2427" t="s">
        <v>173</v>
      </c>
      <c r="I2427" s="1" t="s">
        <v>2463</v>
      </c>
      <c r="Q2427" s="15">
        <v>1</v>
      </c>
    </row>
    <row r="2428" spans="1:25" ht="105" x14ac:dyDescent="0.25">
      <c r="A2428" t="s">
        <v>37</v>
      </c>
      <c r="B2428" t="s">
        <v>2328</v>
      </c>
      <c r="C2428" t="s">
        <v>249</v>
      </c>
      <c r="D2428" t="s">
        <v>1317</v>
      </c>
      <c r="E2428" t="s">
        <v>30</v>
      </c>
      <c r="F2428" t="s">
        <v>94</v>
      </c>
      <c r="G2428" t="s">
        <v>32</v>
      </c>
      <c r="H2428" t="s">
        <v>33</v>
      </c>
      <c r="I2428" s="1" t="s">
        <v>2461</v>
      </c>
      <c r="Y2428">
        <v>1</v>
      </c>
    </row>
    <row r="2429" spans="1:25" ht="105" x14ac:dyDescent="0.25">
      <c r="A2429" t="s">
        <v>91</v>
      </c>
      <c r="B2429" t="s">
        <v>2328</v>
      </c>
      <c r="C2429" t="s">
        <v>106</v>
      </c>
      <c r="D2429" t="s">
        <v>107</v>
      </c>
      <c r="E2429" t="s">
        <v>79</v>
      </c>
      <c r="F2429" t="s">
        <v>223</v>
      </c>
      <c r="G2429" t="s">
        <v>81</v>
      </c>
      <c r="H2429" t="s">
        <v>173</v>
      </c>
      <c r="I2429" s="1" t="s">
        <v>2467</v>
      </c>
      <c r="T2429" s="15">
        <v>1</v>
      </c>
    </row>
    <row r="2430" spans="1:25" x14ac:dyDescent="0.25">
      <c r="A2430" t="s">
        <v>64</v>
      </c>
      <c r="B2430" t="s">
        <v>2328</v>
      </c>
      <c r="C2430" t="s">
        <v>106</v>
      </c>
      <c r="D2430" t="s">
        <v>1076</v>
      </c>
      <c r="E2430" t="s">
        <v>79</v>
      </c>
      <c r="F2430" t="s">
        <v>140</v>
      </c>
      <c r="G2430" t="s">
        <v>32</v>
      </c>
      <c r="H2430" t="s">
        <v>33</v>
      </c>
      <c r="I2430" s="1" t="s">
        <v>2473</v>
      </c>
      <c r="S2430" s="15">
        <v>1</v>
      </c>
    </row>
    <row r="2431" spans="1:25" ht="45" x14ac:dyDescent="0.25">
      <c r="A2431" t="s">
        <v>59</v>
      </c>
      <c r="B2431" t="s">
        <v>2328</v>
      </c>
      <c r="C2431" t="s">
        <v>69</v>
      </c>
      <c r="D2431" t="s">
        <v>283</v>
      </c>
      <c r="E2431" t="s">
        <v>79</v>
      </c>
      <c r="F2431" t="s">
        <v>130</v>
      </c>
      <c r="G2431" t="s">
        <v>32</v>
      </c>
      <c r="H2431" t="s">
        <v>33</v>
      </c>
      <c r="I2431" s="1" t="s">
        <v>2471</v>
      </c>
      <c r="S2431" s="15">
        <v>1</v>
      </c>
    </row>
    <row r="2432" spans="1:25" ht="120" x14ac:dyDescent="0.25">
      <c r="A2432" t="s">
        <v>37</v>
      </c>
      <c r="B2432" t="s">
        <v>2328</v>
      </c>
      <c r="C2432" t="s">
        <v>249</v>
      </c>
      <c r="D2432" t="s">
        <v>420</v>
      </c>
      <c r="E2432" t="s">
        <v>30</v>
      </c>
      <c r="F2432" t="s">
        <v>307</v>
      </c>
      <c r="G2432" t="s">
        <v>32</v>
      </c>
      <c r="H2432" t="s">
        <v>33</v>
      </c>
      <c r="I2432" s="1" t="s">
        <v>2469</v>
      </c>
      <c r="S2432" s="15">
        <v>1</v>
      </c>
      <c r="W2432" s="15">
        <v>1</v>
      </c>
    </row>
    <row r="2433" spans="1:25" ht="60" x14ac:dyDescent="0.25">
      <c r="A2433" t="s">
        <v>37</v>
      </c>
      <c r="B2433" t="s">
        <v>2328</v>
      </c>
      <c r="C2433" t="s">
        <v>50</v>
      </c>
      <c r="D2433" t="s">
        <v>226</v>
      </c>
      <c r="E2433" t="s">
        <v>30</v>
      </c>
      <c r="F2433" t="s">
        <v>1926</v>
      </c>
      <c r="G2433" t="s">
        <v>69</v>
      </c>
      <c r="H2433" t="s">
        <v>33</v>
      </c>
      <c r="I2433" s="1" t="s">
        <v>3888</v>
      </c>
      <c r="S2433" s="15">
        <v>1</v>
      </c>
    </row>
    <row r="2434" spans="1:25" ht="105" x14ac:dyDescent="0.25">
      <c r="A2434" t="s">
        <v>64</v>
      </c>
      <c r="B2434" t="s">
        <v>2328</v>
      </c>
      <c r="C2434" t="s">
        <v>96</v>
      </c>
      <c r="D2434" t="s">
        <v>1898</v>
      </c>
      <c r="E2434" t="s">
        <v>79</v>
      </c>
      <c r="F2434" t="s">
        <v>112</v>
      </c>
      <c r="G2434" t="s">
        <v>69</v>
      </c>
      <c r="H2434" t="s">
        <v>87</v>
      </c>
      <c r="I2434" s="1" t="s">
        <v>2481</v>
      </c>
      <c r="N2434" s="15">
        <v>1</v>
      </c>
      <c r="Q2434" s="15">
        <v>1</v>
      </c>
    </row>
    <row r="2435" spans="1:25" ht="60" x14ac:dyDescent="0.25">
      <c r="A2435" t="s">
        <v>37</v>
      </c>
      <c r="B2435" t="s">
        <v>2328</v>
      </c>
      <c r="C2435" t="s">
        <v>69</v>
      </c>
      <c r="D2435" t="s">
        <v>283</v>
      </c>
      <c r="E2435" t="s">
        <v>30</v>
      </c>
      <c r="F2435" t="s">
        <v>290</v>
      </c>
      <c r="G2435" t="s">
        <v>32</v>
      </c>
      <c r="H2435" t="s">
        <v>33</v>
      </c>
      <c r="I2435" s="1" t="s">
        <v>2479</v>
      </c>
      <c r="S2435" s="15">
        <v>1</v>
      </c>
    </row>
    <row r="2436" spans="1:25" ht="30" x14ac:dyDescent="0.25">
      <c r="A2436" t="s">
        <v>37</v>
      </c>
      <c r="B2436" t="s">
        <v>2328</v>
      </c>
      <c r="C2436" t="s">
        <v>73</v>
      </c>
      <c r="D2436" t="s">
        <v>253</v>
      </c>
      <c r="E2436" t="s">
        <v>30</v>
      </c>
      <c r="F2436" t="s">
        <v>189</v>
      </c>
      <c r="G2436" t="s">
        <v>32</v>
      </c>
      <c r="H2436" t="s">
        <v>173</v>
      </c>
      <c r="I2436" s="1" t="s">
        <v>2477</v>
      </c>
      <c r="P2436" s="15">
        <v>1</v>
      </c>
      <c r="Q2436" s="15">
        <v>1</v>
      </c>
    </row>
    <row r="2437" spans="1:25" ht="105" x14ac:dyDescent="0.25">
      <c r="A2437" t="s">
        <v>64</v>
      </c>
      <c r="B2437" t="s">
        <v>2328</v>
      </c>
      <c r="C2437" t="s">
        <v>472</v>
      </c>
      <c r="D2437" t="s">
        <v>690</v>
      </c>
      <c r="E2437" t="s">
        <v>30</v>
      </c>
      <c r="F2437" t="s">
        <v>602</v>
      </c>
      <c r="G2437" t="s">
        <v>69</v>
      </c>
      <c r="H2437" t="s">
        <v>33</v>
      </c>
      <c r="I2437" s="1" t="s">
        <v>2486</v>
      </c>
      <c r="S2437" s="15">
        <v>1</v>
      </c>
      <c r="V2437" s="15">
        <v>1</v>
      </c>
    </row>
    <row r="2438" spans="1:25" ht="45" x14ac:dyDescent="0.25">
      <c r="A2438" t="s">
        <v>37</v>
      </c>
      <c r="B2438" t="s">
        <v>2328</v>
      </c>
      <c r="C2438" t="s">
        <v>106</v>
      </c>
      <c r="D2438" t="s">
        <v>605</v>
      </c>
      <c r="E2438" t="s">
        <v>30</v>
      </c>
      <c r="F2438" t="s">
        <v>446</v>
      </c>
      <c r="G2438" t="s">
        <v>32</v>
      </c>
      <c r="H2438" t="s">
        <v>173</v>
      </c>
      <c r="I2438" s="1" t="s">
        <v>2484</v>
      </c>
      <c r="Q2438" s="15">
        <v>1</v>
      </c>
      <c r="V2438" s="15">
        <v>1</v>
      </c>
    </row>
    <row r="2439" spans="1:25" ht="45" x14ac:dyDescent="0.25">
      <c r="A2439" t="s">
        <v>64</v>
      </c>
      <c r="B2439" t="s">
        <v>2328</v>
      </c>
      <c r="C2439" t="s">
        <v>69</v>
      </c>
      <c r="D2439" t="s">
        <v>2211</v>
      </c>
      <c r="E2439" t="s">
        <v>79</v>
      </c>
      <c r="F2439" t="s">
        <v>196</v>
      </c>
      <c r="G2439" t="s">
        <v>32</v>
      </c>
      <c r="H2439" t="s">
        <v>33</v>
      </c>
      <c r="I2439" s="1" t="s">
        <v>2490</v>
      </c>
      <c r="P2439" s="15">
        <v>1</v>
      </c>
    </row>
    <row r="2440" spans="1:25" ht="60" x14ac:dyDescent="0.25">
      <c r="A2440" t="s">
        <v>37</v>
      </c>
      <c r="B2440" t="s">
        <v>2328</v>
      </c>
      <c r="C2440" t="s">
        <v>472</v>
      </c>
      <c r="D2440" t="s">
        <v>1000</v>
      </c>
      <c r="E2440" t="s">
        <v>30</v>
      </c>
      <c r="F2440" t="s">
        <v>130</v>
      </c>
      <c r="G2440" t="s">
        <v>32</v>
      </c>
      <c r="H2440" t="s">
        <v>33</v>
      </c>
      <c r="I2440" s="1" t="s">
        <v>2488</v>
      </c>
      <c r="W2440" s="15">
        <v>1</v>
      </c>
    </row>
    <row r="2441" spans="1:25" ht="30" x14ac:dyDescent="0.25">
      <c r="A2441" t="s">
        <v>37</v>
      </c>
      <c r="B2441" t="s">
        <v>2328</v>
      </c>
      <c r="C2441" t="s">
        <v>472</v>
      </c>
      <c r="D2441" t="s">
        <v>690</v>
      </c>
      <c r="E2441" t="s">
        <v>30</v>
      </c>
      <c r="F2441" t="s">
        <v>154</v>
      </c>
      <c r="G2441" t="s">
        <v>81</v>
      </c>
      <c r="H2441" t="s">
        <v>173</v>
      </c>
      <c r="I2441" s="1" t="s">
        <v>2492</v>
      </c>
      <c r="P2441" s="15">
        <v>1</v>
      </c>
    </row>
    <row r="2442" spans="1:25" ht="90" x14ac:dyDescent="0.25">
      <c r="A2442" t="s">
        <v>37</v>
      </c>
      <c r="B2442" t="s">
        <v>2328</v>
      </c>
      <c r="C2442" t="s">
        <v>235</v>
      </c>
      <c r="D2442" t="s">
        <v>1467</v>
      </c>
      <c r="E2442" t="s">
        <v>30</v>
      </c>
      <c r="F2442" t="s">
        <v>189</v>
      </c>
      <c r="G2442" t="s">
        <v>69</v>
      </c>
      <c r="H2442" t="s">
        <v>173</v>
      </c>
      <c r="I2442" s="1" t="s">
        <v>2494</v>
      </c>
      <c r="R2442" s="15">
        <v>1</v>
      </c>
    </row>
    <row r="2443" spans="1:25" ht="60" x14ac:dyDescent="0.25">
      <c r="A2443" t="s">
        <v>37</v>
      </c>
      <c r="B2443" t="s">
        <v>2328</v>
      </c>
      <c r="C2443" t="s">
        <v>69</v>
      </c>
      <c r="D2443" t="s">
        <v>664</v>
      </c>
      <c r="E2443" t="s">
        <v>30</v>
      </c>
      <c r="F2443" t="s">
        <v>94</v>
      </c>
      <c r="G2443" t="s">
        <v>32</v>
      </c>
      <c r="H2443" t="s">
        <v>33</v>
      </c>
      <c r="I2443" s="1" t="s">
        <v>2496</v>
      </c>
      <c r="W2443" s="15">
        <v>1</v>
      </c>
      <c r="X2443" s="15">
        <v>1</v>
      </c>
    </row>
    <row r="2444" spans="1:25" ht="30" x14ac:dyDescent="0.25">
      <c r="A2444" t="s">
        <v>64</v>
      </c>
      <c r="B2444" t="s">
        <v>2328</v>
      </c>
      <c r="C2444" t="s">
        <v>96</v>
      </c>
      <c r="D2444" t="s">
        <v>201</v>
      </c>
      <c r="E2444" t="s">
        <v>30</v>
      </c>
      <c r="F2444" t="s">
        <v>246</v>
      </c>
      <c r="G2444" t="s">
        <v>32</v>
      </c>
      <c r="H2444" t="s">
        <v>33</v>
      </c>
      <c r="I2444" s="1" t="s">
        <v>2498</v>
      </c>
      <c r="O2444" s="15">
        <v>1</v>
      </c>
      <c r="S2444" s="15">
        <v>1</v>
      </c>
    </row>
    <row r="2445" spans="1:25" ht="45" x14ac:dyDescent="0.25">
      <c r="A2445" t="s">
        <v>26</v>
      </c>
      <c r="B2445" t="s">
        <v>2500</v>
      </c>
      <c r="C2445" t="s">
        <v>249</v>
      </c>
      <c r="D2445" t="s">
        <v>1700</v>
      </c>
      <c r="E2445" t="s">
        <v>30</v>
      </c>
      <c r="F2445" t="s">
        <v>1103</v>
      </c>
      <c r="G2445" t="s">
        <v>69</v>
      </c>
      <c r="H2445" t="s">
        <v>173</v>
      </c>
      <c r="I2445" s="1" t="s">
        <v>2501</v>
      </c>
      <c r="Q2445" s="15">
        <v>1</v>
      </c>
      <c r="Y2445">
        <v>1</v>
      </c>
    </row>
    <row r="2446" spans="1:25" ht="90" x14ac:dyDescent="0.25">
      <c r="A2446" t="s">
        <v>26</v>
      </c>
      <c r="B2446" t="s">
        <v>2500</v>
      </c>
      <c r="C2446" t="s">
        <v>249</v>
      </c>
      <c r="D2446" t="s">
        <v>250</v>
      </c>
      <c r="E2446" t="s">
        <v>30</v>
      </c>
      <c r="F2446" t="s">
        <v>161</v>
      </c>
      <c r="G2446" t="s">
        <v>32</v>
      </c>
      <c r="H2446" t="s">
        <v>173</v>
      </c>
      <c r="I2446" s="1" t="s">
        <v>2503</v>
      </c>
      <c r="N2446" s="15">
        <v>1</v>
      </c>
      <c r="Q2446" s="15">
        <v>1</v>
      </c>
    </row>
    <row r="2447" spans="1:25" ht="90" x14ac:dyDescent="0.25">
      <c r="A2447" t="s">
        <v>26</v>
      </c>
      <c r="B2447" t="s">
        <v>2500</v>
      </c>
      <c r="C2447" t="s">
        <v>249</v>
      </c>
      <c r="D2447" t="s">
        <v>355</v>
      </c>
      <c r="E2447" t="s">
        <v>30</v>
      </c>
      <c r="F2447" t="s">
        <v>287</v>
      </c>
      <c r="G2447" t="s">
        <v>32</v>
      </c>
      <c r="H2447" t="s">
        <v>33</v>
      </c>
      <c r="I2447" s="1" t="s">
        <v>2505</v>
      </c>
      <c r="M2447" s="15">
        <v>1</v>
      </c>
      <c r="S2447" s="15">
        <v>1</v>
      </c>
    </row>
    <row r="2448" spans="1:25" ht="120" x14ac:dyDescent="0.25">
      <c r="A2448" t="s">
        <v>26</v>
      </c>
      <c r="B2448" t="s">
        <v>2500</v>
      </c>
      <c r="C2448" t="s">
        <v>106</v>
      </c>
      <c r="D2448" t="s">
        <v>803</v>
      </c>
      <c r="E2448" t="s">
        <v>30</v>
      </c>
      <c r="F2448" t="s">
        <v>294</v>
      </c>
      <c r="G2448" t="s">
        <v>263</v>
      </c>
      <c r="H2448" t="s">
        <v>87</v>
      </c>
      <c r="I2448" s="1" t="s">
        <v>2508</v>
      </c>
      <c r="W2448" s="15">
        <v>1</v>
      </c>
    </row>
    <row r="2449" spans="1:25" ht="75" x14ac:dyDescent="0.25">
      <c r="A2449" t="s">
        <v>26</v>
      </c>
      <c r="B2449" t="s">
        <v>2500</v>
      </c>
      <c r="C2449" t="s">
        <v>106</v>
      </c>
      <c r="D2449" t="s">
        <v>150</v>
      </c>
      <c r="E2449" t="s">
        <v>79</v>
      </c>
      <c r="F2449" t="s">
        <v>161</v>
      </c>
      <c r="G2449" t="s">
        <v>32</v>
      </c>
      <c r="H2449" t="s">
        <v>33</v>
      </c>
      <c r="I2449" s="1" t="s">
        <v>3889</v>
      </c>
      <c r="S2449" s="15">
        <v>1</v>
      </c>
    </row>
    <row r="2450" spans="1:25" ht="60" x14ac:dyDescent="0.25">
      <c r="A2450" t="s">
        <v>26</v>
      </c>
      <c r="B2450" t="s">
        <v>2500</v>
      </c>
      <c r="C2450" t="s">
        <v>235</v>
      </c>
      <c r="D2450" t="s">
        <v>1026</v>
      </c>
      <c r="E2450" t="s">
        <v>30</v>
      </c>
      <c r="F2450" t="s">
        <v>287</v>
      </c>
      <c r="G2450" t="s">
        <v>32</v>
      </c>
      <c r="H2450" t="s">
        <v>33</v>
      </c>
      <c r="I2450" s="1" t="s">
        <v>2512</v>
      </c>
      <c r="S2450" s="15">
        <v>1</v>
      </c>
      <c r="T2450" s="15">
        <v>1</v>
      </c>
    </row>
    <row r="2451" spans="1:25" x14ac:dyDescent="0.25">
      <c r="A2451" t="s">
        <v>26</v>
      </c>
      <c r="B2451" t="s">
        <v>2500</v>
      </c>
      <c r="C2451" t="s">
        <v>240</v>
      </c>
      <c r="D2451" t="s">
        <v>882</v>
      </c>
      <c r="E2451" t="s">
        <v>30</v>
      </c>
      <c r="F2451" t="s">
        <v>186</v>
      </c>
      <c r="G2451" t="s">
        <v>32</v>
      </c>
      <c r="H2451" t="s">
        <v>33</v>
      </c>
      <c r="I2451" s="1" t="s">
        <v>2514</v>
      </c>
      <c r="S2451" s="15">
        <v>1</v>
      </c>
    </row>
    <row r="2452" spans="1:25" ht="105" x14ac:dyDescent="0.25">
      <c r="A2452" t="s">
        <v>49</v>
      </c>
      <c r="B2452" t="s">
        <v>2500</v>
      </c>
      <c r="C2452" t="s">
        <v>472</v>
      </c>
      <c r="D2452" t="s">
        <v>839</v>
      </c>
      <c r="E2452" t="s">
        <v>30</v>
      </c>
      <c r="F2452" t="s">
        <v>40</v>
      </c>
      <c r="G2452" t="s">
        <v>69</v>
      </c>
      <c r="H2452" t="s">
        <v>87</v>
      </c>
      <c r="I2452" s="1" t="s">
        <v>2516</v>
      </c>
      <c r="Y2452">
        <v>1</v>
      </c>
    </row>
    <row r="2453" spans="1:25" ht="75" x14ac:dyDescent="0.25">
      <c r="A2453" t="s">
        <v>26</v>
      </c>
      <c r="B2453" t="s">
        <v>2500</v>
      </c>
      <c r="C2453" t="s">
        <v>235</v>
      </c>
      <c r="D2453" t="s">
        <v>1002</v>
      </c>
      <c r="E2453" t="s">
        <v>30</v>
      </c>
      <c r="F2453" t="s">
        <v>246</v>
      </c>
      <c r="G2453" t="s">
        <v>32</v>
      </c>
      <c r="H2453" t="s">
        <v>173</v>
      </c>
      <c r="I2453" s="1" t="s">
        <v>2517</v>
      </c>
      <c r="Q2453" s="15">
        <v>1</v>
      </c>
      <c r="V2453" s="15">
        <v>1</v>
      </c>
    </row>
    <row r="2454" spans="1:25" ht="30" x14ac:dyDescent="0.25">
      <c r="A2454" t="s">
        <v>26</v>
      </c>
      <c r="B2454" t="s">
        <v>2500</v>
      </c>
      <c r="C2454" t="s">
        <v>180</v>
      </c>
      <c r="D2454" t="s">
        <v>1331</v>
      </c>
      <c r="E2454" t="s">
        <v>79</v>
      </c>
      <c r="F2454" t="s">
        <v>1103</v>
      </c>
      <c r="G2454" t="s">
        <v>32</v>
      </c>
      <c r="H2454" t="s">
        <v>87</v>
      </c>
      <c r="I2454" s="1" t="s">
        <v>2519</v>
      </c>
      <c r="W2454" s="15">
        <v>1</v>
      </c>
    </row>
    <row r="2455" spans="1:25" ht="30" x14ac:dyDescent="0.25">
      <c r="A2455" t="s">
        <v>26</v>
      </c>
      <c r="B2455" t="s">
        <v>2500</v>
      </c>
      <c r="C2455" t="s">
        <v>106</v>
      </c>
      <c r="D2455" t="s">
        <v>1958</v>
      </c>
      <c r="E2455" t="s">
        <v>30</v>
      </c>
      <c r="F2455" t="s">
        <v>166</v>
      </c>
      <c r="G2455" t="s">
        <v>32</v>
      </c>
      <c r="H2455" t="s">
        <v>33</v>
      </c>
      <c r="I2455" s="1" t="s">
        <v>2520</v>
      </c>
      <c r="O2455" s="15">
        <v>1</v>
      </c>
      <c r="S2455" s="15">
        <v>1</v>
      </c>
    </row>
    <row r="2456" spans="1:25" ht="45" x14ac:dyDescent="0.25">
      <c r="A2456" t="s">
        <v>91</v>
      </c>
      <c r="B2456" t="s">
        <v>2500</v>
      </c>
      <c r="C2456" t="s">
        <v>96</v>
      </c>
      <c r="D2456" t="s">
        <v>97</v>
      </c>
      <c r="E2456" t="s">
        <v>30</v>
      </c>
      <c r="F2456" t="s">
        <v>196</v>
      </c>
      <c r="G2456" t="s">
        <v>32</v>
      </c>
      <c r="H2456" t="s">
        <v>173</v>
      </c>
      <c r="I2456" s="1" t="s">
        <v>2522</v>
      </c>
      <c r="W2456" s="15">
        <v>1</v>
      </c>
    </row>
    <row r="2457" spans="1:25" ht="105" x14ac:dyDescent="0.25">
      <c r="A2457" t="s">
        <v>26</v>
      </c>
      <c r="B2457" t="s">
        <v>2500</v>
      </c>
      <c r="C2457" t="s">
        <v>69</v>
      </c>
      <c r="D2457" t="s">
        <v>229</v>
      </c>
      <c r="E2457" t="s">
        <v>79</v>
      </c>
      <c r="F2457" t="s">
        <v>154</v>
      </c>
      <c r="G2457" t="s">
        <v>32</v>
      </c>
      <c r="H2457" t="s">
        <v>87</v>
      </c>
      <c r="I2457" s="1" t="s">
        <v>2524</v>
      </c>
      <c r="P2457" s="15">
        <v>1</v>
      </c>
      <c r="W2457" s="15">
        <v>1</v>
      </c>
    </row>
    <row r="2458" spans="1:25" ht="105" x14ac:dyDescent="0.25">
      <c r="A2458" t="s">
        <v>26</v>
      </c>
      <c r="B2458" t="s">
        <v>2500</v>
      </c>
      <c r="C2458" t="s">
        <v>28</v>
      </c>
      <c r="D2458" t="s">
        <v>1223</v>
      </c>
      <c r="E2458" t="s">
        <v>30</v>
      </c>
      <c r="F2458" t="s">
        <v>161</v>
      </c>
      <c r="G2458" t="s">
        <v>81</v>
      </c>
      <c r="H2458" t="s">
        <v>87</v>
      </c>
      <c r="I2458" s="1" t="s">
        <v>2526</v>
      </c>
      <c r="Y2458">
        <v>1</v>
      </c>
    </row>
    <row r="2459" spans="1:25" ht="105" x14ac:dyDescent="0.25">
      <c r="A2459" t="s">
        <v>26</v>
      </c>
      <c r="B2459" t="s">
        <v>2500</v>
      </c>
      <c r="C2459" t="s">
        <v>69</v>
      </c>
      <c r="D2459" t="s">
        <v>68</v>
      </c>
      <c r="E2459" t="s">
        <v>30</v>
      </c>
      <c r="F2459" t="s">
        <v>196</v>
      </c>
      <c r="G2459" t="s">
        <v>69</v>
      </c>
      <c r="H2459" t="s">
        <v>87</v>
      </c>
      <c r="I2459" s="1" t="s">
        <v>2527</v>
      </c>
      <c r="W2459" s="15">
        <v>1</v>
      </c>
    </row>
    <row r="2460" spans="1:25" ht="30" x14ac:dyDescent="0.25">
      <c r="A2460" t="s">
        <v>37</v>
      </c>
      <c r="B2460" t="s">
        <v>2500</v>
      </c>
      <c r="C2460" t="s">
        <v>235</v>
      </c>
      <c r="D2460" t="s">
        <v>1256</v>
      </c>
      <c r="E2460" t="s">
        <v>30</v>
      </c>
      <c r="F2460" t="s">
        <v>61</v>
      </c>
      <c r="G2460" t="s">
        <v>32</v>
      </c>
      <c r="H2460" t="s">
        <v>173</v>
      </c>
      <c r="I2460" s="1" t="s">
        <v>2530</v>
      </c>
      <c r="W2460" s="15">
        <v>1</v>
      </c>
    </row>
    <row r="2461" spans="1:25" ht="30" x14ac:dyDescent="0.25">
      <c r="A2461" t="s">
        <v>49</v>
      </c>
      <c r="B2461" t="s">
        <v>2500</v>
      </c>
      <c r="C2461" t="s">
        <v>73</v>
      </c>
      <c r="D2461" t="s">
        <v>1337</v>
      </c>
      <c r="E2461" t="s">
        <v>30</v>
      </c>
      <c r="F2461" t="s">
        <v>205</v>
      </c>
      <c r="G2461" t="s">
        <v>32</v>
      </c>
      <c r="H2461" t="s">
        <v>33</v>
      </c>
      <c r="I2461" s="1" t="s">
        <v>2538</v>
      </c>
      <c r="O2461" s="15">
        <v>1</v>
      </c>
      <c r="W2461" s="15">
        <v>1</v>
      </c>
    </row>
    <row r="2462" spans="1:25" ht="60" x14ac:dyDescent="0.25">
      <c r="A2462" t="s">
        <v>49</v>
      </c>
      <c r="B2462" t="s">
        <v>2500</v>
      </c>
      <c r="C2462" t="s">
        <v>106</v>
      </c>
      <c r="D2462" t="s">
        <v>2018</v>
      </c>
      <c r="E2462" t="s">
        <v>30</v>
      </c>
      <c r="F2462" t="s">
        <v>61</v>
      </c>
      <c r="G2462" t="s">
        <v>81</v>
      </c>
      <c r="H2462" t="s">
        <v>33</v>
      </c>
      <c r="I2462" s="1" t="s">
        <v>2533</v>
      </c>
      <c r="W2462" s="15">
        <v>1</v>
      </c>
    </row>
    <row r="2463" spans="1:25" ht="60" x14ac:dyDescent="0.25">
      <c r="A2463" t="s">
        <v>26</v>
      </c>
      <c r="B2463" t="s">
        <v>2500</v>
      </c>
      <c r="C2463" t="s">
        <v>28</v>
      </c>
      <c r="D2463" t="s">
        <v>1340</v>
      </c>
      <c r="E2463" t="s">
        <v>30</v>
      </c>
      <c r="F2463" t="s">
        <v>61</v>
      </c>
      <c r="G2463" t="s">
        <v>32</v>
      </c>
      <c r="H2463" t="s">
        <v>33</v>
      </c>
      <c r="I2463" s="1" t="s">
        <v>2535</v>
      </c>
      <c r="S2463" s="15">
        <v>1</v>
      </c>
    </row>
    <row r="2464" spans="1:25" ht="105" x14ac:dyDescent="0.25">
      <c r="A2464" t="s">
        <v>37</v>
      </c>
      <c r="B2464" t="s">
        <v>2500</v>
      </c>
      <c r="C2464" t="s">
        <v>55</v>
      </c>
      <c r="D2464" t="s">
        <v>965</v>
      </c>
      <c r="E2464" t="s">
        <v>30</v>
      </c>
      <c r="F2464" t="s">
        <v>246</v>
      </c>
      <c r="G2464" t="s">
        <v>81</v>
      </c>
      <c r="H2464" t="s">
        <v>87</v>
      </c>
      <c r="I2464" s="1" t="s">
        <v>2537</v>
      </c>
      <c r="Y2464">
        <v>1</v>
      </c>
    </row>
    <row r="2465" spans="1:25" ht="30" x14ac:dyDescent="0.25">
      <c r="A2465" t="s">
        <v>49</v>
      </c>
      <c r="B2465" t="s">
        <v>2500</v>
      </c>
      <c r="C2465" t="s">
        <v>106</v>
      </c>
      <c r="D2465" t="s">
        <v>779</v>
      </c>
      <c r="E2465" t="s">
        <v>30</v>
      </c>
      <c r="F2465" t="s">
        <v>166</v>
      </c>
      <c r="G2465" t="s">
        <v>32</v>
      </c>
      <c r="H2465" t="s">
        <v>173</v>
      </c>
      <c r="I2465" s="1" t="s">
        <v>2546</v>
      </c>
      <c r="O2465" s="15">
        <v>1</v>
      </c>
      <c r="S2465" s="15">
        <v>1</v>
      </c>
    </row>
    <row r="2466" spans="1:25" ht="75" x14ac:dyDescent="0.25">
      <c r="A2466" t="s">
        <v>49</v>
      </c>
      <c r="B2466" t="s">
        <v>2500</v>
      </c>
      <c r="C2466" t="s">
        <v>85</v>
      </c>
      <c r="D2466" t="s">
        <v>510</v>
      </c>
      <c r="E2466" t="s">
        <v>30</v>
      </c>
      <c r="F2466" t="s">
        <v>154</v>
      </c>
      <c r="G2466" t="s">
        <v>32</v>
      </c>
      <c r="H2466" t="s">
        <v>33</v>
      </c>
      <c r="I2466" s="1" t="s">
        <v>2540</v>
      </c>
      <c r="O2466" s="15">
        <v>1</v>
      </c>
      <c r="X2466" s="15">
        <v>1</v>
      </c>
    </row>
    <row r="2467" spans="1:25" ht="105" x14ac:dyDescent="0.25">
      <c r="A2467" t="s">
        <v>49</v>
      </c>
      <c r="B2467" t="s">
        <v>2500</v>
      </c>
      <c r="C2467" t="s">
        <v>106</v>
      </c>
      <c r="D2467" t="s">
        <v>150</v>
      </c>
      <c r="E2467" t="s">
        <v>30</v>
      </c>
      <c r="F2467" t="s">
        <v>294</v>
      </c>
      <c r="G2467" t="s">
        <v>32</v>
      </c>
      <c r="H2467" t="s">
        <v>173</v>
      </c>
      <c r="I2467" s="1" t="s">
        <v>2542</v>
      </c>
      <c r="Y2467">
        <v>1</v>
      </c>
    </row>
    <row r="2468" spans="1:25" ht="30" x14ac:dyDescent="0.25">
      <c r="A2468" t="s">
        <v>64</v>
      </c>
      <c r="B2468" t="s">
        <v>2500</v>
      </c>
      <c r="C2468" t="s">
        <v>28</v>
      </c>
      <c r="D2468" t="s">
        <v>129</v>
      </c>
      <c r="E2468" t="s">
        <v>30</v>
      </c>
      <c r="F2468" t="s">
        <v>136</v>
      </c>
      <c r="G2468" t="s">
        <v>32</v>
      </c>
      <c r="H2468" t="s">
        <v>33</v>
      </c>
      <c r="I2468" s="1" t="s">
        <v>2544</v>
      </c>
      <c r="S2468" s="15">
        <v>1</v>
      </c>
    </row>
    <row r="2469" spans="1:25" ht="90" x14ac:dyDescent="0.25">
      <c r="A2469" t="s">
        <v>49</v>
      </c>
      <c r="B2469" t="s">
        <v>2500</v>
      </c>
      <c r="C2469" t="s">
        <v>96</v>
      </c>
      <c r="D2469" t="s">
        <v>2554</v>
      </c>
      <c r="E2469" t="s">
        <v>79</v>
      </c>
      <c r="F2469" t="s">
        <v>196</v>
      </c>
      <c r="G2469" t="s">
        <v>81</v>
      </c>
      <c r="H2469" t="s">
        <v>87</v>
      </c>
      <c r="I2469" s="1" t="s">
        <v>2555</v>
      </c>
      <c r="S2469" s="15">
        <v>1</v>
      </c>
    </row>
    <row r="2470" spans="1:25" ht="30" x14ac:dyDescent="0.25">
      <c r="A2470" t="s">
        <v>49</v>
      </c>
      <c r="B2470" t="s">
        <v>2500</v>
      </c>
      <c r="C2470" t="s">
        <v>55</v>
      </c>
      <c r="D2470" t="s">
        <v>1462</v>
      </c>
      <c r="E2470" t="s">
        <v>30</v>
      </c>
      <c r="F2470" t="s">
        <v>40</v>
      </c>
      <c r="G2470" t="s">
        <v>32</v>
      </c>
      <c r="H2470" t="s">
        <v>87</v>
      </c>
      <c r="I2470" s="1" t="s">
        <v>2548</v>
      </c>
      <c r="Y2470">
        <v>1</v>
      </c>
    </row>
    <row r="2471" spans="1:25" ht="105" x14ac:dyDescent="0.25">
      <c r="A2471" t="s">
        <v>64</v>
      </c>
      <c r="B2471" t="s">
        <v>2500</v>
      </c>
      <c r="C2471" t="s">
        <v>180</v>
      </c>
      <c r="D2471" t="s">
        <v>439</v>
      </c>
      <c r="E2471" t="s">
        <v>30</v>
      </c>
      <c r="F2471" t="s">
        <v>209</v>
      </c>
      <c r="G2471" t="s">
        <v>81</v>
      </c>
      <c r="H2471" t="s">
        <v>87</v>
      </c>
      <c r="I2471" s="1" t="s">
        <v>2550</v>
      </c>
      <c r="Q2471" s="15">
        <v>1</v>
      </c>
      <c r="W2471" s="15">
        <v>1</v>
      </c>
    </row>
    <row r="2472" spans="1:25" ht="60" x14ac:dyDescent="0.25">
      <c r="A2472" t="s">
        <v>37</v>
      </c>
      <c r="B2472" t="s">
        <v>2500</v>
      </c>
      <c r="C2472" t="s">
        <v>50</v>
      </c>
      <c r="D2472" t="s">
        <v>843</v>
      </c>
      <c r="E2472" t="s">
        <v>30</v>
      </c>
      <c r="F2472" t="s">
        <v>94</v>
      </c>
      <c r="G2472" t="s">
        <v>32</v>
      </c>
      <c r="H2472" t="s">
        <v>173</v>
      </c>
      <c r="I2472" s="1" t="s">
        <v>2552</v>
      </c>
      <c r="Y2472">
        <v>1</v>
      </c>
    </row>
    <row r="2473" spans="1:25" ht="105" x14ac:dyDescent="0.25">
      <c r="A2473" t="s">
        <v>49</v>
      </c>
      <c r="B2473" t="s">
        <v>2500</v>
      </c>
      <c r="C2473" t="s">
        <v>85</v>
      </c>
      <c r="D2473" t="s">
        <v>667</v>
      </c>
      <c r="E2473" t="s">
        <v>30</v>
      </c>
      <c r="F2473" t="s">
        <v>166</v>
      </c>
      <c r="G2473" t="s">
        <v>32</v>
      </c>
      <c r="H2473" t="s">
        <v>173</v>
      </c>
      <c r="I2473" s="1" t="s">
        <v>2557</v>
      </c>
      <c r="Q2473" s="15">
        <v>1</v>
      </c>
      <c r="V2473" s="15">
        <v>1</v>
      </c>
    </row>
    <row r="2474" spans="1:25" ht="30" x14ac:dyDescent="0.25">
      <c r="A2474" t="s">
        <v>64</v>
      </c>
      <c r="B2474" t="s">
        <v>2500</v>
      </c>
      <c r="C2474" t="s">
        <v>73</v>
      </c>
      <c r="D2474" t="s">
        <v>857</v>
      </c>
      <c r="E2474" t="s">
        <v>79</v>
      </c>
      <c r="F2474" t="s">
        <v>492</v>
      </c>
      <c r="G2474" t="s">
        <v>32</v>
      </c>
      <c r="H2474" t="s">
        <v>87</v>
      </c>
      <c r="I2474" s="1" t="s">
        <v>2559</v>
      </c>
      <c r="Q2474" s="15">
        <v>1</v>
      </c>
      <c r="V2474" s="15">
        <v>1</v>
      </c>
    </row>
    <row r="2475" spans="1:25" ht="60" x14ac:dyDescent="0.25">
      <c r="A2475" t="s">
        <v>64</v>
      </c>
      <c r="B2475" t="s">
        <v>2500</v>
      </c>
      <c r="C2475" t="s">
        <v>44</v>
      </c>
      <c r="D2475" t="s">
        <v>45</v>
      </c>
      <c r="E2475" t="s">
        <v>30</v>
      </c>
      <c r="F2475" t="s">
        <v>119</v>
      </c>
      <c r="G2475" t="s">
        <v>69</v>
      </c>
      <c r="H2475" t="s">
        <v>87</v>
      </c>
      <c r="I2475" s="1" t="s">
        <v>2561</v>
      </c>
      <c r="Q2475" s="15">
        <v>1</v>
      </c>
      <c r="W2475" s="15">
        <v>1</v>
      </c>
    </row>
    <row r="2476" spans="1:25" ht="105" x14ac:dyDescent="0.25">
      <c r="A2476" t="s">
        <v>1243</v>
      </c>
      <c r="B2476" t="s">
        <v>3890</v>
      </c>
      <c r="C2476" t="s">
        <v>3891</v>
      </c>
      <c r="D2476" t="s">
        <v>3892</v>
      </c>
      <c r="E2476" t="s">
        <v>30</v>
      </c>
      <c r="F2476" t="s">
        <v>126</v>
      </c>
      <c r="G2476" t="s">
        <v>263</v>
      </c>
      <c r="H2476" t="s">
        <v>87</v>
      </c>
      <c r="I2476" s="1" t="s">
        <v>3893</v>
      </c>
      <c r="N2476" s="15">
        <v>1</v>
      </c>
      <c r="P2476" s="15">
        <v>1</v>
      </c>
    </row>
    <row r="2477" spans="1:25" ht="30" x14ac:dyDescent="0.25">
      <c r="B2477" s="1" t="s">
        <v>3894</v>
      </c>
      <c r="M2477" s="15">
        <f t="shared" ref="M2477:Y2477" si="9">SUM(M2017:M2476)</f>
        <v>10</v>
      </c>
      <c r="N2477" s="15">
        <f t="shared" si="9"/>
        <v>42</v>
      </c>
      <c r="O2477" s="15">
        <f t="shared" si="9"/>
        <v>29</v>
      </c>
      <c r="P2477" s="15">
        <f t="shared" si="9"/>
        <v>59</v>
      </c>
      <c r="Q2477" s="15">
        <f t="shared" si="9"/>
        <v>92</v>
      </c>
      <c r="R2477" s="15">
        <f t="shared" si="9"/>
        <v>23</v>
      </c>
      <c r="S2477" s="15">
        <f t="shared" si="9"/>
        <v>149</v>
      </c>
      <c r="T2477" s="15">
        <f t="shared" si="9"/>
        <v>44</v>
      </c>
      <c r="U2477" s="15">
        <f t="shared" si="9"/>
        <v>0</v>
      </c>
      <c r="V2477" s="15">
        <f t="shared" si="9"/>
        <v>45</v>
      </c>
      <c r="W2477" s="15">
        <f t="shared" si="9"/>
        <v>96</v>
      </c>
      <c r="X2477" s="15">
        <f t="shared" si="9"/>
        <v>20</v>
      </c>
      <c r="Y2477" s="15">
        <f t="shared" si="9"/>
        <v>57</v>
      </c>
    </row>
    <row r="2478" spans="1:25" ht="45" x14ac:dyDescent="0.25">
      <c r="B2478" s="1" t="s">
        <v>3895</v>
      </c>
      <c r="I2478" s="1" t="s">
        <v>3896</v>
      </c>
      <c r="M2478" s="15">
        <f t="shared" ref="M2478:Y2478" si="10">(M2477/459)*100</f>
        <v>2.1786492374727668</v>
      </c>
      <c r="N2478" s="15">
        <f t="shared" si="10"/>
        <v>9.1503267973856204</v>
      </c>
      <c r="O2478" s="15">
        <f t="shared" si="10"/>
        <v>6.318082788671024</v>
      </c>
      <c r="P2478" s="15">
        <f t="shared" si="10"/>
        <v>12.854030501089325</v>
      </c>
      <c r="Q2478" s="15">
        <f t="shared" si="10"/>
        <v>20.043572984749456</v>
      </c>
      <c r="R2478" s="15">
        <f t="shared" si="10"/>
        <v>5.0108932461873641</v>
      </c>
      <c r="S2478" s="15">
        <f t="shared" si="10"/>
        <v>32.461873638344223</v>
      </c>
      <c r="T2478" s="15">
        <f t="shared" si="10"/>
        <v>9.5860566448801734</v>
      </c>
      <c r="U2478" s="15">
        <f t="shared" si="10"/>
        <v>0</v>
      </c>
      <c r="V2478" s="15">
        <f t="shared" si="10"/>
        <v>9.8039215686274517</v>
      </c>
      <c r="W2478" s="15">
        <f t="shared" si="10"/>
        <v>20.915032679738562</v>
      </c>
      <c r="X2478" s="15">
        <f t="shared" si="10"/>
        <v>4.3572984749455337</v>
      </c>
      <c r="Y2478" s="15">
        <f t="shared" si="10"/>
        <v>12.418300653594772</v>
      </c>
    </row>
    <row r="2479" spans="1:25" x14ac:dyDescent="0.25">
      <c r="I2479" s="19">
        <v>44894</v>
      </c>
      <c r="M2479" s="15">
        <f>SUMIF(B2017:B2476, "2022-11-29",M2017:M2476)</f>
        <v>0</v>
      </c>
      <c r="N2479" s="15">
        <f>SUMIF(B2017:B2476, "2022-11-29",N2017:N2476)</f>
        <v>1</v>
      </c>
      <c r="O2479" s="15">
        <f>SUMIF(B2017:B2476, "2022-11-29",O2017:O2476)</f>
        <v>0</v>
      </c>
      <c r="P2479" s="15">
        <f>SUMIF(B2017:B2476, "2022-11-29",P2017:P2476)</f>
        <v>1</v>
      </c>
      <c r="Q2479" s="15">
        <f>SUMIF(B2017:B2476, "2022-11-29",Q2017:Q2476)</f>
        <v>0</v>
      </c>
      <c r="R2479" s="15">
        <f>SUMIF(B2017:B2476, "2022-11-29",R2017:R2476)</f>
        <v>0</v>
      </c>
      <c r="S2479" s="15">
        <f>SUMIF(B2017:B2476, "2022-11-29",S2017:S2476)</f>
        <v>0</v>
      </c>
      <c r="T2479" s="15">
        <f>SUMIF(B2017:B2476, "2022-11-29",T2017:T2476)</f>
        <v>0</v>
      </c>
      <c r="U2479" s="15">
        <f>SUMIF(B2017:B2476, "2022-11-29",U2017:U2476)</f>
        <v>0</v>
      </c>
      <c r="V2479" s="15">
        <f>SUMIF(B2017:B2476, "2022-11-29",V2017:V2476)</f>
        <v>0</v>
      </c>
      <c r="X2479" s="15">
        <f>SUMIF(B2017:B2476, "2022-11-29",X2017:X2476)</f>
        <v>0</v>
      </c>
      <c r="Y2479" s="15">
        <f>SUMIF(B2017:B2476, "2022-11-29",Y2017:Y2476)</f>
        <v>0</v>
      </c>
    </row>
    <row r="2480" spans="1:25" x14ac:dyDescent="0.25">
      <c r="I2480" s="19">
        <v>44893</v>
      </c>
      <c r="M2480" s="15">
        <f>SUMIF(B2017:B2476, "2022-11-28",M2017:M2476)</f>
        <v>0</v>
      </c>
      <c r="N2480" s="15">
        <f>SUMIF(B2017:B2476, "2022-11-28",N2017:N2476)</f>
        <v>4</v>
      </c>
      <c r="O2480" s="15">
        <f>SUMIF(B2017:B2476, "2022-11-28",O2017:O2476)</f>
        <v>0</v>
      </c>
      <c r="P2480" s="15">
        <f>SUMIF(B2017:B2476, "2022-11-28",P2017:P2476)</f>
        <v>3</v>
      </c>
      <c r="Q2480" s="15">
        <f>SUMIF(B2017:B2476, "2022-11-28",Q2017:Q2476)</f>
        <v>4</v>
      </c>
      <c r="R2480" s="15">
        <f>SUMIF(B2018:B2477, "2022-11-29",R2018:R2477)</f>
        <v>0</v>
      </c>
      <c r="S2480" s="15">
        <f>SUMIF(B2018:B2477, "2022-11-29",S2018:S2477)</f>
        <v>0</v>
      </c>
      <c r="T2480" s="15">
        <f>SUMIF(B2018:B2477, "2022-11-29",T2018:T2477)</f>
        <v>0</v>
      </c>
      <c r="U2480" s="15">
        <f>SUMIF(B2018:B2477, "2022-11-29",U2018:U2477)</f>
        <v>0</v>
      </c>
      <c r="V2480" s="15">
        <f>SUMIF(B2018:B2477, "2022-11-29",V2018:V2477)</f>
        <v>0</v>
      </c>
      <c r="X2480" s="15">
        <f>SUMIF(B2018:B2477, "2022-11-29",X2018:X2477)</f>
        <v>0</v>
      </c>
      <c r="Y2480" s="15">
        <f>SUMIF(B2018:B2477, "2022-11-29",Y2018:Y2477)</f>
        <v>0</v>
      </c>
    </row>
    <row r="2481" spans="9:25" x14ac:dyDescent="0.25">
      <c r="I2481" s="19">
        <v>44892</v>
      </c>
      <c r="M2481" s="15">
        <f>SUMIF(B2017:B2476, "2022-11-27",M2017:M2476)</f>
        <v>2</v>
      </c>
      <c r="N2481" s="15">
        <f>SUMIF(B2017:B2476, "2022-11-27",N2017:N2476)</f>
        <v>0</v>
      </c>
      <c r="O2481" s="15">
        <f>SUMIF(B2017:B2476, "2022-11-27",O2017:O2476)</f>
        <v>1</v>
      </c>
      <c r="P2481" s="15">
        <f>SUMIF(B2017:B2476, "2022-11-27",P2017:P2476)</f>
        <v>1</v>
      </c>
      <c r="Q2481" s="15">
        <f>SUMIF(B2017:B2476, "2022-11-27",Q2017:Q2476)</f>
        <v>1</v>
      </c>
      <c r="R2481" s="15">
        <f>SUMIF(B2017:B2476, "2022-11-27",R2017:R2476)</f>
        <v>1</v>
      </c>
      <c r="S2481" s="15">
        <f>SUMIF(B2017:B2476, "2022-11-27",S2017:S2476)</f>
        <v>5</v>
      </c>
      <c r="T2481" s="15">
        <f>SUMIF(B2017:B2476, "2022-11-27",T2017:T2476)</f>
        <v>0</v>
      </c>
      <c r="U2481" s="15">
        <f>SUMIF(B2017:B2476, "2022-11-27",U2017:U2476)</f>
        <v>0</v>
      </c>
      <c r="V2481" s="15">
        <f>SUMIF(B2017:B2476, "2022-11-27",V2017:V2476)</f>
        <v>1</v>
      </c>
      <c r="X2481" s="15">
        <f>SUMIF(B2017:B2476, "2022-11-27",X2017:X2476)</f>
        <v>0</v>
      </c>
      <c r="Y2481" s="15">
        <f>SUMIF(B2017:B2476, "2022-11-27",Y2017:Y2476)</f>
        <v>0</v>
      </c>
    </row>
    <row r="2482" spans="9:25" x14ac:dyDescent="0.25">
      <c r="I2482" s="19">
        <v>44891</v>
      </c>
      <c r="M2482" s="15">
        <f>SUMIF(B2017:B2476, "2022-11-26",M2017:M2476)</f>
        <v>0</v>
      </c>
      <c r="N2482" s="15">
        <f>SUMIF(B2017:B2476, "2022-11-26",N2017:N2476)</f>
        <v>3</v>
      </c>
      <c r="O2482" s="15">
        <f>SUMIF(B2017:B2476, "2022-11-26",O2017:O2476)</f>
        <v>4</v>
      </c>
      <c r="P2482" s="15">
        <f>SUMIF(B2017:B2476, "2022-11-26",P2017:P2476)</f>
        <v>8</v>
      </c>
      <c r="Q2482" s="15">
        <f>SUMIF(B2017:B2476, "2022-11-26",Q2017:Q2476)</f>
        <v>6</v>
      </c>
      <c r="R2482" s="15">
        <f>SUMIF(B2017:B2476, "2022-11-26",R2017:R2476)</f>
        <v>3</v>
      </c>
      <c r="S2482" s="15">
        <f>SUMIF(B2017:B2476, "2022-11-26",S2017:S2476)</f>
        <v>8</v>
      </c>
      <c r="T2482" s="15">
        <f>SUMIF(B2017:B2476, "2022-11-26",T2017:T2476)</f>
        <v>2</v>
      </c>
      <c r="U2482" s="15">
        <f>SUMIF(B2017:B2476, "2022-11-26",U2017:U2476)</f>
        <v>0</v>
      </c>
      <c r="V2482" s="15">
        <f>SUMIF(B2017:B2476, "2022-11-26",V2017:V2476)</f>
        <v>4</v>
      </c>
      <c r="X2482" s="15">
        <f>SUMIF(B2017:B2476, "2022-11-26",X2017:X2476)</f>
        <v>3</v>
      </c>
      <c r="Y2482" s="15">
        <f>SUMIF(B2017:B2476, "2022-11-26",Y2017:Y2476)</f>
        <v>2</v>
      </c>
    </row>
    <row r="2483" spans="9:25" x14ac:dyDescent="0.25">
      <c r="I2483" s="19">
        <v>44890</v>
      </c>
      <c r="M2483" s="15">
        <f>SUMIF(B2017:B2476, "2022-11-25",M2017:M2476)</f>
        <v>2</v>
      </c>
      <c r="N2483" s="15">
        <f>SUMIF(B2017:B2476, "2022-11-25",N2017:N2476)</f>
        <v>2</v>
      </c>
      <c r="O2483" s="15">
        <f>SUMIF(B2017:B2476, "2022-11-25",O2017:O2476)</f>
        <v>1</v>
      </c>
      <c r="P2483" s="15">
        <f>SUMIF(B2017:B2476, "2022-11-25",P2017:P2476)</f>
        <v>6</v>
      </c>
      <c r="Q2483" s="15">
        <f>SUMIF(B2017:B2476, "2022-11-25",Q2017:Q2476)</f>
        <v>6</v>
      </c>
      <c r="R2483" s="15">
        <f>SUMIF(B2017:B2476, "2022-11-25",R2017:R2476)</f>
        <v>2</v>
      </c>
      <c r="S2483" s="15">
        <f>SUMIF(B2017:B2476, "2022-11-25",S2017:S2476)</f>
        <v>19</v>
      </c>
      <c r="T2483" s="15">
        <f>SUMIF(B2017:B2476, "2022-11-25",T2017:T2476)</f>
        <v>5</v>
      </c>
      <c r="U2483" s="15">
        <f>SUMIF(B2017:B2476, "2022-11-25",U2017:U2476)</f>
        <v>0</v>
      </c>
      <c r="V2483" s="15">
        <f>SUMIF(B2017:B2476, "2022-11-25",V2017:V2476)</f>
        <v>2</v>
      </c>
      <c r="X2483" s="15">
        <f>SUMIF(B2017:B2476, "2022-11-25",X2017:X2476)</f>
        <v>3</v>
      </c>
      <c r="Y2483" s="15">
        <f>SUMIF(B2017:B2476, "2022-11-25",Y2017:Y2476)</f>
        <v>2</v>
      </c>
    </row>
    <row r="2484" spans="9:25" x14ac:dyDescent="0.25">
      <c r="I2484" s="19">
        <v>44889</v>
      </c>
      <c r="M2484" s="15">
        <f>SUMIF(B2017:B2476, "2022-11-24",M2017:M2476)</f>
        <v>0</v>
      </c>
      <c r="N2484" s="15">
        <f>SUMIF(B2017:B2476, "2022-11-24",N2017:N2476)</f>
        <v>1</v>
      </c>
      <c r="O2484" s="15">
        <f>SUMIF(B2017:B2476, "2022-11-24",O2017:O2476)</f>
        <v>0</v>
      </c>
      <c r="P2484" s="15">
        <f>SUMIF(B2017:B2476, "2022-11-24",P2017:P2476)</f>
        <v>0</v>
      </c>
      <c r="Q2484" s="15">
        <f>SUMIF(B2017:B2476, "2022-11-24",Q2017:Q2476)</f>
        <v>0</v>
      </c>
      <c r="R2484" s="15">
        <f>SUMIF(B2017:B2476, "2022-11-24",R2017:R2476)</f>
        <v>0</v>
      </c>
      <c r="S2484" s="15">
        <f>SUMIF(B2017:B2476, "2022-11-24",S2017:S2476)</f>
        <v>0</v>
      </c>
      <c r="T2484" s="15">
        <f>SUMIF(B2017:B2476, "2022-11-24",T2017:T2476)</f>
        <v>0</v>
      </c>
      <c r="U2484" s="15">
        <f>SUMIF(B2017:B2476, "2022-11-24",U2017:U2476)</f>
        <v>0</v>
      </c>
      <c r="V2484" s="15">
        <f>SUMIF(B2017:B2476, "2022-11-24",V2017:V2476)</f>
        <v>0</v>
      </c>
      <c r="X2484" s="15">
        <f>SUMIF(B2017:B2476, "2022-11-24",X2017:X2476)</f>
        <v>1</v>
      </c>
      <c r="Y2484" s="15">
        <f>SUMIF(B2017:B2476, "2022-11-24",Y2017:Y2476)</f>
        <v>1</v>
      </c>
    </row>
    <row r="2485" spans="9:25" x14ac:dyDescent="0.25">
      <c r="I2485" s="19">
        <v>44888</v>
      </c>
      <c r="M2485" s="15">
        <f>SUMIF(B2017:B2476, "2022-11-23",M2017:M2476)</f>
        <v>3</v>
      </c>
      <c r="N2485" s="15">
        <f>SUMIF(B2017:B2476, "2022-11-23",N2017:N2476)</f>
        <v>2</v>
      </c>
      <c r="O2485" s="15">
        <f>SUMIF(B2017:B2476, "2022-11-23",O2017:O2476)</f>
        <v>5</v>
      </c>
      <c r="P2485" s="15">
        <f>SUMIF(B2017:B2476, "2022-11-23",P2017:P2476)</f>
        <v>8</v>
      </c>
      <c r="Q2485" s="15">
        <f>SUMIF(B2017:B2476, "2022-11-23",Q2017:Q2476)</f>
        <v>9</v>
      </c>
      <c r="R2485" s="15">
        <f>SUMIF(B2017:B2476, "2022-11-23",R2017:R2476)</f>
        <v>2</v>
      </c>
      <c r="S2485" s="15">
        <f>SUMIF(B2017:B2476, "2022-11-23",S2017:S2476)</f>
        <v>14</v>
      </c>
      <c r="T2485" s="15">
        <f>SUMIF(B2017:B2476, "2022-11-23",T2017:T2476)</f>
        <v>4</v>
      </c>
      <c r="U2485" s="15">
        <f>SUMIF(B2017:B2476, "2022-11-23",U2017:U2476)</f>
        <v>0</v>
      </c>
      <c r="V2485" s="15">
        <f>SUMIF(B2017:B2476, "2022-11-23",V2017:V2476)</f>
        <v>4</v>
      </c>
      <c r="X2485" s="15">
        <f>SUMIF(B2017:B2476, "2022-11-23",X2017:X2476)</f>
        <v>1</v>
      </c>
      <c r="Y2485" s="15">
        <f>SUMIF(B2017:B2476, "2022-11-23",Y2017:Y2476)</f>
        <v>4</v>
      </c>
    </row>
    <row r="2486" spans="9:25" x14ac:dyDescent="0.25">
      <c r="I2486" s="19">
        <v>44887</v>
      </c>
      <c r="M2486" s="15">
        <f>SUMIF(B2017:B2476, "2022-11-22",M2017:M2476)</f>
        <v>1</v>
      </c>
      <c r="N2486" s="15">
        <f>SUMIF(B2017:B2476, "2022-11-22",N2017:N2476)</f>
        <v>4</v>
      </c>
      <c r="O2486" s="15">
        <f>SUMIF(B2017:B2476, "2022-11-22",O2017:O2476)</f>
        <v>4</v>
      </c>
      <c r="P2486" s="15">
        <f>SUMIF(B2017:B2476, "2022-11-22",P2017:P2476)</f>
        <v>8</v>
      </c>
      <c r="Q2486" s="15">
        <f>SUMIF(B2017:B2476, "2022-11-22",Q2017:Q2476)</f>
        <v>12</v>
      </c>
      <c r="R2486" s="15">
        <f>SUMIF(B2017:B2476, "2022-11-22",R2017:R2476)</f>
        <v>3</v>
      </c>
      <c r="S2486" s="15">
        <f>SUMIF(B2017:B2476, "2022-11-22",S2017:S2476)</f>
        <v>13</v>
      </c>
      <c r="T2486" s="15">
        <f>SUMIF(B2017:B2476, "2022-11-22",T2017:T2476)</f>
        <v>6</v>
      </c>
      <c r="U2486" s="15">
        <f>SUMIF(B2017:B2476, "2022-11-22",U2017:U2476)</f>
        <v>0</v>
      </c>
      <c r="V2486" s="15">
        <f>SUMIF(B2017:B2476, "2022-11-22",V2017:V2476)</f>
        <v>9</v>
      </c>
      <c r="X2486" s="15">
        <f>SUMIF(B2017:B2476, "2022-11-22",X2017:X2476)</f>
        <v>0</v>
      </c>
      <c r="Y2486" s="15">
        <f>SUMIF(B2017:B2476, "2022-11-22",Y2017:Y2476)</f>
        <v>5</v>
      </c>
    </row>
    <row r="2487" spans="9:25" x14ac:dyDescent="0.25">
      <c r="I2487" s="19">
        <v>44886</v>
      </c>
      <c r="M2487" s="15">
        <f>SUMIF(B2017:B2476, "2022-11-21",M2017:M2476)</f>
        <v>0</v>
      </c>
      <c r="N2487" s="15">
        <f>SUMIF(B2017:B2476, "2022-11-21",N2017:N2476)</f>
        <v>1</v>
      </c>
      <c r="O2487" s="15">
        <f>SUMIF(B2017:B2476, "2022-11-21",O2017:O2476)</f>
        <v>1</v>
      </c>
      <c r="P2487" s="15">
        <f>SUMIF(B2017:B2476, "2022-11-21",P2017:P2476)</f>
        <v>3</v>
      </c>
      <c r="Q2487" s="15">
        <f>SUMIF(B2017:B2476, "2022-11-21",Q2017:Q2476)</f>
        <v>4</v>
      </c>
      <c r="R2487" s="15">
        <f>SUMIF(B2017:B2476, "2022-11-21",R2017:R2476)</f>
        <v>0</v>
      </c>
      <c r="S2487" s="15">
        <f>SUMIF(B2017:B2476, "2022-11-21",S2017:S2476)</f>
        <v>3</v>
      </c>
      <c r="T2487" s="15">
        <f>SUMIF(B2017:B2476, "2022-11-21",T2017:T2476)</f>
        <v>0</v>
      </c>
      <c r="U2487" s="15">
        <f>SUMIF(B2017:B2476, "2022-11-21",U2017:U2476)</f>
        <v>0</v>
      </c>
      <c r="V2487" s="15">
        <f>SUMIF(B2017:B2476, "2022-11-21",V2017:V2476)</f>
        <v>2</v>
      </c>
      <c r="X2487" s="15">
        <f>SUMIF(B2017:B2476, "2022-11-21",X2017:X2476)</f>
        <v>0</v>
      </c>
      <c r="Y2487" s="15">
        <f>SUMIF(B2017:B2476, "2022-11-21",Y2017:Y2476)</f>
        <v>4</v>
      </c>
    </row>
    <row r="2488" spans="9:25" x14ac:dyDescent="0.25">
      <c r="I2488" s="19">
        <v>44885</v>
      </c>
      <c r="M2488" s="15">
        <f>SUMIF(B2017:B2476, "2022-11-20",M2017:M2476)</f>
        <v>0</v>
      </c>
      <c r="N2488" s="15">
        <f>SUMIF(B2017:B2476, "2022-11-20",N2017:N2476)</f>
        <v>1</v>
      </c>
      <c r="O2488" s="15">
        <f>SUMIF(B2017:B2476, "2022-11-20",O2017:O2476)</f>
        <v>2</v>
      </c>
      <c r="P2488" s="15">
        <f>SUMIF(B2017:B2476, "2022-11-20",P2017:P2476)</f>
        <v>0</v>
      </c>
      <c r="Q2488" s="15">
        <f>SUMIF(B2017:B2476, "2022-11-20",Q2017:Q2476)</f>
        <v>4</v>
      </c>
      <c r="R2488" s="15">
        <f>SUMIF(B2017:B2476, "2022-11-20",R2017:R2476)</f>
        <v>0</v>
      </c>
      <c r="S2488" s="15">
        <f>SUMIF(B2017:B2476, "2022-11-20",S2017:S2476)</f>
        <v>2</v>
      </c>
      <c r="T2488" s="15">
        <f>SUMIF(B2017:B2476, "2022-11-20",T2017:T2476)</f>
        <v>1</v>
      </c>
      <c r="U2488" s="15">
        <f>SUMIF(B2017:B2476, "2022-11-20",U2017:U2476)</f>
        <v>0</v>
      </c>
      <c r="V2488" s="15">
        <f>SUMIF(B2017:B2476, "2022-11-20",V2017:V2476)</f>
        <v>2</v>
      </c>
      <c r="X2488" s="15">
        <f>SUMIF(B2017:B2476, "2022-11-20",X2017:X2476)</f>
        <v>0</v>
      </c>
      <c r="Y2488" s="15">
        <f>SUMIF(B2017:B2476, "2022-11-20",Y2017:Y2476)</f>
        <v>0</v>
      </c>
    </row>
    <row r="2489" spans="9:25" x14ac:dyDescent="0.25">
      <c r="I2489" s="19">
        <v>44884</v>
      </c>
      <c r="M2489" s="15">
        <f>SUMIF(B2017:B2476, "2022-11-19",M2017:M2476)</f>
        <v>0</v>
      </c>
      <c r="N2489" s="15">
        <f>SUMIF(B2017:B2476, "2022-11-19",N2017:N2476)</f>
        <v>3</v>
      </c>
      <c r="O2489" s="15">
        <f>SUMIF(B2017:B2476, "2022-11-19",O2017:O2476)</f>
        <v>0</v>
      </c>
      <c r="P2489" s="15">
        <f>SUMIF(B2017:B2476, "2022-11-19",P2017:P2476)</f>
        <v>4</v>
      </c>
      <c r="Q2489" s="15">
        <f>SUMIF(B2017:B2476, "2022-11-19",Q2017:Q2476)</f>
        <v>8</v>
      </c>
      <c r="R2489" s="15">
        <f>SUMIF(B2017:B2476, "2022-11-19",R2017:R2476)</f>
        <v>2</v>
      </c>
      <c r="S2489" s="15">
        <f>SUMIF(B2017:B2476, "2022-11-19",S2017:S2476)</f>
        <v>12</v>
      </c>
      <c r="T2489" s="15">
        <f>SUMIF(B2017:B2476, "2022-11-19",T2017:T2476)</f>
        <v>2</v>
      </c>
      <c r="U2489" s="15">
        <f>SUMIF(B2017:B2476, "2022-11-19",U2017:U2476)</f>
        <v>0</v>
      </c>
      <c r="V2489" s="15">
        <f>SUMIF(B2017:B2476, "2022-11-19",V2017:V2476)</f>
        <v>1</v>
      </c>
      <c r="X2489" s="15">
        <f>SUMIF(B2017:B2476, "2022-11-19",X2017:X2476)</f>
        <v>2</v>
      </c>
      <c r="Y2489" s="15">
        <f>SUMIF(B2017:B2476, "2022-11-19",Y2017:Y2476)</f>
        <v>2</v>
      </c>
    </row>
    <row r="2490" spans="9:25" x14ac:dyDescent="0.25">
      <c r="I2490" s="19">
        <v>44883</v>
      </c>
      <c r="M2490" s="15">
        <f>SUMIF(B2017:B2476, "2022-11-18",M2017:M2476)</f>
        <v>0</v>
      </c>
      <c r="N2490" s="15">
        <f>SUMIF(B2017:B2476, "2022-11-18",N2017:N2476)</f>
        <v>3</v>
      </c>
      <c r="O2490" s="15">
        <f>SUMIF(B2017:B2476, "2022-11-18",O2017:O2476)</f>
        <v>0</v>
      </c>
      <c r="P2490" s="15">
        <f>SUMIF(B2017:B2476, "2022-11-18",P2017:P2476)</f>
        <v>5</v>
      </c>
      <c r="Q2490" s="15">
        <f>SUMIF(B2017:B2476, "2022-11-18",Q2017:Q2476)</f>
        <v>6</v>
      </c>
      <c r="R2490" s="15">
        <f>SUMIF(B2017:B2476, "2022-11-18",R2017:R2476)</f>
        <v>5</v>
      </c>
      <c r="S2490" s="15">
        <f>SUMIF(B2017:B2476, "2022-11-18",S2017:S2476)</f>
        <v>15</v>
      </c>
      <c r="T2490" s="15">
        <f>SUMIF(B2017:B2476, "2022-11-18",T2017:T2476)</f>
        <v>4</v>
      </c>
      <c r="U2490" s="15">
        <f>SUMIF(B2017:B2476, "2022-11-18",U2017:U2476)</f>
        <v>0</v>
      </c>
      <c r="V2490" s="15">
        <f>SUMIF(B2017:B2476, "2022-11-18",V2017:V2476)</f>
        <v>4</v>
      </c>
      <c r="X2490" s="15">
        <f>SUMIF(B2017:B2476, "2022-11-18",X2017:X2476)</f>
        <v>1</v>
      </c>
      <c r="Y2490" s="15">
        <f>SUMIF(B2017:B2476, "2022-11-18",Y2017:Y2476)</f>
        <v>4</v>
      </c>
    </row>
    <row r="2491" spans="9:25" x14ac:dyDescent="0.25">
      <c r="I2491" s="19">
        <v>44882</v>
      </c>
      <c r="M2491" s="15">
        <f>SUMIF(B2017:B2476, "2022-11-17",M2017:M2476)</f>
        <v>0</v>
      </c>
      <c r="N2491" s="15">
        <f>SUMIF(B2017:B2476, "2022-11-17",N2017:N2476)</f>
        <v>0</v>
      </c>
      <c r="O2491" s="15">
        <f>SUMIF(B2017:B2476, "2022-11-17",O2017:O2476)</f>
        <v>0</v>
      </c>
      <c r="P2491" s="15">
        <f>SUMIF(B2017:B2476, "2022-11-17",P2017:P2476)</f>
        <v>0</v>
      </c>
      <c r="Q2491" s="15">
        <f>SUMIF(B2017:B2476, "2022-11-17",Q2017:Q2476)</f>
        <v>2</v>
      </c>
      <c r="R2491" s="15">
        <f>SUMIF(B2017:B2476, "2022-11-17",R2017:R2476)</f>
        <v>0</v>
      </c>
      <c r="S2491" s="15">
        <f>SUMIF(B2017:B2476, "2022-11-17",S2017:S2476)</f>
        <v>1</v>
      </c>
      <c r="T2491" s="15">
        <f>SUMIF(B2017:B2476, "2022-11-17",T2017:T2476)</f>
        <v>1</v>
      </c>
      <c r="U2491" s="15">
        <f>SUMIF(B2017:B2476, "2022-11-17",U2017:U2476)</f>
        <v>0</v>
      </c>
      <c r="V2491" s="15">
        <f>SUMIF(B2017:B2476, "2022-11-17",V2017:V2476)</f>
        <v>1</v>
      </c>
      <c r="X2491" s="15">
        <f>SUMIF(B2017:B2476, "2022-11-17",X2017:X2476)</f>
        <v>0</v>
      </c>
      <c r="Y2491" s="15">
        <f>SUMIF(B2017:B2476, "2022-11-17",Y2017:Y2476)</f>
        <v>13</v>
      </c>
    </row>
    <row r="2492" spans="9:25" x14ac:dyDescent="0.25">
      <c r="I2492" s="19">
        <v>44881</v>
      </c>
      <c r="M2492" s="15">
        <f>SUMIF(B2017:B2476, "2022-11-16",M2017:M2476)</f>
        <v>1</v>
      </c>
      <c r="N2492" s="15">
        <f>SUMIF(B2017:B2476, "2022-11-16",N2017:N2476)</f>
        <v>9</v>
      </c>
      <c r="O2492" s="15">
        <f>SUMIF(B2017:B2476, "2022-11-16",O2017:O2476)</f>
        <v>2</v>
      </c>
      <c r="P2492" s="15">
        <f>SUMIF(B2017:B2476, "2022-11-16",P2017:P2476)</f>
        <v>7</v>
      </c>
      <c r="Q2492" s="15">
        <f>SUMIF(B2017:B2476, "2022-11-16",Q2017:Q2476)</f>
        <v>9</v>
      </c>
      <c r="R2492" s="15">
        <f>SUMIF(B2017:B2476, "2022-11-16",R2017:R2476)</f>
        <v>3</v>
      </c>
      <c r="S2492" s="15">
        <f>SUMIF(B2017:B2476, "2022-11-16",S2017:S2476)</f>
        <v>14</v>
      </c>
      <c r="T2492" s="15">
        <f>SUMIF(B2017:B2476, "2022-11-16",T2017:T2476)</f>
        <v>6</v>
      </c>
      <c r="U2492" s="15">
        <f>SUMIF(B2017:B2476, "2022-11-16",U2017:U2476)</f>
        <v>0</v>
      </c>
      <c r="V2492" s="15">
        <f>SUMIF(B2017:B2476, "2022-11-16",V2017:V2476)</f>
        <v>5</v>
      </c>
      <c r="X2492" s="15">
        <f>SUMIF(B2017:B2476, "2022-11-16",X2017:X2476)</f>
        <v>1</v>
      </c>
      <c r="Y2492" s="15">
        <f>SUMIF(B2017:B2476, "2022-11-16",Y2017:Y2476)</f>
        <v>7</v>
      </c>
    </row>
    <row r="2493" spans="9:25" x14ac:dyDescent="0.25">
      <c r="I2493" s="19">
        <v>44880</v>
      </c>
      <c r="M2493" s="15">
        <f>SUMIF(B2017:B2476, "2022-11-15",M2017:M2476)</f>
        <v>0</v>
      </c>
      <c r="N2493" s="15">
        <f>SUMIF(B2017:B2476, "2022-11-15",N2017:N2476)</f>
        <v>7</v>
      </c>
      <c r="O2493" s="15">
        <f>SUMIF(B2017:B2476, "2022-11-15",O2017:O2476)</f>
        <v>5</v>
      </c>
      <c r="P2493" s="15">
        <f>SUMIF(B2017:B2476, "2022-11-15",P2017:P2476)</f>
        <v>4</v>
      </c>
      <c r="Q2493" s="15">
        <f>SUMIF(B2017:B2476, "2022-11-15",Q2017:Q2476)</f>
        <v>14</v>
      </c>
      <c r="R2493" s="15">
        <f>SUMIF(B2017:B2476, "2022-11-15",R2017:R2476)</f>
        <v>2</v>
      </c>
      <c r="S2493" s="15">
        <f>SUMIF(B2017:B2476, "2022-11-15",S2017:S2476)</f>
        <v>33</v>
      </c>
      <c r="T2493" s="15">
        <f>SUMIF(B2017:B2476, "2022-11-15",T2017:T2476)</f>
        <v>10</v>
      </c>
      <c r="U2493" s="15">
        <f>SUMIF(B2017:B2476, "2022-11-15",U2017:U2476)</f>
        <v>0</v>
      </c>
      <c r="V2493" s="15">
        <f>SUMIF(B2017:B2476, "2022-11-15",V2017:V2476)</f>
        <v>6</v>
      </c>
      <c r="X2493" s="15">
        <f>SUMIF(B2017:B2476, "2022-11-15",X2017:X2476)</f>
        <v>7</v>
      </c>
      <c r="Y2493" s="15">
        <f>SUMIF(B2017:B2476, "2022-11-15",Y2017:Y2476)</f>
        <v>6</v>
      </c>
    </row>
    <row r="2494" spans="9:25" x14ac:dyDescent="0.25">
      <c r="I2494" s="19">
        <v>44879</v>
      </c>
      <c r="M2494" s="15">
        <f>SUMIF(B2017:B2476, "2022-11-14",M2017:M2476)</f>
        <v>1</v>
      </c>
      <c r="N2494" s="15">
        <f>SUMIF(B2017:B2476, "2022-11-14",N2017:N2476)</f>
        <v>1</v>
      </c>
      <c r="O2494" s="15">
        <f>SUMIF(B2017:B2476, "2022-11-14",O2017:O2476)</f>
        <v>4</v>
      </c>
      <c r="P2494" s="15">
        <f>SUMIF(B2017:B2476, "2022-11-14",P2017:P2476)</f>
        <v>1</v>
      </c>
      <c r="Q2494" s="15">
        <f>SUMIF(B2017:B2476, "2022-11-14",Q2017:Q2476)</f>
        <v>7</v>
      </c>
      <c r="R2494" s="15">
        <f>SUMIF(B2017:B2476, "2022-11-14",R2017:R2476)</f>
        <v>0</v>
      </c>
      <c r="S2494" s="15">
        <f>SUMIF(B2017:B2476, "2022-11-14",S2017:S2476)</f>
        <v>9</v>
      </c>
      <c r="T2494" s="15">
        <f>SUMIF(B2017:B2476, "2022-11-14",T2017:T2476)</f>
        <v>1</v>
      </c>
      <c r="U2494" s="15">
        <f>SUMIF(B2017:B2476, "2022-11-14",U2017:U2476)</f>
        <v>0</v>
      </c>
      <c r="V2494" s="15">
        <f>SUMIF(B2017:B2476, "2022-11-14",V2017:V2476)</f>
        <v>3</v>
      </c>
      <c r="X2494" s="15">
        <f>SUMIF(B2017:B2476, "2022-11-14",X2017:X2476)</f>
        <v>1</v>
      </c>
      <c r="Y2494" s="15">
        <f>SUMIF(B2017:B2476, "2022-11-14",Y2017:Y2476)</f>
        <v>7</v>
      </c>
    </row>
    <row r="2500" spans="1:25" ht="45" x14ac:dyDescent="0.25">
      <c r="A2500" t="s">
        <v>26</v>
      </c>
      <c r="B2500" t="s">
        <v>3897</v>
      </c>
      <c r="C2500" t="s">
        <v>50</v>
      </c>
      <c r="D2500" t="s">
        <v>1013</v>
      </c>
      <c r="E2500" t="s">
        <v>30</v>
      </c>
      <c r="F2500" t="s">
        <v>130</v>
      </c>
      <c r="G2500" t="s">
        <v>32</v>
      </c>
      <c r="H2500" t="s">
        <v>87</v>
      </c>
      <c r="I2500" s="1" t="s">
        <v>3898</v>
      </c>
      <c r="T2500" s="15">
        <v>1</v>
      </c>
    </row>
    <row r="2501" spans="1:25" ht="75" x14ac:dyDescent="0.25">
      <c r="A2501" t="s">
        <v>26</v>
      </c>
      <c r="B2501" t="s">
        <v>3897</v>
      </c>
      <c r="C2501" t="s">
        <v>249</v>
      </c>
      <c r="D2501" t="s">
        <v>1454</v>
      </c>
      <c r="E2501" t="s">
        <v>30</v>
      </c>
      <c r="F2501" t="s">
        <v>119</v>
      </c>
      <c r="G2501" t="s">
        <v>32</v>
      </c>
      <c r="H2501" t="s">
        <v>33</v>
      </c>
      <c r="I2501" s="1" t="s">
        <v>3899</v>
      </c>
      <c r="S2501" s="15">
        <v>1</v>
      </c>
    </row>
    <row r="2502" spans="1:25" ht="135" x14ac:dyDescent="0.25">
      <c r="A2502" t="s">
        <v>26</v>
      </c>
      <c r="B2502" t="s">
        <v>3897</v>
      </c>
      <c r="C2502" t="s">
        <v>180</v>
      </c>
      <c r="D2502" t="s">
        <v>893</v>
      </c>
      <c r="E2502" t="s">
        <v>30</v>
      </c>
      <c r="F2502" t="s">
        <v>189</v>
      </c>
      <c r="G2502" t="s">
        <v>32</v>
      </c>
      <c r="H2502" t="s">
        <v>33</v>
      </c>
      <c r="I2502" s="1" t="s">
        <v>3900</v>
      </c>
      <c r="S2502" s="15">
        <v>1</v>
      </c>
    </row>
    <row r="2503" spans="1:25" ht="45" x14ac:dyDescent="0.25">
      <c r="A2503" t="s">
        <v>26</v>
      </c>
      <c r="B2503" t="s">
        <v>3897</v>
      </c>
      <c r="C2503" t="s">
        <v>73</v>
      </c>
      <c r="D2503" t="s">
        <v>1147</v>
      </c>
      <c r="E2503" t="s">
        <v>30</v>
      </c>
      <c r="F2503" t="s">
        <v>223</v>
      </c>
      <c r="G2503" t="s">
        <v>32</v>
      </c>
      <c r="H2503" t="s">
        <v>33</v>
      </c>
      <c r="I2503" s="1" t="s">
        <v>3901</v>
      </c>
      <c r="S2503" s="15">
        <v>1</v>
      </c>
    </row>
    <row r="2504" spans="1:25" ht="105" x14ac:dyDescent="0.25">
      <c r="A2504" t="s">
        <v>26</v>
      </c>
      <c r="B2504" t="s">
        <v>3897</v>
      </c>
      <c r="C2504" t="s">
        <v>180</v>
      </c>
      <c r="D2504" t="s">
        <v>893</v>
      </c>
      <c r="E2504" t="s">
        <v>30</v>
      </c>
      <c r="F2504" t="s">
        <v>52</v>
      </c>
      <c r="G2504" t="s">
        <v>32</v>
      </c>
      <c r="H2504" t="s">
        <v>87</v>
      </c>
      <c r="I2504" s="1" t="s">
        <v>3902</v>
      </c>
      <c r="T2504" s="15">
        <v>1</v>
      </c>
    </row>
    <row r="2505" spans="1:25" ht="45" x14ac:dyDescent="0.25">
      <c r="A2505" t="s">
        <v>26</v>
      </c>
      <c r="B2505" t="s">
        <v>3897</v>
      </c>
      <c r="C2505" t="s">
        <v>180</v>
      </c>
      <c r="D2505" t="s">
        <v>276</v>
      </c>
      <c r="E2505" t="s">
        <v>30</v>
      </c>
      <c r="F2505" t="s">
        <v>602</v>
      </c>
      <c r="G2505" t="s">
        <v>32</v>
      </c>
      <c r="H2505" t="s">
        <v>33</v>
      </c>
      <c r="I2505" s="1" t="s">
        <v>3903</v>
      </c>
      <c r="S2505" s="15">
        <v>1</v>
      </c>
    </row>
    <row r="2506" spans="1:25" ht="30" x14ac:dyDescent="0.25">
      <c r="A2506" t="s">
        <v>26</v>
      </c>
      <c r="B2506" t="s">
        <v>3897</v>
      </c>
      <c r="C2506" t="s">
        <v>28</v>
      </c>
      <c r="D2506" t="s">
        <v>715</v>
      </c>
      <c r="E2506" t="s">
        <v>30</v>
      </c>
      <c r="F2506" t="s">
        <v>446</v>
      </c>
      <c r="G2506" t="s">
        <v>32</v>
      </c>
      <c r="H2506" t="s">
        <v>173</v>
      </c>
      <c r="I2506" s="1" t="s">
        <v>3904</v>
      </c>
      <c r="Q2506" s="15">
        <v>1</v>
      </c>
      <c r="V2506" s="15">
        <v>1</v>
      </c>
    </row>
    <row r="2507" spans="1:25" ht="45" x14ac:dyDescent="0.25">
      <c r="A2507" t="s">
        <v>26</v>
      </c>
      <c r="B2507" t="s">
        <v>3897</v>
      </c>
      <c r="C2507" t="s">
        <v>240</v>
      </c>
      <c r="D2507" t="s">
        <v>1309</v>
      </c>
      <c r="E2507" t="s">
        <v>30</v>
      </c>
      <c r="F2507" t="s">
        <v>182</v>
      </c>
      <c r="G2507" t="s">
        <v>32</v>
      </c>
      <c r="H2507" t="s">
        <v>33</v>
      </c>
      <c r="I2507" s="1" t="s">
        <v>3905</v>
      </c>
      <c r="S2507" s="15">
        <v>1</v>
      </c>
    </row>
    <row r="2508" spans="1:25" ht="105" x14ac:dyDescent="0.25">
      <c r="A2508" t="s">
        <v>26</v>
      </c>
      <c r="B2508" t="s">
        <v>3897</v>
      </c>
      <c r="C2508" t="s">
        <v>44</v>
      </c>
      <c r="D2508" t="s">
        <v>146</v>
      </c>
      <c r="E2508" t="s">
        <v>30</v>
      </c>
      <c r="F2508" t="s">
        <v>102</v>
      </c>
      <c r="G2508" t="s">
        <v>32</v>
      </c>
      <c r="H2508" t="s">
        <v>33</v>
      </c>
      <c r="I2508" s="1" t="s">
        <v>3906</v>
      </c>
      <c r="S2508" s="15">
        <v>1</v>
      </c>
    </row>
    <row r="2509" spans="1:25" ht="60" x14ac:dyDescent="0.25">
      <c r="A2509" t="s">
        <v>26</v>
      </c>
      <c r="B2509" t="s">
        <v>3897</v>
      </c>
      <c r="C2509" t="s">
        <v>28</v>
      </c>
      <c r="D2509" t="s">
        <v>715</v>
      </c>
      <c r="E2509" t="s">
        <v>30</v>
      </c>
      <c r="F2509" t="s">
        <v>136</v>
      </c>
      <c r="G2509" t="s">
        <v>69</v>
      </c>
      <c r="H2509" t="s">
        <v>87</v>
      </c>
      <c r="I2509" s="1" t="s">
        <v>3907</v>
      </c>
      <c r="Y2509">
        <v>1</v>
      </c>
    </row>
    <row r="2510" spans="1:25" ht="90" x14ac:dyDescent="0.25">
      <c r="A2510" t="s">
        <v>26</v>
      </c>
      <c r="B2510" t="s">
        <v>3897</v>
      </c>
      <c r="C2510" t="s">
        <v>28</v>
      </c>
      <c r="D2510" t="s">
        <v>3908</v>
      </c>
      <c r="E2510" t="s">
        <v>30</v>
      </c>
      <c r="F2510" t="s">
        <v>189</v>
      </c>
      <c r="G2510" t="s">
        <v>32</v>
      </c>
      <c r="H2510" t="s">
        <v>33</v>
      </c>
      <c r="I2510" s="1" t="s">
        <v>3909</v>
      </c>
      <c r="S2510" s="15">
        <v>1</v>
      </c>
      <c r="W2510" s="15">
        <v>1</v>
      </c>
    </row>
    <row r="2511" spans="1:25" ht="120" x14ac:dyDescent="0.25">
      <c r="A2511" t="s">
        <v>26</v>
      </c>
      <c r="B2511" t="s">
        <v>3897</v>
      </c>
      <c r="C2511" t="s">
        <v>106</v>
      </c>
      <c r="D2511" t="s">
        <v>605</v>
      </c>
      <c r="E2511" t="s">
        <v>79</v>
      </c>
      <c r="F2511" t="s">
        <v>658</v>
      </c>
      <c r="G2511" t="s">
        <v>69</v>
      </c>
      <c r="H2511" t="s">
        <v>173</v>
      </c>
      <c r="I2511" s="1" t="s">
        <v>3910</v>
      </c>
      <c r="T2511" s="15">
        <v>1</v>
      </c>
    </row>
    <row r="2512" spans="1:25" ht="105" x14ac:dyDescent="0.25">
      <c r="A2512" t="s">
        <v>26</v>
      </c>
      <c r="B2512" t="s">
        <v>3897</v>
      </c>
      <c r="C2512" t="s">
        <v>44</v>
      </c>
      <c r="D2512" t="s">
        <v>146</v>
      </c>
      <c r="E2512" t="s">
        <v>30</v>
      </c>
      <c r="F2512" t="s">
        <v>130</v>
      </c>
      <c r="G2512" t="s">
        <v>32</v>
      </c>
      <c r="H2512" t="s">
        <v>87</v>
      </c>
      <c r="I2512" s="1" t="s">
        <v>3911</v>
      </c>
      <c r="N2512" s="15">
        <v>1</v>
      </c>
      <c r="P2512" s="15">
        <v>1</v>
      </c>
      <c r="S2512" s="15">
        <v>1</v>
      </c>
      <c r="Y2512">
        <v>1</v>
      </c>
    </row>
    <row r="2513" spans="1:25" ht="105" x14ac:dyDescent="0.25">
      <c r="A2513" t="s">
        <v>49</v>
      </c>
      <c r="B2513" t="s">
        <v>3897</v>
      </c>
      <c r="C2513" t="s">
        <v>28</v>
      </c>
      <c r="D2513" t="s">
        <v>3912</v>
      </c>
      <c r="E2513" t="s">
        <v>30</v>
      </c>
      <c r="F2513" t="s">
        <v>108</v>
      </c>
      <c r="G2513" t="s">
        <v>32</v>
      </c>
      <c r="H2513" t="s">
        <v>173</v>
      </c>
      <c r="I2513" s="1" t="s">
        <v>3913</v>
      </c>
      <c r="P2513" s="15">
        <v>1</v>
      </c>
    </row>
    <row r="2514" spans="1:25" ht="105" x14ac:dyDescent="0.25">
      <c r="A2514" t="s">
        <v>49</v>
      </c>
      <c r="B2514" t="s">
        <v>3897</v>
      </c>
      <c r="C2514" t="s">
        <v>92</v>
      </c>
      <c r="D2514" t="s">
        <v>690</v>
      </c>
      <c r="E2514" t="s">
        <v>30</v>
      </c>
      <c r="F2514" t="s">
        <v>177</v>
      </c>
      <c r="G2514" t="s">
        <v>32</v>
      </c>
      <c r="H2514" t="s">
        <v>173</v>
      </c>
      <c r="I2514" s="1" t="s">
        <v>3914</v>
      </c>
      <c r="P2514" s="15">
        <v>1</v>
      </c>
      <c r="Y2514">
        <v>1</v>
      </c>
    </row>
    <row r="2515" spans="1:25" ht="30" x14ac:dyDescent="0.25">
      <c r="A2515" t="s">
        <v>26</v>
      </c>
      <c r="B2515" t="s">
        <v>3897</v>
      </c>
      <c r="C2515" t="s">
        <v>44</v>
      </c>
      <c r="D2515" t="s">
        <v>741</v>
      </c>
      <c r="E2515" t="s">
        <v>30</v>
      </c>
      <c r="F2515" t="s">
        <v>202</v>
      </c>
      <c r="G2515" t="s">
        <v>32</v>
      </c>
      <c r="H2515" t="s">
        <v>33</v>
      </c>
      <c r="I2515" s="1" t="s">
        <v>3915</v>
      </c>
      <c r="O2515" s="15">
        <v>1</v>
      </c>
    </row>
    <row r="2516" spans="1:25" ht="45" x14ac:dyDescent="0.25">
      <c r="A2516" t="s">
        <v>26</v>
      </c>
      <c r="B2516" t="s">
        <v>3897</v>
      </c>
      <c r="C2516" t="s">
        <v>28</v>
      </c>
      <c r="D2516" t="s">
        <v>1223</v>
      </c>
      <c r="E2516" t="s">
        <v>30</v>
      </c>
      <c r="F2516" t="s">
        <v>154</v>
      </c>
      <c r="G2516" t="s">
        <v>32</v>
      </c>
      <c r="H2516" t="s">
        <v>33</v>
      </c>
      <c r="I2516" s="1" t="s">
        <v>3916</v>
      </c>
      <c r="X2516" s="15">
        <v>1</v>
      </c>
    </row>
    <row r="2517" spans="1:25" ht="45" x14ac:dyDescent="0.25">
      <c r="A2517" t="s">
        <v>49</v>
      </c>
      <c r="B2517" t="s">
        <v>3897</v>
      </c>
      <c r="C2517" t="s">
        <v>28</v>
      </c>
      <c r="D2517" t="s">
        <v>528</v>
      </c>
      <c r="E2517" t="s">
        <v>30</v>
      </c>
      <c r="F2517" t="s">
        <v>1181</v>
      </c>
      <c r="G2517" t="s">
        <v>32</v>
      </c>
      <c r="H2517" t="s">
        <v>33</v>
      </c>
      <c r="I2517" s="1" t="s">
        <v>3917</v>
      </c>
      <c r="W2517" s="15">
        <v>1</v>
      </c>
      <c r="X2517" s="15">
        <v>1</v>
      </c>
    </row>
    <row r="2518" spans="1:25" ht="45" x14ac:dyDescent="0.25">
      <c r="A2518" t="s">
        <v>49</v>
      </c>
      <c r="B2518" t="s">
        <v>3897</v>
      </c>
      <c r="C2518" t="s">
        <v>28</v>
      </c>
      <c r="D2518" t="s">
        <v>153</v>
      </c>
      <c r="E2518" t="s">
        <v>30</v>
      </c>
      <c r="F2518" t="s">
        <v>602</v>
      </c>
      <c r="G2518" t="s">
        <v>32</v>
      </c>
      <c r="H2518" t="s">
        <v>33</v>
      </c>
      <c r="I2518" s="1" t="s">
        <v>3918</v>
      </c>
      <c r="O2518" s="15">
        <v>1</v>
      </c>
      <c r="S2518" s="15">
        <v>1</v>
      </c>
    </row>
    <row r="2519" spans="1:25" ht="105" x14ac:dyDescent="0.25">
      <c r="A2519" t="s">
        <v>49</v>
      </c>
      <c r="B2519" t="s">
        <v>3897</v>
      </c>
      <c r="C2519" t="s">
        <v>28</v>
      </c>
      <c r="D2519" t="s">
        <v>715</v>
      </c>
      <c r="E2519" t="s">
        <v>79</v>
      </c>
      <c r="F2519" t="s">
        <v>280</v>
      </c>
      <c r="G2519" t="s">
        <v>32</v>
      </c>
      <c r="H2519" t="s">
        <v>33</v>
      </c>
      <c r="I2519" s="1" t="s">
        <v>3919</v>
      </c>
      <c r="S2519" s="15">
        <v>1</v>
      </c>
    </row>
    <row r="2520" spans="1:25" ht="120" x14ac:dyDescent="0.25">
      <c r="A2520" t="s">
        <v>49</v>
      </c>
      <c r="B2520" t="s">
        <v>3897</v>
      </c>
      <c r="C2520" t="s">
        <v>235</v>
      </c>
      <c r="D2520" t="s">
        <v>1158</v>
      </c>
      <c r="E2520" t="s">
        <v>30</v>
      </c>
      <c r="F2520" t="s">
        <v>126</v>
      </c>
      <c r="G2520" t="s">
        <v>32</v>
      </c>
      <c r="H2520" t="s">
        <v>87</v>
      </c>
      <c r="I2520" s="1" t="s">
        <v>3920</v>
      </c>
      <c r="W2520" s="15">
        <v>1</v>
      </c>
    </row>
    <row r="2521" spans="1:25" ht="45" x14ac:dyDescent="0.25">
      <c r="A2521" t="s">
        <v>37</v>
      </c>
      <c r="B2521" t="s">
        <v>3897</v>
      </c>
      <c r="C2521" t="s">
        <v>96</v>
      </c>
      <c r="D2521" t="s">
        <v>3921</v>
      </c>
      <c r="E2521" t="s">
        <v>30</v>
      </c>
      <c r="F2521" t="s">
        <v>520</v>
      </c>
      <c r="G2521" t="s">
        <v>32</v>
      </c>
      <c r="H2521" t="s">
        <v>33</v>
      </c>
      <c r="I2521" s="1" t="s">
        <v>3922</v>
      </c>
      <c r="S2521" s="15">
        <v>1</v>
      </c>
    </row>
    <row r="2522" spans="1:25" ht="30" x14ac:dyDescent="0.25">
      <c r="A2522" t="s">
        <v>64</v>
      </c>
      <c r="B2522" t="s">
        <v>3897</v>
      </c>
      <c r="C2522" t="s">
        <v>50</v>
      </c>
      <c r="D2522" t="s">
        <v>1567</v>
      </c>
      <c r="E2522" t="s">
        <v>79</v>
      </c>
      <c r="F2522" t="s">
        <v>246</v>
      </c>
      <c r="G2522" t="s">
        <v>32</v>
      </c>
      <c r="H2522" t="s">
        <v>33</v>
      </c>
      <c r="I2522" s="1" t="s">
        <v>3923</v>
      </c>
      <c r="W2522" s="15">
        <v>1</v>
      </c>
    </row>
    <row r="2523" spans="1:25" ht="120" x14ac:dyDescent="0.25">
      <c r="A2523" t="s">
        <v>49</v>
      </c>
      <c r="B2523" t="s">
        <v>3897</v>
      </c>
      <c r="C2523" t="s">
        <v>28</v>
      </c>
      <c r="D2523" t="s">
        <v>528</v>
      </c>
      <c r="E2523" t="s">
        <v>30</v>
      </c>
      <c r="F2523" t="s">
        <v>108</v>
      </c>
      <c r="G2523" t="s">
        <v>69</v>
      </c>
      <c r="H2523" t="s">
        <v>173</v>
      </c>
      <c r="I2523" s="1" t="s">
        <v>3924</v>
      </c>
      <c r="P2523" s="15">
        <v>1</v>
      </c>
    </row>
    <row r="2524" spans="1:25" ht="60" x14ac:dyDescent="0.25">
      <c r="A2524" t="s">
        <v>37</v>
      </c>
      <c r="B2524" t="s">
        <v>3897</v>
      </c>
      <c r="C2524" t="s">
        <v>235</v>
      </c>
      <c r="D2524" t="s">
        <v>3925</v>
      </c>
      <c r="E2524" t="s">
        <v>79</v>
      </c>
      <c r="F2524" t="s">
        <v>46</v>
      </c>
      <c r="G2524" t="s">
        <v>32</v>
      </c>
      <c r="H2524" t="s">
        <v>33</v>
      </c>
      <c r="I2524" s="1" t="s">
        <v>3926</v>
      </c>
      <c r="S2524" s="15">
        <v>1</v>
      </c>
    </row>
    <row r="2525" spans="1:25" ht="75" x14ac:dyDescent="0.25">
      <c r="A2525" t="s">
        <v>37</v>
      </c>
      <c r="B2525" t="s">
        <v>3897</v>
      </c>
      <c r="C2525" t="s">
        <v>44</v>
      </c>
      <c r="D2525" t="s">
        <v>821</v>
      </c>
      <c r="E2525" t="s">
        <v>30</v>
      </c>
      <c r="F2525" t="s">
        <v>46</v>
      </c>
      <c r="G2525" t="s">
        <v>32</v>
      </c>
      <c r="H2525" t="s">
        <v>87</v>
      </c>
      <c r="I2525" s="1" t="s">
        <v>3927</v>
      </c>
      <c r="P2525" s="15">
        <v>1</v>
      </c>
      <c r="Y2525">
        <v>1</v>
      </c>
    </row>
    <row r="2526" spans="1:25" ht="60" x14ac:dyDescent="0.25">
      <c r="A2526" t="s">
        <v>64</v>
      </c>
      <c r="B2526" t="s">
        <v>3897</v>
      </c>
      <c r="C2526" t="s">
        <v>180</v>
      </c>
      <c r="D2526" t="s">
        <v>3928</v>
      </c>
      <c r="E2526" t="s">
        <v>30</v>
      </c>
      <c r="F2526" t="s">
        <v>492</v>
      </c>
      <c r="G2526" t="s">
        <v>69</v>
      </c>
      <c r="H2526" t="s">
        <v>87</v>
      </c>
      <c r="I2526" s="1" t="s">
        <v>3929</v>
      </c>
      <c r="Q2526" s="15">
        <v>1</v>
      </c>
      <c r="V2526" s="15">
        <v>1</v>
      </c>
    </row>
    <row r="2527" spans="1:25" ht="30" x14ac:dyDescent="0.25">
      <c r="A2527" t="s">
        <v>91</v>
      </c>
      <c r="B2527" t="s">
        <v>3897</v>
      </c>
      <c r="C2527" t="s">
        <v>38</v>
      </c>
      <c r="D2527" t="s">
        <v>2747</v>
      </c>
      <c r="E2527" t="s">
        <v>79</v>
      </c>
      <c r="F2527" t="s">
        <v>161</v>
      </c>
      <c r="G2527" t="s">
        <v>32</v>
      </c>
      <c r="H2527" t="s">
        <v>173</v>
      </c>
      <c r="I2527" s="1" t="s">
        <v>3930</v>
      </c>
      <c r="P2527" s="15">
        <v>1</v>
      </c>
    </row>
    <row r="2528" spans="1:25" ht="60" x14ac:dyDescent="0.25">
      <c r="A2528" t="s">
        <v>37</v>
      </c>
      <c r="B2528" t="s">
        <v>3897</v>
      </c>
      <c r="C2528" t="s">
        <v>235</v>
      </c>
      <c r="D2528" t="s">
        <v>1026</v>
      </c>
      <c r="E2528" t="s">
        <v>30</v>
      </c>
      <c r="F2528" t="s">
        <v>389</v>
      </c>
      <c r="G2528" t="s">
        <v>32</v>
      </c>
      <c r="H2528" t="s">
        <v>33</v>
      </c>
      <c r="I2528" s="1" t="s">
        <v>3931</v>
      </c>
      <c r="S2528" s="15">
        <v>1</v>
      </c>
    </row>
    <row r="2529" spans="1:24" ht="45" x14ac:dyDescent="0.25">
      <c r="A2529" t="s">
        <v>64</v>
      </c>
      <c r="B2529" t="s">
        <v>3897</v>
      </c>
      <c r="C2529" t="s">
        <v>240</v>
      </c>
      <c r="D2529" t="s">
        <v>1595</v>
      </c>
      <c r="E2529" t="s">
        <v>30</v>
      </c>
      <c r="F2529" t="s">
        <v>290</v>
      </c>
      <c r="G2529" t="s">
        <v>32</v>
      </c>
      <c r="H2529" t="s">
        <v>33</v>
      </c>
      <c r="I2529" s="1" t="s">
        <v>3932</v>
      </c>
      <c r="S2529" s="15">
        <v>1</v>
      </c>
    </row>
    <row r="2530" spans="1:24" ht="30" x14ac:dyDescent="0.25">
      <c r="A2530" t="s">
        <v>64</v>
      </c>
      <c r="B2530" t="s">
        <v>3897</v>
      </c>
      <c r="C2530" t="s">
        <v>69</v>
      </c>
      <c r="D2530" t="s">
        <v>3933</v>
      </c>
      <c r="E2530" t="s">
        <v>30</v>
      </c>
      <c r="F2530" t="s">
        <v>365</v>
      </c>
      <c r="G2530" t="s">
        <v>69</v>
      </c>
      <c r="H2530" t="s">
        <v>33</v>
      </c>
      <c r="I2530" s="1" t="s">
        <v>3934</v>
      </c>
      <c r="W2530" s="15">
        <v>1</v>
      </c>
    </row>
    <row r="2531" spans="1:24" ht="30" x14ac:dyDescent="0.25">
      <c r="A2531" t="s">
        <v>37</v>
      </c>
      <c r="B2531" t="s">
        <v>3897</v>
      </c>
      <c r="C2531" t="s">
        <v>249</v>
      </c>
      <c r="D2531" t="s">
        <v>734</v>
      </c>
      <c r="E2531" t="s">
        <v>30</v>
      </c>
      <c r="F2531" t="s">
        <v>140</v>
      </c>
      <c r="G2531" t="s">
        <v>69</v>
      </c>
      <c r="H2531" t="s">
        <v>87</v>
      </c>
      <c r="I2531" s="1" t="s">
        <v>3935</v>
      </c>
      <c r="T2531" s="15">
        <v>1</v>
      </c>
    </row>
    <row r="2532" spans="1:24" ht="105" x14ac:dyDescent="0.25">
      <c r="A2532" t="s">
        <v>64</v>
      </c>
      <c r="B2532" t="s">
        <v>3897</v>
      </c>
      <c r="C2532" t="s">
        <v>38</v>
      </c>
      <c r="D2532" t="s">
        <v>2747</v>
      </c>
      <c r="E2532" t="s">
        <v>79</v>
      </c>
      <c r="F2532" t="s">
        <v>389</v>
      </c>
      <c r="G2532" t="s">
        <v>32</v>
      </c>
      <c r="H2532" t="s">
        <v>87</v>
      </c>
      <c r="I2532" s="1" t="s">
        <v>3936</v>
      </c>
      <c r="S2532" s="15">
        <v>1</v>
      </c>
    </row>
    <row r="2533" spans="1:24" ht="45" x14ac:dyDescent="0.25">
      <c r="A2533" t="s">
        <v>64</v>
      </c>
      <c r="B2533" t="s">
        <v>3897</v>
      </c>
      <c r="C2533" t="s">
        <v>44</v>
      </c>
      <c r="D2533" t="s">
        <v>622</v>
      </c>
      <c r="E2533" t="s">
        <v>30</v>
      </c>
      <c r="F2533" t="s">
        <v>61</v>
      </c>
      <c r="G2533" t="s">
        <v>32</v>
      </c>
      <c r="H2533" t="s">
        <v>33</v>
      </c>
      <c r="I2533" s="1" t="s">
        <v>3937</v>
      </c>
      <c r="S2533" s="15">
        <v>1</v>
      </c>
    </row>
    <row r="2534" spans="1:24" ht="105" x14ac:dyDescent="0.25">
      <c r="A2534" t="s">
        <v>37</v>
      </c>
      <c r="B2534" t="s">
        <v>3897</v>
      </c>
      <c r="C2534" t="s">
        <v>44</v>
      </c>
      <c r="D2534" t="s">
        <v>655</v>
      </c>
      <c r="E2534" t="s">
        <v>30</v>
      </c>
      <c r="F2534" t="s">
        <v>166</v>
      </c>
      <c r="G2534" t="s">
        <v>32</v>
      </c>
      <c r="H2534" t="s">
        <v>87</v>
      </c>
      <c r="I2534" s="1" t="s">
        <v>3938</v>
      </c>
      <c r="N2534" s="15">
        <v>1</v>
      </c>
    </row>
    <row r="2535" spans="1:24" ht="75" x14ac:dyDescent="0.25">
      <c r="A2535" t="s">
        <v>37</v>
      </c>
      <c r="B2535" t="s">
        <v>3897</v>
      </c>
      <c r="C2535" t="s">
        <v>55</v>
      </c>
      <c r="D2535" t="s">
        <v>392</v>
      </c>
      <c r="E2535" t="s">
        <v>30</v>
      </c>
      <c r="F2535" t="s">
        <v>46</v>
      </c>
      <c r="G2535" t="s">
        <v>32</v>
      </c>
      <c r="H2535" t="s">
        <v>173</v>
      </c>
      <c r="I2535" s="1" t="s">
        <v>3939</v>
      </c>
      <c r="P2535" s="15">
        <v>1</v>
      </c>
      <c r="S2535" s="15">
        <v>1</v>
      </c>
    </row>
    <row r="2536" spans="1:24" ht="30" x14ac:dyDescent="0.25">
      <c r="A2536" t="s">
        <v>64</v>
      </c>
      <c r="B2536" t="s">
        <v>3897</v>
      </c>
      <c r="C2536" t="s">
        <v>32</v>
      </c>
      <c r="D2536" t="s">
        <v>1915</v>
      </c>
      <c r="E2536" t="s">
        <v>79</v>
      </c>
      <c r="F2536" t="s">
        <v>130</v>
      </c>
      <c r="G2536" t="s">
        <v>263</v>
      </c>
      <c r="H2536" t="s">
        <v>33</v>
      </c>
      <c r="I2536" s="1" t="s">
        <v>3940</v>
      </c>
      <c r="X2536" s="15">
        <v>1</v>
      </c>
    </row>
    <row r="2537" spans="1:24" ht="75" x14ac:dyDescent="0.25">
      <c r="A2537" t="s">
        <v>26</v>
      </c>
      <c r="B2537" t="s">
        <v>3941</v>
      </c>
      <c r="C2537" t="s">
        <v>249</v>
      </c>
      <c r="D2537" t="s">
        <v>862</v>
      </c>
      <c r="E2537" t="s">
        <v>30</v>
      </c>
      <c r="F2537" t="s">
        <v>61</v>
      </c>
      <c r="G2537" t="s">
        <v>32</v>
      </c>
      <c r="H2537" t="s">
        <v>33</v>
      </c>
      <c r="I2537" s="1" t="s">
        <v>3942</v>
      </c>
      <c r="S2537" s="15">
        <v>1</v>
      </c>
    </row>
    <row r="2538" spans="1:24" ht="105" x14ac:dyDescent="0.25">
      <c r="A2538" t="s">
        <v>26</v>
      </c>
      <c r="B2538" t="s">
        <v>3941</v>
      </c>
      <c r="C2538" t="s">
        <v>50</v>
      </c>
      <c r="D2538" t="s">
        <v>3943</v>
      </c>
      <c r="E2538" t="s">
        <v>79</v>
      </c>
      <c r="F2538" t="s">
        <v>1142</v>
      </c>
      <c r="G2538" t="s">
        <v>69</v>
      </c>
      <c r="H2538" t="s">
        <v>87</v>
      </c>
      <c r="I2538" s="1" t="s">
        <v>3944</v>
      </c>
      <c r="N2538" s="15">
        <v>1</v>
      </c>
    </row>
    <row r="2539" spans="1:24" ht="45" x14ac:dyDescent="0.25">
      <c r="A2539" t="s">
        <v>26</v>
      </c>
      <c r="B2539" t="s">
        <v>3941</v>
      </c>
      <c r="C2539" t="s">
        <v>96</v>
      </c>
      <c r="D2539" t="s">
        <v>1152</v>
      </c>
      <c r="E2539" t="s">
        <v>30</v>
      </c>
      <c r="F2539" t="s">
        <v>417</v>
      </c>
      <c r="G2539" t="s">
        <v>32</v>
      </c>
      <c r="H2539" t="s">
        <v>33</v>
      </c>
      <c r="I2539" s="1" t="s">
        <v>3945</v>
      </c>
      <c r="N2539" s="15">
        <v>1</v>
      </c>
    </row>
    <row r="2540" spans="1:24" ht="45" x14ac:dyDescent="0.25">
      <c r="A2540" t="s">
        <v>26</v>
      </c>
      <c r="B2540" t="s">
        <v>3941</v>
      </c>
      <c r="C2540" t="s">
        <v>106</v>
      </c>
      <c r="D2540" t="s">
        <v>107</v>
      </c>
      <c r="E2540" t="s">
        <v>30</v>
      </c>
      <c r="F2540" t="s">
        <v>94</v>
      </c>
      <c r="G2540" t="s">
        <v>32</v>
      </c>
      <c r="H2540" t="s">
        <v>173</v>
      </c>
      <c r="I2540" s="1" t="s">
        <v>3946</v>
      </c>
      <c r="O2540" s="15">
        <v>1</v>
      </c>
      <c r="S2540" s="15">
        <v>1</v>
      </c>
    </row>
    <row r="2541" spans="1:24" ht="30" x14ac:dyDescent="0.25">
      <c r="A2541" t="s">
        <v>26</v>
      </c>
      <c r="B2541" t="s">
        <v>3941</v>
      </c>
      <c r="C2541" t="s">
        <v>96</v>
      </c>
      <c r="D2541" t="s">
        <v>1064</v>
      </c>
      <c r="E2541" t="s">
        <v>30</v>
      </c>
      <c r="F2541" t="s">
        <v>446</v>
      </c>
      <c r="G2541" t="s">
        <v>69</v>
      </c>
      <c r="H2541" t="s">
        <v>33</v>
      </c>
      <c r="I2541" s="1" t="s">
        <v>3947</v>
      </c>
      <c r="S2541" s="15">
        <v>1</v>
      </c>
    </row>
    <row r="2542" spans="1:24" ht="105" x14ac:dyDescent="0.25">
      <c r="A2542" t="s">
        <v>26</v>
      </c>
      <c r="B2542" t="s">
        <v>3941</v>
      </c>
      <c r="C2542" t="s">
        <v>180</v>
      </c>
      <c r="D2542" t="s">
        <v>1105</v>
      </c>
      <c r="E2542" t="s">
        <v>30</v>
      </c>
      <c r="F2542" t="s">
        <v>94</v>
      </c>
      <c r="G2542" t="s">
        <v>32</v>
      </c>
      <c r="H2542" t="s">
        <v>87</v>
      </c>
      <c r="I2542" s="1" t="s">
        <v>3948</v>
      </c>
      <c r="Q2542" s="15">
        <v>1</v>
      </c>
      <c r="V2542" s="15">
        <v>1</v>
      </c>
    </row>
    <row r="2543" spans="1:24" ht="105" x14ac:dyDescent="0.25">
      <c r="A2543" t="s">
        <v>49</v>
      </c>
      <c r="B2543" t="s">
        <v>3941</v>
      </c>
      <c r="C2543" t="s">
        <v>240</v>
      </c>
      <c r="D2543" t="s">
        <v>882</v>
      </c>
      <c r="E2543" t="s">
        <v>30</v>
      </c>
      <c r="F2543" t="s">
        <v>126</v>
      </c>
      <c r="G2543" t="s">
        <v>69</v>
      </c>
      <c r="H2543" t="s">
        <v>33</v>
      </c>
      <c r="I2543" s="1" t="s">
        <v>3949</v>
      </c>
      <c r="S2543" s="15">
        <v>1</v>
      </c>
    </row>
    <row r="2544" spans="1:24" ht="90" x14ac:dyDescent="0.25">
      <c r="A2544" t="s">
        <v>26</v>
      </c>
      <c r="B2544" t="s">
        <v>3941</v>
      </c>
      <c r="C2544" t="s">
        <v>55</v>
      </c>
      <c r="D2544" t="s">
        <v>3950</v>
      </c>
      <c r="E2544" t="s">
        <v>30</v>
      </c>
      <c r="F2544" t="s">
        <v>98</v>
      </c>
      <c r="G2544" t="s">
        <v>81</v>
      </c>
      <c r="H2544" t="s">
        <v>173</v>
      </c>
      <c r="I2544" s="1" t="s">
        <v>3951</v>
      </c>
      <c r="P2544" s="15">
        <v>1</v>
      </c>
    </row>
    <row r="2545" spans="1:25" ht="30" x14ac:dyDescent="0.25">
      <c r="A2545" t="s">
        <v>26</v>
      </c>
      <c r="B2545" t="s">
        <v>3941</v>
      </c>
      <c r="C2545" t="s">
        <v>472</v>
      </c>
      <c r="D2545" t="s">
        <v>3952</v>
      </c>
      <c r="E2545" t="s">
        <v>30</v>
      </c>
      <c r="F2545" t="s">
        <v>108</v>
      </c>
      <c r="G2545" t="s">
        <v>32</v>
      </c>
      <c r="H2545" t="s">
        <v>173</v>
      </c>
      <c r="I2545" s="1" t="s">
        <v>3953</v>
      </c>
      <c r="W2545" s="15">
        <v>1</v>
      </c>
    </row>
    <row r="2546" spans="1:25" ht="105" x14ac:dyDescent="0.25">
      <c r="A2546" t="s">
        <v>49</v>
      </c>
      <c r="B2546" t="s">
        <v>3941</v>
      </c>
      <c r="C2546" t="s">
        <v>106</v>
      </c>
      <c r="D2546" t="s">
        <v>779</v>
      </c>
      <c r="E2546" t="s">
        <v>30</v>
      </c>
      <c r="F2546" t="s">
        <v>294</v>
      </c>
      <c r="G2546" t="s">
        <v>81</v>
      </c>
      <c r="H2546" t="s">
        <v>87</v>
      </c>
      <c r="I2546" s="1" t="s">
        <v>3954</v>
      </c>
      <c r="W2546" s="15">
        <v>1</v>
      </c>
    </row>
    <row r="2547" spans="1:25" ht="105" x14ac:dyDescent="0.25">
      <c r="A2547" t="s">
        <v>49</v>
      </c>
      <c r="B2547" t="s">
        <v>3941</v>
      </c>
      <c r="C2547" t="s">
        <v>28</v>
      </c>
      <c r="D2547" t="s">
        <v>1761</v>
      </c>
      <c r="E2547" t="s">
        <v>79</v>
      </c>
      <c r="F2547" t="s">
        <v>40</v>
      </c>
      <c r="G2547" t="s">
        <v>69</v>
      </c>
      <c r="H2547" t="s">
        <v>87</v>
      </c>
      <c r="I2547" s="1" t="s">
        <v>3955</v>
      </c>
      <c r="P2547" s="15">
        <v>1</v>
      </c>
      <c r="Y2547">
        <v>1</v>
      </c>
    </row>
    <row r="2548" spans="1:25" ht="30" x14ac:dyDescent="0.25">
      <c r="A2548" t="s">
        <v>59</v>
      </c>
      <c r="B2548" t="s">
        <v>3941</v>
      </c>
      <c r="C2548" t="s">
        <v>69</v>
      </c>
      <c r="D2548" t="s">
        <v>297</v>
      </c>
      <c r="E2548" t="s">
        <v>30</v>
      </c>
      <c r="F2548" t="s">
        <v>189</v>
      </c>
      <c r="G2548" t="s">
        <v>32</v>
      </c>
      <c r="H2548" t="s">
        <v>87</v>
      </c>
      <c r="I2548" s="1" t="s">
        <v>3956</v>
      </c>
      <c r="M2548" s="15">
        <v>1</v>
      </c>
    </row>
    <row r="2549" spans="1:25" ht="45" x14ac:dyDescent="0.25">
      <c r="A2549" t="s">
        <v>37</v>
      </c>
      <c r="B2549" t="s">
        <v>3941</v>
      </c>
      <c r="C2549" t="s">
        <v>73</v>
      </c>
      <c r="D2549" t="s">
        <v>1781</v>
      </c>
      <c r="E2549" t="s">
        <v>30</v>
      </c>
      <c r="F2549" t="s">
        <v>189</v>
      </c>
      <c r="G2549" t="s">
        <v>32</v>
      </c>
      <c r="H2549" t="s">
        <v>173</v>
      </c>
      <c r="I2549" s="1" t="s">
        <v>3957</v>
      </c>
      <c r="W2549" s="15">
        <v>1</v>
      </c>
    </row>
    <row r="2550" spans="1:25" ht="75" x14ac:dyDescent="0.25">
      <c r="A2550" t="s">
        <v>26</v>
      </c>
      <c r="B2550" t="s">
        <v>3958</v>
      </c>
      <c r="C2550" t="s">
        <v>263</v>
      </c>
      <c r="D2550" t="s">
        <v>1128</v>
      </c>
      <c r="E2550" t="s">
        <v>30</v>
      </c>
      <c r="F2550" t="s">
        <v>61</v>
      </c>
      <c r="G2550" t="s">
        <v>32</v>
      </c>
      <c r="H2550" t="s">
        <v>33</v>
      </c>
      <c r="I2550" s="1" t="s">
        <v>3959</v>
      </c>
      <c r="S2550" s="15">
        <v>1</v>
      </c>
    </row>
    <row r="2551" spans="1:25" ht="60" x14ac:dyDescent="0.25">
      <c r="A2551" t="s">
        <v>26</v>
      </c>
      <c r="B2551" t="s">
        <v>3958</v>
      </c>
      <c r="C2551" t="s">
        <v>106</v>
      </c>
      <c r="D2551" t="s">
        <v>1958</v>
      </c>
      <c r="E2551" t="s">
        <v>30</v>
      </c>
      <c r="F2551" t="s">
        <v>112</v>
      </c>
      <c r="G2551" t="s">
        <v>32</v>
      </c>
      <c r="H2551" t="s">
        <v>33</v>
      </c>
      <c r="I2551" s="1" t="s">
        <v>3960</v>
      </c>
      <c r="S2551" s="15">
        <v>1</v>
      </c>
    </row>
    <row r="2552" spans="1:25" ht="60" x14ac:dyDescent="0.25">
      <c r="A2552" t="s">
        <v>26</v>
      </c>
      <c r="B2552" t="s">
        <v>3958</v>
      </c>
      <c r="C2552" t="s">
        <v>263</v>
      </c>
      <c r="D2552" t="s">
        <v>457</v>
      </c>
      <c r="E2552" t="s">
        <v>30</v>
      </c>
      <c r="F2552" t="s">
        <v>130</v>
      </c>
      <c r="G2552" t="s">
        <v>32</v>
      </c>
      <c r="H2552" t="s">
        <v>33</v>
      </c>
      <c r="I2552" s="1" t="s">
        <v>3961</v>
      </c>
      <c r="S2552" s="15">
        <v>1</v>
      </c>
    </row>
    <row r="2553" spans="1:25" ht="45" x14ac:dyDescent="0.25">
      <c r="A2553" t="s">
        <v>26</v>
      </c>
      <c r="B2553" t="s">
        <v>3958</v>
      </c>
      <c r="C2553" t="s">
        <v>240</v>
      </c>
      <c r="D2553" t="s">
        <v>3962</v>
      </c>
      <c r="E2553" t="s">
        <v>30</v>
      </c>
      <c r="F2553" t="s">
        <v>166</v>
      </c>
      <c r="G2553" t="s">
        <v>32</v>
      </c>
      <c r="H2553" t="s">
        <v>173</v>
      </c>
      <c r="I2553" s="1" t="s">
        <v>3963</v>
      </c>
      <c r="S2553" s="15">
        <v>1</v>
      </c>
    </row>
    <row r="2554" spans="1:25" ht="30" x14ac:dyDescent="0.25">
      <c r="A2554" t="s">
        <v>26</v>
      </c>
      <c r="B2554" t="s">
        <v>3958</v>
      </c>
      <c r="C2554" t="s">
        <v>92</v>
      </c>
      <c r="D2554" t="s">
        <v>3735</v>
      </c>
      <c r="E2554" t="s">
        <v>30</v>
      </c>
      <c r="F2554" t="s">
        <v>52</v>
      </c>
      <c r="G2554" t="s">
        <v>69</v>
      </c>
      <c r="H2554" t="s">
        <v>87</v>
      </c>
      <c r="I2554" s="1" t="s">
        <v>3964</v>
      </c>
      <c r="T2554" s="15">
        <v>1</v>
      </c>
    </row>
    <row r="2555" spans="1:25" ht="105" x14ac:dyDescent="0.25">
      <c r="A2555" t="s">
        <v>26</v>
      </c>
      <c r="B2555" t="s">
        <v>3958</v>
      </c>
      <c r="C2555" t="s">
        <v>44</v>
      </c>
      <c r="D2555" t="s">
        <v>165</v>
      </c>
      <c r="E2555" t="s">
        <v>30</v>
      </c>
      <c r="F2555" t="s">
        <v>389</v>
      </c>
      <c r="G2555" t="s">
        <v>32</v>
      </c>
      <c r="H2555" t="s">
        <v>33</v>
      </c>
      <c r="I2555" s="1" t="s">
        <v>3965</v>
      </c>
      <c r="S2555" s="15">
        <v>1</v>
      </c>
      <c r="T2555" s="15">
        <v>1</v>
      </c>
    </row>
    <row r="2556" spans="1:25" ht="30" x14ac:dyDescent="0.25">
      <c r="A2556" t="s">
        <v>26</v>
      </c>
      <c r="B2556" t="s">
        <v>3958</v>
      </c>
      <c r="C2556" t="s">
        <v>249</v>
      </c>
      <c r="D2556" t="s">
        <v>1454</v>
      </c>
      <c r="E2556" t="s">
        <v>30</v>
      </c>
      <c r="F2556" t="s">
        <v>46</v>
      </c>
      <c r="G2556" t="s">
        <v>32</v>
      </c>
      <c r="H2556" t="s">
        <v>173</v>
      </c>
      <c r="I2556" s="1" t="s">
        <v>3966</v>
      </c>
      <c r="Q2556" s="15">
        <v>1</v>
      </c>
    </row>
    <row r="2557" spans="1:25" ht="30" x14ac:dyDescent="0.25">
      <c r="A2557" t="s">
        <v>26</v>
      </c>
      <c r="B2557" t="s">
        <v>3958</v>
      </c>
      <c r="C2557" t="s">
        <v>69</v>
      </c>
      <c r="D2557" t="s">
        <v>819</v>
      </c>
      <c r="E2557" t="s">
        <v>30</v>
      </c>
      <c r="F2557" t="s">
        <v>40</v>
      </c>
      <c r="G2557" t="s">
        <v>81</v>
      </c>
      <c r="H2557" t="s">
        <v>87</v>
      </c>
      <c r="I2557" s="1" t="s">
        <v>3967</v>
      </c>
      <c r="T2557" s="15">
        <v>1</v>
      </c>
    </row>
    <row r="2558" spans="1:25" ht="105" x14ac:dyDescent="0.25">
      <c r="A2558" t="s">
        <v>26</v>
      </c>
      <c r="B2558" t="s">
        <v>3958</v>
      </c>
      <c r="C2558" t="s">
        <v>106</v>
      </c>
      <c r="D2558" t="s">
        <v>107</v>
      </c>
      <c r="E2558" t="s">
        <v>30</v>
      </c>
      <c r="F2558" t="s">
        <v>119</v>
      </c>
      <c r="G2558" t="s">
        <v>32</v>
      </c>
      <c r="H2558" t="s">
        <v>33</v>
      </c>
      <c r="I2558" s="1" t="s">
        <v>3968</v>
      </c>
      <c r="S2558" s="15">
        <v>1</v>
      </c>
    </row>
    <row r="2559" spans="1:25" x14ac:dyDescent="0.25">
      <c r="A2559" t="s">
        <v>26</v>
      </c>
      <c r="B2559" t="s">
        <v>3958</v>
      </c>
      <c r="C2559" t="s">
        <v>85</v>
      </c>
      <c r="D2559" t="s">
        <v>667</v>
      </c>
      <c r="E2559" t="s">
        <v>30</v>
      </c>
      <c r="F2559" t="s">
        <v>140</v>
      </c>
      <c r="G2559" t="s">
        <v>32</v>
      </c>
      <c r="H2559" t="s">
        <v>173</v>
      </c>
      <c r="I2559" s="1" t="s">
        <v>3969</v>
      </c>
      <c r="Q2559" s="15">
        <v>1</v>
      </c>
      <c r="V2559" s="15">
        <v>1</v>
      </c>
    </row>
    <row r="2560" spans="1:25" ht="30" x14ac:dyDescent="0.25">
      <c r="A2560" t="s">
        <v>26</v>
      </c>
      <c r="B2560" t="s">
        <v>3958</v>
      </c>
      <c r="C2560" t="s">
        <v>249</v>
      </c>
      <c r="D2560" t="s">
        <v>3970</v>
      </c>
      <c r="E2560" t="s">
        <v>30</v>
      </c>
      <c r="F2560" t="s">
        <v>140</v>
      </c>
      <c r="G2560" t="s">
        <v>32</v>
      </c>
      <c r="H2560" t="s">
        <v>173</v>
      </c>
      <c r="I2560" s="1" t="s">
        <v>3971</v>
      </c>
      <c r="Q2560" s="15">
        <v>1</v>
      </c>
    </row>
    <row r="2561" spans="1:24" ht="30" x14ac:dyDescent="0.25">
      <c r="A2561" t="s">
        <v>26</v>
      </c>
      <c r="B2561" t="s">
        <v>3958</v>
      </c>
      <c r="C2561" t="s">
        <v>44</v>
      </c>
      <c r="D2561" t="s">
        <v>655</v>
      </c>
      <c r="E2561" t="s">
        <v>30</v>
      </c>
      <c r="F2561" t="s">
        <v>202</v>
      </c>
      <c r="G2561" t="s">
        <v>32</v>
      </c>
      <c r="H2561" t="s">
        <v>87</v>
      </c>
      <c r="I2561" s="1" t="s">
        <v>3972</v>
      </c>
      <c r="N2561" s="15">
        <v>1</v>
      </c>
      <c r="V2561" s="15">
        <v>1</v>
      </c>
    </row>
    <row r="2562" spans="1:24" ht="45" x14ac:dyDescent="0.25">
      <c r="A2562" t="s">
        <v>26</v>
      </c>
      <c r="B2562" t="s">
        <v>3958</v>
      </c>
      <c r="C2562" t="s">
        <v>50</v>
      </c>
      <c r="D2562" t="s">
        <v>362</v>
      </c>
      <c r="E2562" t="s">
        <v>79</v>
      </c>
      <c r="F2562" t="s">
        <v>154</v>
      </c>
      <c r="G2562" t="s">
        <v>32</v>
      </c>
      <c r="H2562" t="s">
        <v>33</v>
      </c>
      <c r="I2562" s="1" t="s">
        <v>3973</v>
      </c>
      <c r="S2562" s="15">
        <v>1</v>
      </c>
    </row>
    <row r="2563" spans="1:24" ht="105" x14ac:dyDescent="0.25">
      <c r="A2563" t="s">
        <v>26</v>
      </c>
      <c r="B2563" t="s">
        <v>3958</v>
      </c>
      <c r="C2563" t="s">
        <v>28</v>
      </c>
      <c r="D2563" t="s">
        <v>1094</v>
      </c>
      <c r="E2563" t="s">
        <v>30</v>
      </c>
      <c r="F2563" t="s">
        <v>290</v>
      </c>
      <c r="G2563" t="s">
        <v>32</v>
      </c>
      <c r="H2563" t="s">
        <v>33</v>
      </c>
      <c r="I2563" s="1" t="s">
        <v>3974</v>
      </c>
      <c r="S2563" s="15">
        <v>1</v>
      </c>
    </row>
    <row r="2564" spans="1:24" ht="45" x14ac:dyDescent="0.25">
      <c r="A2564" t="s">
        <v>26</v>
      </c>
      <c r="B2564" t="s">
        <v>3958</v>
      </c>
      <c r="C2564" t="s">
        <v>44</v>
      </c>
      <c r="D2564" t="s">
        <v>2398</v>
      </c>
      <c r="E2564" t="s">
        <v>30</v>
      </c>
      <c r="F2564" t="s">
        <v>365</v>
      </c>
      <c r="G2564" t="s">
        <v>32</v>
      </c>
      <c r="H2564" t="s">
        <v>33</v>
      </c>
      <c r="I2564" s="1" t="s">
        <v>3975</v>
      </c>
      <c r="P2564" s="15">
        <v>1</v>
      </c>
      <c r="S2564" s="15">
        <v>1</v>
      </c>
    </row>
    <row r="2565" spans="1:24" ht="30" x14ac:dyDescent="0.25">
      <c r="A2565" t="s">
        <v>26</v>
      </c>
      <c r="B2565" t="s">
        <v>3958</v>
      </c>
      <c r="C2565" t="s">
        <v>85</v>
      </c>
      <c r="D2565" t="s">
        <v>1529</v>
      </c>
      <c r="E2565" t="s">
        <v>30</v>
      </c>
      <c r="F2565" t="s">
        <v>719</v>
      </c>
      <c r="G2565" t="s">
        <v>32</v>
      </c>
      <c r="H2565" t="s">
        <v>173</v>
      </c>
      <c r="I2565" s="1" t="s">
        <v>3976</v>
      </c>
      <c r="W2565" s="15">
        <v>1</v>
      </c>
    </row>
    <row r="2566" spans="1:24" ht="135" x14ac:dyDescent="0.25">
      <c r="A2566" t="s">
        <v>26</v>
      </c>
      <c r="B2566" t="s">
        <v>3958</v>
      </c>
      <c r="C2566" t="s">
        <v>85</v>
      </c>
      <c r="D2566" t="s">
        <v>2308</v>
      </c>
      <c r="E2566" t="s">
        <v>30</v>
      </c>
      <c r="F2566" t="s">
        <v>196</v>
      </c>
      <c r="G2566" t="s">
        <v>263</v>
      </c>
      <c r="H2566" t="s">
        <v>87</v>
      </c>
      <c r="I2566" s="1" t="s">
        <v>3977</v>
      </c>
      <c r="T2566" s="15">
        <v>1</v>
      </c>
      <c r="W2566" s="15">
        <v>1</v>
      </c>
    </row>
    <row r="2567" spans="1:24" ht="75" x14ac:dyDescent="0.25">
      <c r="A2567" t="s">
        <v>49</v>
      </c>
      <c r="B2567" t="s">
        <v>3958</v>
      </c>
      <c r="C2567" t="s">
        <v>50</v>
      </c>
      <c r="D2567" t="s">
        <v>817</v>
      </c>
      <c r="E2567" t="s">
        <v>79</v>
      </c>
      <c r="F2567" t="s">
        <v>1142</v>
      </c>
      <c r="G2567" t="s">
        <v>32</v>
      </c>
      <c r="H2567" t="s">
        <v>173</v>
      </c>
      <c r="I2567" s="1" t="s">
        <v>3978</v>
      </c>
      <c r="N2567" s="15">
        <v>1</v>
      </c>
      <c r="P2567" s="15">
        <v>1</v>
      </c>
    </row>
    <row r="2568" spans="1:24" ht="105" x14ac:dyDescent="0.25">
      <c r="A2568" t="s">
        <v>49</v>
      </c>
      <c r="B2568" t="s">
        <v>3958</v>
      </c>
      <c r="C2568" t="s">
        <v>263</v>
      </c>
      <c r="D2568" t="s">
        <v>3778</v>
      </c>
      <c r="E2568" t="s">
        <v>30</v>
      </c>
      <c r="F2568" t="s">
        <v>189</v>
      </c>
      <c r="G2568" t="s">
        <v>32</v>
      </c>
      <c r="H2568" t="s">
        <v>33</v>
      </c>
      <c r="I2568" s="1" t="s">
        <v>3979</v>
      </c>
      <c r="S2568" s="15">
        <v>1</v>
      </c>
      <c r="X2568" s="15">
        <v>1</v>
      </c>
    </row>
    <row r="2569" spans="1:24" ht="30" x14ac:dyDescent="0.25">
      <c r="A2569" t="s">
        <v>37</v>
      </c>
      <c r="B2569" t="s">
        <v>3958</v>
      </c>
      <c r="C2569" t="s">
        <v>85</v>
      </c>
      <c r="D2569" t="s">
        <v>510</v>
      </c>
      <c r="E2569" t="s">
        <v>30</v>
      </c>
      <c r="F2569" t="s">
        <v>108</v>
      </c>
      <c r="G2569" t="s">
        <v>69</v>
      </c>
      <c r="H2569" t="s">
        <v>33</v>
      </c>
      <c r="I2569" s="1" t="s">
        <v>3980</v>
      </c>
      <c r="S2569" s="15">
        <v>1</v>
      </c>
    </row>
    <row r="2570" spans="1:24" ht="45" x14ac:dyDescent="0.25">
      <c r="A2570" t="s">
        <v>49</v>
      </c>
      <c r="B2570" t="s">
        <v>3958</v>
      </c>
      <c r="C2570" t="s">
        <v>28</v>
      </c>
      <c r="D2570" t="s">
        <v>528</v>
      </c>
      <c r="E2570" t="s">
        <v>30</v>
      </c>
      <c r="F2570" t="s">
        <v>205</v>
      </c>
      <c r="G2570" t="s">
        <v>69</v>
      </c>
      <c r="H2570" t="s">
        <v>33</v>
      </c>
      <c r="I2570" s="1" t="s">
        <v>3981</v>
      </c>
      <c r="S2570" s="15">
        <v>1</v>
      </c>
    </row>
    <row r="2571" spans="1:24" x14ac:dyDescent="0.25">
      <c r="A2571" t="s">
        <v>49</v>
      </c>
      <c r="B2571" t="s">
        <v>3958</v>
      </c>
      <c r="C2571" t="s">
        <v>44</v>
      </c>
      <c r="D2571" t="s">
        <v>821</v>
      </c>
      <c r="E2571" t="s">
        <v>79</v>
      </c>
      <c r="F2571" t="s">
        <v>216</v>
      </c>
      <c r="G2571" t="s">
        <v>32</v>
      </c>
      <c r="H2571" t="s">
        <v>33</v>
      </c>
      <c r="I2571" s="1" t="s">
        <v>3982</v>
      </c>
      <c r="S2571" s="15">
        <v>1</v>
      </c>
    </row>
    <row r="2572" spans="1:24" ht="30" x14ac:dyDescent="0.25">
      <c r="A2572" t="s">
        <v>49</v>
      </c>
      <c r="B2572" t="s">
        <v>3958</v>
      </c>
      <c r="C2572" t="s">
        <v>235</v>
      </c>
      <c r="D2572" t="s">
        <v>1467</v>
      </c>
      <c r="E2572" t="s">
        <v>30</v>
      </c>
      <c r="F2572" t="s">
        <v>130</v>
      </c>
      <c r="G2572" t="s">
        <v>69</v>
      </c>
      <c r="H2572" t="s">
        <v>33</v>
      </c>
      <c r="I2572" s="1" t="s">
        <v>3983</v>
      </c>
      <c r="N2572" s="15">
        <v>1</v>
      </c>
      <c r="O2572" s="15">
        <v>1</v>
      </c>
    </row>
    <row r="2573" spans="1:24" ht="30" x14ac:dyDescent="0.25">
      <c r="A2573" t="s">
        <v>49</v>
      </c>
      <c r="B2573" t="s">
        <v>3958</v>
      </c>
      <c r="C2573" t="s">
        <v>28</v>
      </c>
      <c r="D2573" t="s">
        <v>1621</v>
      </c>
      <c r="E2573" t="s">
        <v>30</v>
      </c>
      <c r="F2573" t="s">
        <v>119</v>
      </c>
      <c r="G2573" t="s">
        <v>32</v>
      </c>
      <c r="H2573" t="s">
        <v>33</v>
      </c>
      <c r="I2573" s="1" t="s">
        <v>3984</v>
      </c>
      <c r="S2573" s="15">
        <v>1</v>
      </c>
      <c r="W2573" s="15">
        <v>1</v>
      </c>
    </row>
    <row r="2574" spans="1:24" x14ac:dyDescent="0.25">
      <c r="A2574" t="s">
        <v>49</v>
      </c>
      <c r="B2574" t="s">
        <v>3958</v>
      </c>
      <c r="C2574" t="s">
        <v>55</v>
      </c>
      <c r="D2574" t="s">
        <v>382</v>
      </c>
      <c r="E2574" t="s">
        <v>30</v>
      </c>
      <c r="F2574" t="s">
        <v>1142</v>
      </c>
      <c r="G2574" t="s">
        <v>32</v>
      </c>
      <c r="H2574" t="s">
        <v>173</v>
      </c>
      <c r="I2574" s="1" t="s">
        <v>3985</v>
      </c>
      <c r="Q2574" s="15">
        <v>1</v>
      </c>
    </row>
    <row r="2575" spans="1:24" ht="135" x14ac:dyDescent="0.25">
      <c r="A2575" t="s">
        <v>37</v>
      </c>
      <c r="B2575" t="s">
        <v>3958</v>
      </c>
      <c r="C2575" t="s">
        <v>50</v>
      </c>
      <c r="D2575" t="s">
        <v>122</v>
      </c>
      <c r="E2575" t="s">
        <v>30</v>
      </c>
      <c r="F2575" t="s">
        <v>130</v>
      </c>
      <c r="G2575" t="s">
        <v>81</v>
      </c>
      <c r="H2575" t="s">
        <v>87</v>
      </c>
      <c r="I2575" s="1" t="s">
        <v>3986</v>
      </c>
      <c r="P2575" s="15">
        <v>1</v>
      </c>
      <c r="W2575" s="15">
        <v>1</v>
      </c>
    </row>
    <row r="2576" spans="1:24" ht="60" x14ac:dyDescent="0.25">
      <c r="A2576" t="s">
        <v>49</v>
      </c>
      <c r="B2576" t="s">
        <v>3958</v>
      </c>
      <c r="C2576" t="s">
        <v>28</v>
      </c>
      <c r="D2576" t="s">
        <v>751</v>
      </c>
      <c r="E2576" t="s">
        <v>30</v>
      </c>
      <c r="F2576" t="s">
        <v>182</v>
      </c>
      <c r="G2576" t="s">
        <v>32</v>
      </c>
      <c r="H2576" t="s">
        <v>87</v>
      </c>
      <c r="I2576" s="1" t="s">
        <v>3987</v>
      </c>
      <c r="T2576" s="15">
        <v>1</v>
      </c>
    </row>
    <row r="2577" spans="1:24" ht="75" x14ac:dyDescent="0.25">
      <c r="A2577" t="s">
        <v>37</v>
      </c>
      <c r="B2577" t="s">
        <v>3958</v>
      </c>
      <c r="C2577" t="s">
        <v>50</v>
      </c>
      <c r="D2577" t="s">
        <v>843</v>
      </c>
      <c r="E2577" t="s">
        <v>79</v>
      </c>
      <c r="F2577" t="s">
        <v>136</v>
      </c>
      <c r="G2577" t="s">
        <v>32</v>
      </c>
      <c r="H2577" t="s">
        <v>33</v>
      </c>
      <c r="I2577" s="1" t="s">
        <v>3988</v>
      </c>
      <c r="S2577" s="15">
        <v>1</v>
      </c>
    </row>
    <row r="2578" spans="1:24" ht="105" x14ac:dyDescent="0.25">
      <c r="A2578" t="s">
        <v>37</v>
      </c>
      <c r="B2578" t="s">
        <v>3958</v>
      </c>
      <c r="C2578" t="s">
        <v>92</v>
      </c>
      <c r="D2578" t="s">
        <v>93</v>
      </c>
      <c r="E2578" t="s">
        <v>30</v>
      </c>
      <c r="F2578" t="s">
        <v>112</v>
      </c>
      <c r="G2578" t="s">
        <v>32</v>
      </c>
      <c r="H2578" t="s">
        <v>87</v>
      </c>
      <c r="I2578" s="1" t="s">
        <v>3989</v>
      </c>
      <c r="W2578" s="15">
        <v>1</v>
      </c>
    </row>
    <row r="2579" spans="1:24" ht="75" x14ac:dyDescent="0.25">
      <c r="A2579" t="s">
        <v>37</v>
      </c>
      <c r="B2579" t="s">
        <v>3958</v>
      </c>
      <c r="C2579" t="s">
        <v>69</v>
      </c>
      <c r="D2579" t="s">
        <v>3990</v>
      </c>
      <c r="E2579" t="s">
        <v>30</v>
      </c>
      <c r="F2579" t="s">
        <v>543</v>
      </c>
      <c r="G2579" t="s">
        <v>32</v>
      </c>
      <c r="H2579" t="s">
        <v>33</v>
      </c>
      <c r="I2579" s="1" t="s">
        <v>3991</v>
      </c>
      <c r="S2579" s="15">
        <v>1</v>
      </c>
    </row>
    <row r="2580" spans="1:24" ht="165" x14ac:dyDescent="0.25">
      <c r="A2580" t="s">
        <v>37</v>
      </c>
      <c r="B2580" t="s">
        <v>3958</v>
      </c>
      <c r="C2580" t="s">
        <v>32</v>
      </c>
      <c r="D2580" t="s">
        <v>2683</v>
      </c>
      <c r="E2580" t="s">
        <v>30</v>
      </c>
      <c r="F2580" t="s">
        <v>520</v>
      </c>
      <c r="G2580" t="s">
        <v>32</v>
      </c>
      <c r="H2580" t="s">
        <v>173</v>
      </c>
      <c r="I2580" s="1" t="s">
        <v>3992</v>
      </c>
      <c r="Q2580" s="15">
        <v>1</v>
      </c>
      <c r="W2580" s="15">
        <v>1</v>
      </c>
    </row>
    <row r="2581" spans="1:24" ht="45" x14ac:dyDescent="0.25">
      <c r="A2581" t="s">
        <v>64</v>
      </c>
      <c r="B2581" t="s">
        <v>3958</v>
      </c>
      <c r="C2581" t="s">
        <v>50</v>
      </c>
      <c r="D2581" t="s">
        <v>817</v>
      </c>
      <c r="E2581" t="s">
        <v>30</v>
      </c>
      <c r="F2581" t="s">
        <v>681</v>
      </c>
      <c r="G2581" t="s">
        <v>32</v>
      </c>
      <c r="H2581" t="s">
        <v>33</v>
      </c>
      <c r="I2581" s="1" t="s">
        <v>3993</v>
      </c>
      <c r="P2581" s="15">
        <v>1</v>
      </c>
      <c r="V2581" s="15">
        <v>1</v>
      </c>
    </row>
    <row r="2582" spans="1:24" ht="45" x14ac:dyDescent="0.25">
      <c r="A2582" t="s">
        <v>26</v>
      </c>
      <c r="B2582" t="s">
        <v>3994</v>
      </c>
      <c r="C2582" t="s">
        <v>249</v>
      </c>
      <c r="D2582" t="s">
        <v>657</v>
      </c>
      <c r="E2582" t="s">
        <v>30</v>
      </c>
      <c r="F2582" t="s">
        <v>205</v>
      </c>
      <c r="G2582" t="s">
        <v>69</v>
      </c>
      <c r="H2582" t="s">
        <v>87</v>
      </c>
      <c r="I2582" s="1" t="s">
        <v>3995</v>
      </c>
      <c r="N2582" s="15">
        <v>1</v>
      </c>
      <c r="V2582" s="15">
        <v>1</v>
      </c>
    </row>
    <row r="2583" spans="1:24" ht="45" x14ac:dyDescent="0.25">
      <c r="A2583" t="s">
        <v>26</v>
      </c>
      <c r="B2583" t="s">
        <v>3994</v>
      </c>
      <c r="C2583" t="s">
        <v>263</v>
      </c>
      <c r="D2583" t="s">
        <v>650</v>
      </c>
      <c r="E2583" t="s">
        <v>30</v>
      </c>
      <c r="F2583" t="s">
        <v>189</v>
      </c>
      <c r="G2583" t="s">
        <v>32</v>
      </c>
      <c r="H2583" t="s">
        <v>33</v>
      </c>
      <c r="I2583" s="1" t="s">
        <v>3996</v>
      </c>
      <c r="S2583" s="15">
        <v>1</v>
      </c>
    </row>
    <row r="2584" spans="1:24" ht="105" x14ac:dyDescent="0.25">
      <c r="A2584" t="s">
        <v>26</v>
      </c>
      <c r="B2584" t="s">
        <v>3994</v>
      </c>
      <c r="C2584" t="s">
        <v>44</v>
      </c>
      <c r="D2584" t="s">
        <v>45</v>
      </c>
      <c r="E2584" t="s">
        <v>79</v>
      </c>
      <c r="F2584" t="s">
        <v>260</v>
      </c>
      <c r="G2584" t="s">
        <v>69</v>
      </c>
      <c r="H2584" t="s">
        <v>173</v>
      </c>
      <c r="I2584" s="1" t="s">
        <v>3997</v>
      </c>
      <c r="P2584" s="15">
        <v>1</v>
      </c>
      <c r="S2584" s="15">
        <v>1</v>
      </c>
      <c r="T2584" s="15">
        <v>1</v>
      </c>
    </row>
    <row r="2585" spans="1:24" ht="45" x14ac:dyDescent="0.25">
      <c r="A2585" t="s">
        <v>26</v>
      </c>
      <c r="B2585" t="s">
        <v>3994</v>
      </c>
      <c r="C2585" t="s">
        <v>249</v>
      </c>
      <c r="D2585" t="s">
        <v>3883</v>
      </c>
      <c r="E2585" t="s">
        <v>30</v>
      </c>
      <c r="F2585" t="s">
        <v>290</v>
      </c>
      <c r="G2585" t="s">
        <v>32</v>
      </c>
      <c r="H2585" t="s">
        <v>87</v>
      </c>
      <c r="I2585" s="1" t="s">
        <v>3998</v>
      </c>
      <c r="N2585" s="15">
        <v>1</v>
      </c>
      <c r="S2585" s="15">
        <v>1</v>
      </c>
    </row>
    <row r="2586" spans="1:24" ht="105" x14ac:dyDescent="0.25">
      <c r="A2586" t="s">
        <v>26</v>
      </c>
      <c r="B2586" t="s">
        <v>3994</v>
      </c>
      <c r="C2586" t="s">
        <v>73</v>
      </c>
      <c r="D2586" t="s">
        <v>157</v>
      </c>
      <c r="E2586" t="s">
        <v>30</v>
      </c>
      <c r="F2586" t="s">
        <v>61</v>
      </c>
      <c r="G2586" t="s">
        <v>69</v>
      </c>
      <c r="H2586" t="s">
        <v>87</v>
      </c>
      <c r="I2586" s="1" t="s">
        <v>3999</v>
      </c>
      <c r="P2586" s="15">
        <v>1</v>
      </c>
    </row>
    <row r="2587" spans="1:24" ht="60" x14ac:dyDescent="0.25">
      <c r="A2587" t="s">
        <v>26</v>
      </c>
      <c r="B2587" t="s">
        <v>3994</v>
      </c>
      <c r="C2587" t="s">
        <v>263</v>
      </c>
      <c r="D2587" t="s">
        <v>834</v>
      </c>
      <c r="E2587" t="s">
        <v>30</v>
      </c>
      <c r="F2587" t="s">
        <v>216</v>
      </c>
      <c r="G2587" t="s">
        <v>32</v>
      </c>
      <c r="H2587" t="s">
        <v>33</v>
      </c>
      <c r="I2587" s="1" t="s">
        <v>4000</v>
      </c>
      <c r="S2587" s="15">
        <v>1</v>
      </c>
      <c r="W2587" s="15">
        <v>1</v>
      </c>
    </row>
    <row r="2588" spans="1:24" ht="45" x14ac:dyDescent="0.25">
      <c r="A2588" t="s">
        <v>26</v>
      </c>
      <c r="B2588" t="s">
        <v>3994</v>
      </c>
      <c r="C2588" t="s">
        <v>44</v>
      </c>
      <c r="D2588" t="s">
        <v>4001</v>
      </c>
      <c r="E2588" t="s">
        <v>30</v>
      </c>
      <c r="F2588" t="s">
        <v>189</v>
      </c>
      <c r="G2588" t="s">
        <v>32</v>
      </c>
      <c r="H2588" t="s">
        <v>33</v>
      </c>
      <c r="I2588" s="1" t="s">
        <v>4002</v>
      </c>
      <c r="S2588" s="15">
        <v>1</v>
      </c>
    </row>
    <row r="2589" spans="1:24" ht="105" x14ac:dyDescent="0.25">
      <c r="A2589" t="s">
        <v>26</v>
      </c>
      <c r="B2589" t="s">
        <v>3994</v>
      </c>
      <c r="C2589" t="s">
        <v>92</v>
      </c>
      <c r="D2589" t="s">
        <v>477</v>
      </c>
      <c r="E2589" t="s">
        <v>30</v>
      </c>
      <c r="F2589" t="s">
        <v>182</v>
      </c>
      <c r="G2589" t="s">
        <v>32</v>
      </c>
      <c r="H2589" t="s">
        <v>87</v>
      </c>
      <c r="I2589" s="1" t="s">
        <v>4003</v>
      </c>
      <c r="N2589" s="15">
        <v>1</v>
      </c>
      <c r="Q2589" s="15">
        <v>1</v>
      </c>
      <c r="T2589" s="15">
        <v>1</v>
      </c>
    </row>
    <row r="2590" spans="1:24" ht="60" x14ac:dyDescent="0.25">
      <c r="A2590" t="s">
        <v>26</v>
      </c>
      <c r="B2590" t="s">
        <v>3994</v>
      </c>
      <c r="C2590" t="s">
        <v>240</v>
      </c>
      <c r="D2590" t="s">
        <v>1008</v>
      </c>
      <c r="E2590" t="s">
        <v>30</v>
      </c>
      <c r="F2590" t="s">
        <v>136</v>
      </c>
      <c r="G2590" t="s">
        <v>32</v>
      </c>
      <c r="H2590" t="s">
        <v>33</v>
      </c>
      <c r="I2590" s="1" t="s">
        <v>4004</v>
      </c>
      <c r="S2590" s="15">
        <v>1</v>
      </c>
    </row>
    <row r="2591" spans="1:24" ht="75" x14ac:dyDescent="0.25">
      <c r="A2591" t="s">
        <v>26</v>
      </c>
      <c r="B2591" t="s">
        <v>3994</v>
      </c>
      <c r="C2591" t="s">
        <v>92</v>
      </c>
      <c r="D2591" t="s">
        <v>2789</v>
      </c>
      <c r="E2591" t="s">
        <v>30</v>
      </c>
      <c r="F2591" t="s">
        <v>365</v>
      </c>
      <c r="G2591" t="s">
        <v>32</v>
      </c>
      <c r="H2591" t="s">
        <v>33</v>
      </c>
      <c r="I2591" s="1" t="s">
        <v>4005</v>
      </c>
      <c r="S2591" s="15">
        <v>1</v>
      </c>
      <c r="W2591" s="15">
        <v>1</v>
      </c>
      <c r="X2591" s="15">
        <v>1</v>
      </c>
    </row>
    <row r="2592" spans="1:24" ht="75" x14ac:dyDescent="0.25">
      <c r="A2592" t="s">
        <v>26</v>
      </c>
      <c r="B2592" t="s">
        <v>3994</v>
      </c>
      <c r="C2592" t="s">
        <v>28</v>
      </c>
      <c r="D2592" t="s">
        <v>388</v>
      </c>
      <c r="E2592" t="s">
        <v>30</v>
      </c>
      <c r="F2592" t="s">
        <v>140</v>
      </c>
      <c r="G2592" t="s">
        <v>32</v>
      </c>
      <c r="H2592" t="s">
        <v>173</v>
      </c>
      <c r="I2592" s="1" t="s">
        <v>4006</v>
      </c>
      <c r="N2592" s="15">
        <v>1</v>
      </c>
    </row>
    <row r="2593" spans="1:25" ht="105" x14ac:dyDescent="0.25">
      <c r="A2593" t="s">
        <v>26</v>
      </c>
      <c r="B2593" t="s">
        <v>3994</v>
      </c>
      <c r="C2593" t="s">
        <v>235</v>
      </c>
      <c r="D2593" t="s">
        <v>2632</v>
      </c>
      <c r="E2593" t="s">
        <v>79</v>
      </c>
      <c r="F2593" t="s">
        <v>147</v>
      </c>
      <c r="G2593" t="s">
        <v>81</v>
      </c>
      <c r="H2593" t="s">
        <v>173</v>
      </c>
      <c r="I2593" s="1" t="s">
        <v>4007</v>
      </c>
      <c r="P2593" s="15">
        <v>1</v>
      </c>
      <c r="Q2593" s="15">
        <v>1</v>
      </c>
      <c r="W2593" s="15">
        <v>1</v>
      </c>
    </row>
    <row r="2594" spans="1:25" ht="105" x14ac:dyDescent="0.25">
      <c r="A2594" t="s">
        <v>26</v>
      </c>
      <c r="B2594" t="s">
        <v>3994</v>
      </c>
      <c r="C2594" t="s">
        <v>106</v>
      </c>
      <c r="D2594" t="s">
        <v>539</v>
      </c>
      <c r="E2594" t="s">
        <v>30</v>
      </c>
      <c r="F2594" t="s">
        <v>186</v>
      </c>
      <c r="G2594" t="s">
        <v>32</v>
      </c>
      <c r="H2594" t="s">
        <v>33</v>
      </c>
      <c r="I2594" s="1" t="s">
        <v>4008</v>
      </c>
      <c r="S2594" s="15">
        <v>1</v>
      </c>
    </row>
    <row r="2595" spans="1:25" ht="105" x14ac:dyDescent="0.25">
      <c r="A2595" t="s">
        <v>26</v>
      </c>
      <c r="B2595" t="s">
        <v>3994</v>
      </c>
      <c r="C2595" t="s">
        <v>240</v>
      </c>
      <c r="D2595" t="s">
        <v>2094</v>
      </c>
      <c r="E2595" t="s">
        <v>30</v>
      </c>
      <c r="F2595" t="s">
        <v>389</v>
      </c>
      <c r="G2595" t="s">
        <v>32</v>
      </c>
      <c r="H2595" t="s">
        <v>87</v>
      </c>
      <c r="I2595" s="1" t="s">
        <v>4009</v>
      </c>
      <c r="P2595" s="15">
        <v>1</v>
      </c>
      <c r="Y2595">
        <v>1</v>
      </c>
    </row>
    <row r="2596" spans="1:25" ht="75" x14ac:dyDescent="0.25">
      <c r="A2596" t="s">
        <v>49</v>
      </c>
      <c r="B2596" t="s">
        <v>3994</v>
      </c>
      <c r="C2596" t="s">
        <v>106</v>
      </c>
      <c r="D2596" t="s">
        <v>803</v>
      </c>
      <c r="E2596" t="s">
        <v>30</v>
      </c>
      <c r="F2596" t="s">
        <v>205</v>
      </c>
      <c r="G2596" t="s">
        <v>32</v>
      </c>
      <c r="H2596" t="s">
        <v>173</v>
      </c>
      <c r="I2596" s="1" t="s">
        <v>4010</v>
      </c>
      <c r="Y2596">
        <v>1</v>
      </c>
    </row>
    <row r="2597" spans="1:25" ht="60" x14ac:dyDescent="0.25">
      <c r="A2597" t="s">
        <v>26</v>
      </c>
      <c r="B2597" t="s">
        <v>3994</v>
      </c>
      <c r="C2597" t="s">
        <v>55</v>
      </c>
      <c r="D2597" t="s">
        <v>965</v>
      </c>
      <c r="E2597" t="s">
        <v>79</v>
      </c>
      <c r="F2597" t="s">
        <v>196</v>
      </c>
      <c r="G2597" t="s">
        <v>32</v>
      </c>
      <c r="H2597" t="s">
        <v>33</v>
      </c>
      <c r="I2597" s="1" t="s">
        <v>4011</v>
      </c>
      <c r="S2597" s="15">
        <v>1</v>
      </c>
    </row>
    <row r="2598" spans="1:25" ht="90" x14ac:dyDescent="0.25">
      <c r="A2598" t="s">
        <v>26</v>
      </c>
      <c r="B2598" t="s">
        <v>3994</v>
      </c>
      <c r="C2598" t="s">
        <v>180</v>
      </c>
      <c r="D2598" t="s">
        <v>181</v>
      </c>
      <c r="E2598" t="s">
        <v>79</v>
      </c>
      <c r="F2598" t="s">
        <v>446</v>
      </c>
      <c r="G2598" t="s">
        <v>69</v>
      </c>
      <c r="H2598" t="s">
        <v>87</v>
      </c>
      <c r="I2598" s="1" t="s">
        <v>4012</v>
      </c>
      <c r="N2598" s="15">
        <v>1</v>
      </c>
    </row>
    <row r="2599" spans="1:25" ht="60" x14ac:dyDescent="0.25">
      <c r="A2599" t="s">
        <v>26</v>
      </c>
      <c r="B2599" t="s">
        <v>3994</v>
      </c>
      <c r="C2599" t="s">
        <v>106</v>
      </c>
      <c r="D2599" t="s">
        <v>1958</v>
      </c>
      <c r="E2599" t="s">
        <v>30</v>
      </c>
      <c r="F2599" t="s">
        <v>681</v>
      </c>
      <c r="G2599" t="s">
        <v>69</v>
      </c>
      <c r="H2599" t="s">
        <v>87</v>
      </c>
      <c r="I2599" s="1" t="s">
        <v>4013</v>
      </c>
    </row>
    <row r="2600" spans="1:25" ht="105" x14ac:dyDescent="0.25">
      <c r="A2600" t="s">
        <v>49</v>
      </c>
      <c r="B2600" t="s">
        <v>3994</v>
      </c>
      <c r="C2600" t="s">
        <v>28</v>
      </c>
      <c r="D2600" t="s">
        <v>153</v>
      </c>
      <c r="E2600" t="s">
        <v>30</v>
      </c>
      <c r="F2600" t="s">
        <v>61</v>
      </c>
      <c r="G2600" t="s">
        <v>69</v>
      </c>
      <c r="H2600" t="s">
        <v>87</v>
      </c>
      <c r="I2600" s="1" t="s">
        <v>4014</v>
      </c>
      <c r="Y2600">
        <v>1</v>
      </c>
    </row>
    <row r="2601" spans="1:25" ht="45" x14ac:dyDescent="0.25">
      <c r="A2601" t="s">
        <v>49</v>
      </c>
      <c r="B2601" t="s">
        <v>3994</v>
      </c>
      <c r="C2601" t="s">
        <v>240</v>
      </c>
      <c r="D2601" t="s">
        <v>267</v>
      </c>
      <c r="E2601" t="s">
        <v>30</v>
      </c>
      <c r="F2601" t="s">
        <v>61</v>
      </c>
      <c r="G2601" t="s">
        <v>32</v>
      </c>
      <c r="H2601" t="s">
        <v>33</v>
      </c>
      <c r="I2601" s="1" t="s">
        <v>4015</v>
      </c>
      <c r="S2601" s="15">
        <v>1</v>
      </c>
    </row>
    <row r="2602" spans="1:25" ht="45" x14ac:dyDescent="0.25">
      <c r="A2602" t="s">
        <v>26</v>
      </c>
      <c r="B2602" t="s">
        <v>3994</v>
      </c>
      <c r="C2602" t="s">
        <v>85</v>
      </c>
      <c r="D2602" t="s">
        <v>2308</v>
      </c>
      <c r="E2602" t="s">
        <v>30</v>
      </c>
      <c r="F2602" t="s">
        <v>140</v>
      </c>
      <c r="G2602" t="s">
        <v>69</v>
      </c>
      <c r="H2602" t="s">
        <v>87</v>
      </c>
      <c r="I2602" s="1" t="s">
        <v>4016</v>
      </c>
      <c r="Q2602" s="15">
        <v>1</v>
      </c>
    </row>
    <row r="2603" spans="1:25" x14ac:dyDescent="0.25">
      <c r="A2603" t="s">
        <v>26</v>
      </c>
      <c r="B2603" t="s">
        <v>3994</v>
      </c>
      <c r="C2603" t="s">
        <v>96</v>
      </c>
      <c r="D2603" t="s">
        <v>195</v>
      </c>
      <c r="E2603" t="s">
        <v>30</v>
      </c>
      <c r="F2603" t="s">
        <v>130</v>
      </c>
      <c r="G2603" t="s">
        <v>32</v>
      </c>
      <c r="H2603" t="s">
        <v>33</v>
      </c>
      <c r="I2603" s="1" t="s">
        <v>4017</v>
      </c>
      <c r="P2603" s="15">
        <v>1</v>
      </c>
    </row>
    <row r="2604" spans="1:25" ht="30" x14ac:dyDescent="0.25">
      <c r="A2604" t="s">
        <v>37</v>
      </c>
      <c r="B2604" t="s">
        <v>3994</v>
      </c>
      <c r="C2604" t="s">
        <v>73</v>
      </c>
      <c r="D2604" t="s">
        <v>1123</v>
      </c>
      <c r="E2604" t="s">
        <v>30</v>
      </c>
      <c r="F2604" t="s">
        <v>205</v>
      </c>
      <c r="G2604" t="s">
        <v>32</v>
      </c>
      <c r="H2604" t="s">
        <v>173</v>
      </c>
      <c r="I2604" s="1" t="s">
        <v>4018</v>
      </c>
      <c r="Q2604" s="15">
        <v>1</v>
      </c>
    </row>
    <row r="2605" spans="1:25" ht="105" x14ac:dyDescent="0.25">
      <c r="A2605" t="s">
        <v>49</v>
      </c>
      <c r="B2605" t="s">
        <v>3994</v>
      </c>
      <c r="C2605" t="s">
        <v>69</v>
      </c>
      <c r="D2605" t="s">
        <v>664</v>
      </c>
      <c r="E2605" t="s">
        <v>30</v>
      </c>
      <c r="F2605" t="s">
        <v>307</v>
      </c>
      <c r="G2605" t="s">
        <v>32</v>
      </c>
      <c r="H2605" t="s">
        <v>33</v>
      </c>
      <c r="I2605" s="1" t="s">
        <v>4019</v>
      </c>
      <c r="N2605" s="15">
        <v>1</v>
      </c>
      <c r="Q2605" s="15">
        <v>1</v>
      </c>
    </row>
    <row r="2606" spans="1:25" ht="45" x14ac:dyDescent="0.25">
      <c r="A2606" t="s">
        <v>26</v>
      </c>
      <c r="B2606" t="s">
        <v>3994</v>
      </c>
      <c r="C2606" t="s">
        <v>55</v>
      </c>
      <c r="D2606" t="s">
        <v>953</v>
      </c>
      <c r="E2606" t="s">
        <v>30</v>
      </c>
      <c r="F2606" t="s">
        <v>154</v>
      </c>
      <c r="G2606" t="s">
        <v>32</v>
      </c>
      <c r="H2606" t="s">
        <v>33</v>
      </c>
      <c r="I2606" s="1" t="s">
        <v>4020</v>
      </c>
      <c r="S2606" s="15">
        <v>1</v>
      </c>
    </row>
    <row r="2607" spans="1:25" ht="60" x14ac:dyDescent="0.25">
      <c r="A2607" t="s">
        <v>26</v>
      </c>
      <c r="B2607" t="s">
        <v>3994</v>
      </c>
      <c r="C2607" t="s">
        <v>235</v>
      </c>
      <c r="D2607" t="s">
        <v>537</v>
      </c>
      <c r="E2607" t="s">
        <v>30</v>
      </c>
      <c r="F2607" t="s">
        <v>182</v>
      </c>
      <c r="G2607" t="s">
        <v>32</v>
      </c>
      <c r="H2607" t="s">
        <v>87</v>
      </c>
      <c r="I2607" s="1" t="s">
        <v>4021</v>
      </c>
      <c r="S2607" s="15">
        <v>1</v>
      </c>
      <c r="T2607" s="15">
        <v>1</v>
      </c>
    </row>
    <row r="2608" spans="1:25" ht="105" x14ac:dyDescent="0.25">
      <c r="A2608" t="s">
        <v>37</v>
      </c>
      <c r="B2608" t="s">
        <v>3994</v>
      </c>
      <c r="C2608" t="s">
        <v>96</v>
      </c>
      <c r="D2608" t="s">
        <v>4022</v>
      </c>
      <c r="E2608" t="s">
        <v>79</v>
      </c>
      <c r="F2608" t="s">
        <v>94</v>
      </c>
      <c r="G2608" t="s">
        <v>32</v>
      </c>
      <c r="H2608" t="s">
        <v>33</v>
      </c>
      <c r="I2608" s="1" t="s">
        <v>4023</v>
      </c>
      <c r="S2608" s="15">
        <v>1</v>
      </c>
      <c r="W2608" s="15">
        <v>1</v>
      </c>
    </row>
    <row r="2609" spans="1:23" ht="45" x14ac:dyDescent="0.25">
      <c r="A2609" t="s">
        <v>49</v>
      </c>
      <c r="B2609" t="s">
        <v>3994</v>
      </c>
      <c r="C2609" t="s">
        <v>85</v>
      </c>
      <c r="D2609" t="s">
        <v>2989</v>
      </c>
      <c r="E2609" t="s">
        <v>30</v>
      </c>
      <c r="F2609" t="s">
        <v>147</v>
      </c>
      <c r="G2609" t="s">
        <v>32</v>
      </c>
      <c r="H2609" t="s">
        <v>33</v>
      </c>
      <c r="I2609" s="1" t="s">
        <v>4024</v>
      </c>
      <c r="S2609" s="15">
        <v>1</v>
      </c>
    </row>
    <row r="2610" spans="1:23" ht="90" x14ac:dyDescent="0.25">
      <c r="A2610" t="s">
        <v>49</v>
      </c>
      <c r="B2610" t="s">
        <v>3994</v>
      </c>
      <c r="C2610" t="s">
        <v>235</v>
      </c>
      <c r="D2610" t="s">
        <v>327</v>
      </c>
      <c r="E2610" t="s">
        <v>30</v>
      </c>
      <c r="F2610" t="s">
        <v>98</v>
      </c>
      <c r="G2610" t="s">
        <v>69</v>
      </c>
      <c r="H2610" t="s">
        <v>87</v>
      </c>
      <c r="I2610" s="1" t="s">
        <v>4025</v>
      </c>
      <c r="R2610" s="15">
        <v>1</v>
      </c>
      <c r="W2610" s="15">
        <v>1</v>
      </c>
    </row>
    <row r="2611" spans="1:23" ht="90" x14ac:dyDescent="0.25">
      <c r="A2611" t="s">
        <v>26</v>
      </c>
      <c r="B2611" t="s">
        <v>3994</v>
      </c>
      <c r="C2611" t="s">
        <v>50</v>
      </c>
      <c r="D2611" t="s">
        <v>226</v>
      </c>
      <c r="E2611" t="s">
        <v>30</v>
      </c>
      <c r="F2611" t="s">
        <v>205</v>
      </c>
      <c r="G2611" t="s">
        <v>32</v>
      </c>
      <c r="H2611" t="s">
        <v>33</v>
      </c>
      <c r="I2611" s="1" t="s">
        <v>4026</v>
      </c>
      <c r="S2611" s="15">
        <v>1</v>
      </c>
    </row>
    <row r="2612" spans="1:23" ht="135" x14ac:dyDescent="0.25">
      <c r="A2612" t="s">
        <v>37</v>
      </c>
      <c r="B2612" t="s">
        <v>3994</v>
      </c>
      <c r="C2612" t="s">
        <v>28</v>
      </c>
      <c r="D2612" t="s">
        <v>528</v>
      </c>
      <c r="E2612" t="s">
        <v>30</v>
      </c>
      <c r="F2612" t="s">
        <v>154</v>
      </c>
      <c r="G2612" t="s">
        <v>38</v>
      </c>
      <c r="H2612" t="s">
        <v>173</v>
      </c>
      <c r="I2612" s="1" t="s">
        <v>4027</v>
      </c>
      <c r="Q2612" s="15">
        <v>1</v>
      </c>
      <c r="V2612" s="15">
        <v>1</v>
      </c>
    </row>
    <row r="2613" spans="1:23" ht="30" x14ac:dyDescent="0.25">
      <c r="A2613" t="s">
        <v>49</v>
      </c>
      <c r="B2613" t="s">
        <v>3994</v>
      </c>
      <c r="C2613" t="s">
        <v>55</v>
      </c>
      <c r="D2613" t="s">
        <v>535</v>
      </c>
      <c r="E2613" t="s">
        <v>30</v>
      </c>
      <c r="F2613" t="s">
        <v>154</v>
      </c>
      <c r="G2613" t="s">
        <v>32</v>
      </c>
      <c r="H2613" t="s">
        <v>33</v>
      </c>
      <c r="I2613" s="1" t="s">
        <v>4028</v>
      </c>
      <c r="Q2613" s="15">
        <v>1</v>
      </c>
      <c r="S2613" s="15">
        <v>1</v>
      </c>
    </row>
    <row r="2614" spans="1:23" ht="75" x14ac:dyDescent="0.25">
      <c r="A2614" t="s">
        <v>49</v>
      </c>
      <c r="B2614" t="s">
        <v>3994</v>
      </c>
      <c r="C2614" t="s">
        <v>69</v>
      </c>
      <c r="D2614" t="s">
        <v>664</v>
      </c>
      <c r="E2614" t="s">
        <v>30</v>
      </c>
      <c r="F2614" t="s">
        <v>154</v>
      </c>
      <c r="G2614" t="s">
        <v>69</v>
      </c>
      <c r="H2614" t="s">
        <v>173</v>
      </c>
      <c r="I2614" s="1" t="s">
        <v>4029</v>
      </c>
      <c r="N2614" s="15">
        <v>1</v>
      </c>
    </row>
    <row r="2615" spans="1:23" ht="105" x14ac:dyDescent="0.25">
      <c r="A2615" t="s">
        <v>26</v>
      </c>
      <c r="B2615" t="s">
        <v>3994</v>
      </c>
      <c r="C2615" t="s">
        <v>50</v>
      </c>
      <c r="D2615" t="s">
        <v>226</v>
      </c>
      <c r="E2615" t="s">
        <v>30</v>
      </c>
      <c r="F2615" t="s">
        <v>365</v>
      </c>
      <c r="G2615" t="s">
        <v>81</v>
      </c>
      <c r="H2615" t="s">
        <v>87</v>
      </c>
      <c r="I2615" s="1" t="s">
        <v>4030</v>
      </c>
      <c r="S2615" s="15">
        <v>1</v>
      </c>
    </row>
    <row r="2616" spans="1:23" ht="60" x14ac:dyDescent="0.25">
      <c r="A2616" t="s">
        <v>64</v>
      </c>
      <c r="B2616" t="s">
        <v>3994</v>
      </c>
      <c r="C2616" t="s">
        <v>240</v>
      </c>
      <c r="D2616" t="s">
        <v>4031</v>
      </c>
      <c r="E2616" t="s">
        <v>30</v>
      </c>
      <c r="F2616" t="s">
        <v>446</v>
      </c>
      <c r="G2616" t="s">
        <v>69</v>
      </c>
      <c r="H2616" t="s">
        <v>173</v>
      </c>
      <c r="I2616" s="1" t="s">
        <v>4032</v>
      </c>
      <c r="W2616" s="15">
        <v>1</v>
      </c>
    </row>
    <row r="2617" spans="1:23" ht="45" x14ac:dyDescent="0.25">
      <c r="A2617" t="s">
        <v>59</v>
      </c>
      <c r="B2617" t="s">
        <v>3994</v>
      </c>
      <c r="C2617" t="s">
        <v>44</v>
      </c>
      <c r="D2617" t="s">
        <v>445</v>
      </c>
      <c r="E2617" t="s">
        <v>30</v>
      </c>
      <c r="F2617" t="s">
        <v>46</v>
      </c>
      <c r="G2617" t="s">
        <v>69</v>
      </c>
      <c r="H2617" t="s">
        <v>173</v>
      </c>
      <c r="I2617" s="1" t="s">
        <v>4033</v>
      </c>
      <c r="M2617" s="15">
        <v>1</v>
      </c>
      <c r="N2617" s="15">
        <v>1</v>
      </c>
    </row>
    <row r="2618" spans="1:23" ht="90" x14ac:dyDescent="0.25">
      <c r="A2618" t="s">
        <v>64</v>
      </c>
      <c r="B2618" t="s">
        <v>3994</v>
      </c>
      <c r="C2618" t="s">
        <v>106</v>
      </c>
      <c r="D2618" t="s">
        <v>3553</v>
      </c>
      <c r="E2618" t="s">
        <v>30</v>
      </c>
      <c r="F2618" t="s">
        <v>98</v>
      </c>
      <c r="G2618" t="s">
        <v>32</v>
      </c>
      <c r="H2618" t="s">
        <v>33</v>
      </c>
      <c r="I2618" s="1" t="s">
        <v>4034</v>
      </c>
      <c r="Q2618" s="15">
        <v>1</v>
      </c>
      <c r="W2618" s="15">
        <v>1</v>
      </c>
    </row>
    <row r="2619" spans="1:23" ht="60" x14ac:dyDescent="0.25">
      <c r="A2619" t="s">
        <v>49</v>
      </c>
      <c r="B2619" t="s">
        <v>3994</v>
      </c>
      <c r="C2619" t="s">
        <v>235</v>
      </c>
      <c r="D2619" t="s">
        <v>1002</v>
      </c>
      <c r="E2619" t="s">
        <v>30</v>
      </c>
      <c r="F2619" t="s">
        <v>235</v>
      </c>
      <c r="G2619" t="s">
        <v>32</v>
      </c>
      <c r="H2619" t="s">
        <v>173</v>
      </c>
      <c r="I2619" s="1" t="s">
        <v>4035</v>
      </c>
      <c r="W2619" s="15">
        <v>1</v>
      </c>
    </row>
    <row r="2620" spans="1:23" ht="60" x14ac:dyDescent="0.25">
      <c r="A2620" t="s">
        <v>64</v>
      </c>
      <c r="B2620" t="s">
        <v>3994</v>
      </c>
      <c r="C2620" t="s">
        <v>96</v>
      </c>
      <c r="D2620" t="s">
        <v>769</v>
      </c>
      <c r="E2620" t="s">
        <v>79</v>
      </c>
      <c r="F2620" t="s">
        <v>166</v>
      </c>
      <c r="G2620" t="s">
        <v>32</v>
      </c>
      <c r="H2620" t="s">
        <v>33</v>
      </c>
      <c r="I2620" s="1" t="s">
        <v>4036</v>
      </c>
      <c r="S2620" s="15">
        <v>1</v>
      </c>
      <c r="W2620" s="15">
        <v>1</v>
      </c>
    </row>
    <row r="2621" spans="1:23" ht="45" x14ac:dyDescent="0.25">
      <c r="A2621" t="s">
        <v>37</v>
      </c>
      <c r="B2621" t="s">
        <v>3994</v>
      </c>
      <c r="C2621" t="s">
        <v>38</v>
      </c>
      <c r="D2621" t="s">
        <v>1305</v>
      </c>
      <c r="E2621" t="s">
        <v>30</v>
      </c>
      <c r="F2621" t="s">
        <v>94</v>
      </c>
      <c r="G2621" t="s">
        <v>32</v>
      </c>
      <c r="H2621" t="s">
        <v>33</v>
      </c>
      <c r="I2621" s="1" t="s">
        <v>4037</v>
      </c>
      <c r="Q2621" s="15">
        <v>1</v>
      </c>
      <c r="S2621" s="15">
        <v>1</v>
      </c>
    </row>
    <row r="2622" spans="1:23" ht="60" x14ac:dyDescent="0.25">
      <c r="A2622" t="s">
        <v>49</v>
      </c>
      <c r="B2622" t="s">
        <v>3994</v>
      </c>
      <c r="C2622" t="s">
        <v>28</v>
      </c>
      <c r="D2622" t="s">
        <v>29</v>
      </c>
      <c r="E2622" t="s">
        <v>30</v>
      </c>
      <c r="F2622" t="s">
        <v>130</v>
      </c>
      <c r="G2622" t="s">
        <v>81</v>
      </c>
      <c r="H2622" t="s">
        <v>173</v>
      </c>
      <c r="I2622" s="1" t="s">
        <v>4038</v>
      </c>
      <c r="Q2622" s="15">
        <v>1</v>
      </c>
    </row>
    <row r="2623" spans="1:23" ht="45" x14ac:dyDescent="0.25">
      <c r="A2623" t="s">
        <v>37</v>
      </c>
      <c r="B2623" t="s">
        <v>3994</v>
      </c>
      <c r="C2623" t="s">
        <v>69</v>
      </c>
      <c r="D2623" t="s">
        <v>297</v>
      </c>
      <c r="E2623" t="s">
        <v>30</v>
      </c>
      <c r="F2623" t="s">
        <v>202</v>
      </c>
      <c r="G2623" t="s">
        <v>32</v>
      </c>
      <c r="H2623" t="s">
        <v>33</v>
      </c>
      <c r="I2623" s="1" t="s">
        <v>4039</v>
      </c>
      <c r="S2623" s="15">
        <v>1</v>
      </c>
    </row>
    <row r="2624" spans="1:23" ht="105" x14ac:dyDescent="0.25">
      <c r="A2624" t="s">
        <v>64</v>
      </c>
      <c r="B2624" t="s">
        <v>3994</v>
      </c>
      <c r="C2624" t="s">
        <v>73</v>
      </c>
      <c r="D2624" t="s">
        <v>4040</v>
      </c>
      <c r="E2624" t="s">
        <v>30</v>
      </c>
      <c r="F2624" t="s">
        <v>223</v>
      </c>
      <c r="G2624" t="s">
        <v>69</v>
      </c>
      <c r="H2624" t="s">
        <v>33</v>
      </c>
      <c r="I2624" s="1" t="s">
        <v>4041</v>
      </c>
      <c r="S2624" s="15">
        <v>1</v>
      </c>
    </row>
    <row r="2625" spans="1:24" ht="60" x14ac:dyDescent="0.25">
      <c r="A2625" t="s">
        <v>64</v>
      </c>
      <c r="B2625" t="s">
        <v>3994</v>
      </c>
      <c r="C2625" t="s">
        <v>28</v>
      </c>
      <c r="D2625" t="s">
        <v>344</v>
      </c>
      <c r="E2625" t="s">
        <v>30</v>
      </c>
      <c r="F2625" t="s">
        <v>189</v>
      </c>
      <c r="G2625" t="s">
        <v>32</v>
      </c>
      <c r="H2625" t="s">
        <v>33</v>
      </c>
      <c r="I2625" s="1" t="s">
        <v>4042</v>
      </c>
      <c r="S2625" s="15">
        <v>1</v>
      </c>
    </row>
    <row r="2626" spans="1:24" ht="45" x14ac:dyDescent="0.25">
      <c r="A2626" t="s">
        <v>26</v>
      </c>
      <c r="B2626" t="s">
        <v>4043</v>
      </c>
      <c r="C2626" t="s">
        <v>92</v>
      </c>
      <c r="D2626" t="s">
        <v>111</v>
      </c>
      <c r="E2626" t="s">
        <v>30</v>
      </c>
      <c r="F2626" t="s">
        <v>61</v>
      </c>
      <c r="G2626" t="s">
        <v>32</v>
      </c>
      <c r="H2626" t="s">
        <v>33</v>
      </c>
      <c r="I2626" s="1" t="s">
        <v>4044</v>
      </c>
      <c r="N2626" s="15">
        <v>1</v>
      </c>
    </row>
    <row r="2627" spans="1:24" ht="60" x14ac:dyDescent="0.25">
      <c r="A2627" t="s">
        <v>26</v>
      </c>
      <c r="B2627" t="s">
        <v>4043</v>
      </c>
      <c r="C2627" t="s">
        <v>92</v>
      </c>
      <c r="D2627" t="s">
        <v>111</v>
      </c>
      <c r="E2627" t="s">
        <v>30</v>
      </c>
      <c r="F2627" t="s">
        <v>166</v>
      </c>
      <c r="G2627" t="s">
        <v>32</v>
      </c>
      <c r="H2627" t="s">
        <v>33</v>
      </c>
      <c r="I2627" s="1" t="s">
        <v>4045</v>
      </c>
      <c r="S2627" s="15">
        <v>1</v>
      </c>
    </row>
    <row r="2628" spans="1:24" ht="90" x14ac:dyDescent="0.25">
      <c r="A2628" t="s">
        <v>26</v>
      </c>
      <c r="B2628" t="s">
        <v>4043</v>
      </c>
      <c r="C2628" t="s">
        <v>263</v>
      </c>
      <c r="D2628" t="s">
        <v>834</v>
      </c>
      <c r="E2628" t="s">
        <v>30</v>
      </c>
      <c r="F2628" t="s">
        <v>294</v>
      </c>
      <c r="G2628" t="s">
        <v>32</v>
      </c>
      <c r="H2628" t="s">
        <v>33</v>
      </c>
      <c r="I2628" s="1" t="s">
        <v>4046</v>
      </c>
      <c r="S2628" s="15">
        <v>1</v>
      </c>
      <c r="W2628" s="15">
        <v>1</v>
      </c>
    </row>
    <row r="2629" spans="1:24" ht="90" x14ac:dyDescent="0.25">
      <c r="A2629" t="s">
        <v>26</v>
      </c>
      <c r="B2629" t="s">
        <v>4043</v>
      </c>
      <c r="C2629" t="s">
        <v>240</v>
      </c>
      <c r="D2629" t="s">
        <v>882</v>
      </c>
      <c r="E2629" t="s">
        <v>30</v>
      </c>
      <c r="F2629" t="s">
        <v>290</v>
      </c>
      <c r="G2629" t="s">
        <v>38</v>
      </c>
      <c r="H2629" t="s">
        <v>33</v>
      </c>
      <c r="I2629" s="1" t="s">
        <v>4047</v>
      </c>
      <c r="T2629" s="15">
        <v>1</v>
      </c>
    </row>
    <row r="2630" spans="1:24" ht="60" x14ac:dyDescent="0.25">
      <c r="A2630" t="s">
        <v>26</v>
      </c>
      <c r="B2630" t="s">
        <v>4043</v>
      </c>
      <c r="C2630" t="s">
        <v>106</v>
      </c>
      <c r="D2630" t="s">
        <v>868</v>
      </c>
      <c r="E2630" t="s">
        <v>79</v>
      </c>
      <c r="F2630" t="s">
        <v>112</v>
      </c>
      <c r="G2630" t="s">
        <v>32</v>
      </c>
      <c r="H2630" t="s">
        <v>33</v>
      </c>
      <c r="I2630" s="1" t="s">
        <v>4048</v>
      </c>
      <c r="S2630" s="15">
        <v>1</v>
      </c>
      <c r="X2630" s="15">
        <v>1</v>
      </c>
    </row>
    <row r="2631" spans="1:24" ht="60" x14ac:dyDescent="0.25">
      <c r="A2631" t="s">
        <v>26</v>
      </c>
      <c r="B2631" t="s">
        <v>4043</v>
      </c>
      <c r="C2631" t="s">
        <v>106</v>
      </c>
      <c r="D2631" t="s">
        <v>150</v>
      </c>
      <c r="E2631" t="s">
        <v>30</v>
      </c>
      <c r="F2631" t="s">
        <v>140</v>
      </c>
      <c r="G2631" t="s">
        <v>32</v>
      </c>
      <c r="H2631" t="s">
        <v>33</v>
      </c>
      <c r="I2631" s="1" t="s">
        <v>4049</v>
      </c>
      <c r="S2631" s="15">
        <v>1</v>
      </c>
    </row>
    <row r="2632" spans="1:24" ht="60" x14ac:dyDescent="0.25">
      <c r="A2632" t="s">
        <v>26</v>
      </c>
      <c r="B2632" t="s">
        <v>4043</v>
      </c>
      <c r="C2632" t="s">
        <v>106</v>
      </c>
      <c r="D2632" t="s">
        <v>803</v>
      </c>
      <c r="E2632" t="s">
        <v>79</v>
      </c>
      <c r="F2632" t="s">
        <v>40</v>
      </c>
      <c r="G2632" t="s">
        <v>81</v>
      </c>
      <c r="H2632" t="s">
        <v>173</v>
      </c>
      <c r="I2632" s="1" t="s">
        <v>4050</v>
      </c>
      <c r="W2632" s="15">
        <v>1</v>
      </c>
    </row>
    <row r="2633" spans="1:24" x14ac:dyDescent="0.25">
      <c r="A2633" t="s">
        <v>26</v>
      </c>
      <c r="B2633" t="s">
        <v>4043</v>
      </c>
      <c r="C2633" t="s">
        <v>106</v>
      </c>
      <c r="D2633" t="s">
        <v>431</v>
      </c>
      <c r="E2633" t="s">
        <v>30</v>
      </c>
      <c r="F2633" t="s">
        <v>166</v>
      </c>
      <c r="G2633" t="s">
        <v>38</v>
      </c>
      <c r="H2633" t="s">
        <v>87</v>
      </c>
      <c r="I2633" s="1" t="s">
        <v>4051</v>
      </c>
      <c r="T2633" s="15">
        <v>1</v>
      </c>
    </row>
    <row r="2634" spans="1:24" ht="105" x14ac:dyDescent="0.25">
      <c r="A2634" t="s">
        <v>26</v>
      </c>
      <c r="B2634" t="s">
        <v>4043</v>
      </c>
      <c r="C2634" t="s">
        <v>472</v>
      </c>
      <c r="D2634" t="s">
        <v>812</v>
      </c>
      <c r="E2634" t="s">
        <v>30</v>
      </c>
      <c r="F2634" t="s">
        <v>223</v>
      </c>
      <c r="G2634" t="s">
        <v>263</v>
      </c>
      <c r="H2634" t="s">
        <v>87</v>
      </c>
      <c r="I2634" s="1" t="s">
        <v>4052</v>
      </c>
      <c r="W2634" s="15">
        <v>1</v>
      </c>
    </row>
    <row r="2635" spans="1:24" ht="45" x14ac:dyDescent="0.25">
      <c r="A2635" t="s">
        <v>26</v>
      </c>
      <c r="B2635" t="s">
        <v>4043</v>
      </c>
      <c r="C2635" t="s">
        <v>96</v>
      </c>
      <c r="D2635" t="s">
        <v>176</v>
      </c>
      <c r="E2635" t="s">
        <v>30</v>
      </c>
      <c r="F2635" t="s">
        <v>389</v>
      </c>
      <c r="G2635" t="s">
        <v>32</v>
      </c>
      <c r="H2635" t="s">
        <v>87</v>
      </c>
      <c r="I2635" s="1" t="s">
        <v>4053</v>
      </c>
      <c r="P2635" s="15">
        <v>1</v>
      </c>
      <c r="Q2635" s="15">
        <v>1</v>
      </c>
      <c r="V2635" s="15">
        <v>1</v>
      </c>
    </row>
    <row r="2636" spans="1:24" ht="60" x14ac:dyDescent="0.25">
      <c r="A2636" t="s">
        <v>26</v>
      </c>
      <c r="B2636" t="s">
        <v>4043</v>
      </c>
      <c r="C2636" t="s">
        <v>235</v>
      </c>
      <c r="D2636" t="s">
        <v>1026</v>
      </c>
      <c r="E2636" t="s">
        <v>30</v>
      </c>
      <c r="F2636" t="s">
        <v>61</v>
      </c>
      <c r="G2636" t="s">
        <v>69</v>
      </c>
      <c r="H2636" t="s">
        <v>173</v>
      </c>
      <c r="I2636" s="1" t="s">
        <v>4054</v>
      </c>
      <c r="T2636" s="15">
        <v>1</v>
      </c>
    </row>
    <row r="2637" spans="1:24" ht="60" x14ac:dyDescent="0.25">
      <c r="A2637" t="s">
        <v>26</v>
      </c>
      <c r="B2637" t="s">
        <v>4043</v>
      </c>
      <c r="C2637" t="s">
        <v>38</v>
      </c>
      <c r="D2637" t="s">
        <v>4055</v>
      </c>
      <c r="E2637" t="s">
        <v>30</v>
      </c>
      <c r="F2637" t="s">
        <v>94</v>
      </c>
      <c r="G2637" t="s">
        <v>32</v>
      </c>
      <c r="H2637" t="s">
        <v>173</v>
      </c>
      <c r="I2637" s="1" t="s">
        <v>4056</v>
      </c>
      <c r="S2637" s="15">
        <v>1</v>
      </c>
    </row>
    <row r="2638" spans="1:24" ht="60" x14ac:dyDescent="0.25">
      <c r="A2638" t="s">
        <v>26</v>
      </c>
      <c r="B2638" t="s">
        <v>4043</v>
      </c>
      <c r="C2638" t="s">
        <v>28</v>
      </c>
      <c r="D2638" t="s">
        <v>613</v>
      </c>
      <c r="E2638" t="s">
        <v>30</v>
      </c>
      <c r="F2638" t="s">
        <v>140</v>
      </c>
      <c r="G2638" t="s">
        <v>32</v>
      </c>
      <c r="H2638" t="s">
        <v>33</v>
      </c>
      <c r="I2638" s="1" t="s">
        <v>4057</v>
      </c>
      <c r="S2638" s="15">
        <v>1</v>
      </c>
    </row>
    <row r="2639" spans="1:24" ht="60" x14ac:dyDescent="0.25">
      <c r="A2639" t="s">
        <v>26</v>
      </c>
      <c r="B2639" t="s">
        <v>4043</v>
      </c>
      <c r="C2639" t="s">
        <v>38</v>
      </c>
      <c r="D2639" t="s">
        <v>3641</v>
      </c>
      <c r="E2639" t="s">
        <v>30</v>
      </c>
      <c r="F2639" t="s">
        <v>365</v>
      </c>
      <c r="G2639" t="s">
        <v>69</v>
      </c>
      <c r="H2639" t="s">
        <v>33</v>
      </c>
      <c r="I2639" s="1" t="s">
        <v>4058</v>
      </c>
      <c r="S2639" s="15">
        <v>1</v>
      </c>
    </row>
    <row r="2640" spans="1:24" ht="90" x14ac:dyDescent="0.25">
      <c r="A2640" t="s">
        <v>26</v>
      </c>
      <c r="B2640" t="s">
        <v>4043</v>
      </c>
      <c r="C2640" t="s">
        <v>32</v>
      </c>
      <c r="D2640" t="s">
        <v>101</v>
      </c>
      <c r="E2640" t="s">
        <v>30</v>
      </c>
      <c r="F2640" t="s">
        <v>1397</v>
      </c>
      <c r="G2640" t="s">
        <v>81</v>
      </c>
      <c r="H2640" t="s">
        <v>87</v>
      </c>
      <c r="I2640" s="1" t="s">
        <v>4059</v>
      </c>
      <c r="W2640" s="15">
        <v>1</v>
      </c>
    </row>
    <row r="2641" spans="1:25" ht="45" x14ac:dyDescent="0.25">
      <c r="A2641" t="s">
        <v>26</v>
      </c>
      <c r="B2641" t="s">
        <v>4043</v>
      </c>
      <c r="C2641" t="s">
        <v>38</v>
      </c>
      <c r="D2641" t="s">
        <v>718</v>
      </c>
      <c r="E2641" t="s">
        <v>30</v>
      </c>
      <c r="F2641" t="s">
        <v>98</v>
      </c>
      <c r="G2641" t="s">
        <v>32</v>
      </c>
      <c r="H2641" t="s">
        <v>87</v>
      </c>
      <c r="I2641" s="1" t="s">
        <v>4060</v>
      </c>
      <c r="W2641" s="15">
        <v>1</v>
      </c>
    </row>
    <row r="2642" spans="1:25" ht="30" x14ac:dyDescent="0.25">
      <c r="A2642" t="s">
        <v>49</v>
      </c>
      <c r="B2642" t="s">
        <v>4043</v>
      </c>
      <c r="C2642" t="s">
        <v>28</v>
      </c>
      <c r="D2642" t="s">
        <v>715</v>
      </c>
      <c r="E2642" t="s">
        <v>30</v>
      </c>
      <c r="F2642" t="s">
        <v>94</v>
      </c>
      <c r="G2642" t="s">
        <v>32</v>
      </c>
      <c r="H2642" t="s">
        <v>33</v>
      </c>
      <c r="I2642" s="1" t="s">
        <v>4061</v>
      </c>
      <c r="O2642" s="15">
        <v>1</v>
      </c>
    </row>
    <row r="2643" spans="1:25" ht="90" x14ac:dyDescent="0.25">
      <c r="A2643" t="s">
        <v>26</v>
      </c>
      <c r="B2643" t="s">
        <v>4043</v>
      </c>
      <c r="C2643" t="s">
        <v>38</v>
      </c>
      <c r="D2643" t="s">
        <v>1305</v>
      </c>
      <c r="E2643" t="s">
        <v>30</v>
      </c>
      <c r="F2643" t="s">
        <v>492</v>
      </c>
      <c r="G2643" t="s">
        <v>32</v>
      </c>
      <c r="H2643" t="s">
        <v>173</v>
      </c>
      <c r="I2643" s="1" t="s">
        <v>4062</v>
      </c>
      <c r="W2643" s="15">
        <v>1</v>
      </c>
    </row>
    <row r="2644" spans="1:25" ht="90" x14ac:dyDescent="0.25">
      <c r="A2644" t="s">
        <v>49</v>
      </c>
      <c r="B2644" t="s">
        <v>4043</v>
      </c>
      <c r="C2644" t="s">
        <v>73</v>
      </c>
      <c r="D2644" t="s">
        <v>4063</v>
      </c>
      <c r="E2644" t="s">
        <v>79</v>
      </c>
      <c r="F2644" t="s">
        <v>140</v>
      </c>
      <c r="G2644" t="s">
        <v>32</v>
      </c>
      <c r="H2644" t="s">
        <v>33</v>
      </c>
      <c r="I2644" s="1" t="s">
        <v>4064</v>
      </c>
      <c r="S2644" s="15">
        <v>1</v>
      </c>
      <c r="T2644" s="15">
        <v>1</v>
      </c>
    </row>
    <row r="2645" spans="1:25" ht="45" x14ac:dyDescent="0.25">
      <c r="A2645" t="s">
        <v>26</v>
      </c>
      <c r="B2645" t="s">
        <v>4043</v>
      </c>
      <c r="C2645" t="s">
        <v>32</v>
      </c>
      <c r="D2645" t="s">
        <v>101</v>
      </c>
      <c r="E2645" t="s">
        <v>30</v>
      </c>
      <c r="F2645" t="s">
        <v>61</v>
      </c>
      <c r="G2645" t="s">
        <v>81</v>
      </c>
      <c r="H2645" t="s">
        <v>33</v>
      </c>
      <c r="I2645" s="1" t="s">
        <v>4065</v>
      </c>
      <c r="S2645" s="15">
        <v>1</v>
      </c>
    </row>
    <row r="2646" spans="1:25" ht="105" x14ac:dyDescent="0.25">
      <c r="A2646" t="s">
        <v>91</v>
      </c>
      <c r="B2646" t="s">
        <v>4043</v>
      </c>
      <c r="C2646" t="s">
        <v>50</v>
      </c>
      <c r="D2646" t="s">
        <v>843</v>
      </c>
      <c r="E2646" t="s">
        <v>79</v>
      </c>
      <c r="F2646" t="s">
        <v>260</v>
      </c>
      <c r="G2646" t="s">
        <v>69</v>
      </c>
      <c r="H2646" t="s">
        <v>173</v>
      </c>
      <c r="I2646" s="1" t="s">
        <v>4066</v>
      </c>
      <c r="T2646" s="15">
        <v>1</v>
      </c>
    </row>
    <row r="2647" spans="1:25" ht="30" x14ac:dyDescent="0.25">
      <c r="A2647" t="s">
        <v>26</v>
      </c>
      <c r="B2647" t="s">
        <v>4043</v>
      </c>
      <c r="C2647" t="s">
        <v>50</v>
      </c>
      <c r="D2647" t="s">
        <v>1013</v>
      </c>
      <c r="E2647" t="s">
        <v>30</v>
      </c>
      <c r="F2647" t="s">
        <v>112</v>
      </c>
      <c r="G2647" t="s">
        <v>32</v>
      </c>
      <c r="H2647" t="s">
        <v>33</v>
      </c>
      <c r="I2647" s="1" t="s">
        <v>4067</v>
      </c>
      <c r="S2647" s="15">
        <v>1</v>
      </c>
    </row>
    <row r="2648" spans="1:25" ht="45" x14ac:dyDescent="0.25">
      <c r="A2648" t="s">
        <v>49</v>
      </c>
      <c r="B2648" t="s">
        <v>4043</v>
      </c>
      <c r="C2648" t="s">
        <v>240</v>
      </c>
      <c r="D2648" t="s">
        <v>3962</v>
      </c>
      <c r="E2648" t="s">
        <v>30</v>
      </c>
      <c r="F2648" t="s">
        <v>108</v>
      </c>
      <c r="G2648" t="s">
        <v>32</v>
      </c>
      <c r="H2648" t="s">
        <v>33</v>
      </c>
      <c r="I2648" s="1" t="s">
        <v>4068</v>
      </c>
      <c r="S2648" s="15">
        <v>1</v>
      </c>
    </row>
    <row r="2649" spans="1:25" ht="60" x14ac:dyDescent="0.25">
      <c r="A2649" t="s">
        <v>26</v>
      </c>
      <c r="B2649" t="s">
        <v>4043</v>
      </c>
      <c r="C2649" t="s">
        <v>44</v>
      </c>
      <c r="D2649" t="s">
        <v>616</v>
      </c>
      <c r="E2649" t="s">
        <v>30</v>
      </c>
      <c r="F2649" t="s">
        <v>196</v>
      </c>
      <c r="G2649" t="s">
        <v>38</v>
      </c>
      <c r="H2649" t="s">
        <v>87</v>
      </c>
      <c r="I2649" s="1" t="s">
        <v>4069</v>
      </c>
      <c r="N2649" s="15">
        <v>1</v>
      </c>
      <c r="P2649" s="15">
        <v>1</v>
      </c>
      <c r="V2649" s="15">
        <v>1</v>
      </c>
    </row>
    <row r="2650" spans="1:25" ht="105" x14ac:dyDescent="0.25">
      <c r="A2650" t="s">
        <v>49</v>
      </c>
      <c r="B2650" t="s">
        <v>4043</v>
      </c>
      <c r="C2650" t="s">
        <v>106</v>
      </c>
      <c r="D2650" t="s">
        <v>1084</v>
      </c>
      <c r="E2650" t="s">
        <v>79</v>
      </c>
      <c r="F2650" t="s">
        <v>140</v>
      </c>
      <c r="G2650" t="s">
        <v>32</v>
      </c>
      <c r="H2650" t="s">
        <v>173</v>
      </c>
      <c r="I2650" s="1" t="s">
        <v>4070</v>
      </c>
      <c r="P2650" s="15">
        <v>1</v>
      </c>
      <c r="Q2650" s="15">
        <v>1</v>
      </c>
    </row>
    <row r="2651" spans="1:25" ht="105" x14ac:dyDescent="0.25">
      <c r="A2651" t="s">
        <v>26</v>
      </c>
      <c r="B2651" t="s">
        <v>4043</v>
      </c>
      <c r="C2651" t="s">
        <v>44</v>
      </c>
      <c r="D2651" t="s">
        <v>68</v>
      </c>
      <c r="E2651" t="s">
        <v>30</v>
      </c>
      <c r="F2651" t="s">
        <v>161</v>
      </c>
      <c r="G2651" t="s">
        <v>32</v>
      </c>
      <c r="H2651" t="s">
        <v>33</v>
      </c>
      <c r="I2651" s="1" t="s">
        <v>4071</v>
      </c>
      <c r="S2651" s="15">
        <v>1</v>
      </c>
    </row>
    <row r="2652" spans="1:25" ht="90" x14ac:dyDescent="0.25">
      <c r="A2652" t="s">
        <v>49</v>
      </c>
      <c r="B2652" t="s">
        <v>4043</v>
      </c>
      <c r="C2652" t="s">
        <v>96</v>
      </c>
      <c r="D2652" t="s">
        <v>3057</v>
      </c>
      <c r="E2652" t="s">
        <v>30</v>
      </c>
      <c r="F2652" t="s">
        <v>136</v>
      </c>
      <c r="G2652" t="s">
        <v>81</v>
      </c>
      <c r="H2652" t="s">
        <v>87</v>
      </c>
      <c r="I2652" s="1" t="s">
        <v>4072</v>
      </c>
      <c r="P2652" s="15">
        <v>1</v>
      </c>
      <c r="T2652" s="15">
        <v>1</v>
      </c>
    </row>
    <row r="2653" spans="1:25" ht="60" x14ac:dyDescent="0.25">
      <c r="A2653" t="s">
        <v>26</v>
      </c>
      <c r="B2653" t="s">
        <v>4043</v>
      </c>
      <c r="C2653" t="s">
        <v>28</v>
      </c>
      <c r="D2653" t="s">
        <v>517</v>
      </c>
      <c r="E2653" t="s">
        <v>30</v>
      </c>
      <c r="F2653" t="s">
        <v>46</v>
      </c>
      <c r="G2653" t="s">
        <v>69</v>
      </c>
      <c r="H2653" t="s">
        <v>33</v>
      </c>
      <c r="I2653" s="1" t="s">
        <v>4073</v>
      </c>
      <c r="O2653" s="15">
        <v>1</v>
      </c>
      <c r="S2653" s="15">
        <v>1</v>
      </c>
    </row>
    <row r="2654" spans="1:25" ht="90" x14ac:dyDescent="0.25">
      <c r="A2654" t="s">
        <v>91</v>
      </c>
      <c r="B2654" t="s">
        <v>4043</v>
      </c>
      <c r="C2654" t="s">
        <v>85</v>
      </c>
      <c r="D2654" t="s">
        <v>4074</v>
      </c>
      <c r="E2654" t="s">
        <v>30</v>
      </c>
      <c r="F2654" t="s">
        <v>61</v>
      </c>
      <c r="G2654" t="s">
        <v>69</v>
      </c>
      <c r="H2654" t="s">
        <v>87</v>
      </c>
      <c r="I2654" s="1" t="s">
        <v>4075</v>
      </c>
      <c r="P2654" s="15">
        <v>1</v>
      </c>
      <c r="Q2654" s="15">
        <v>1</v>
      </c>
      <c r="Y2654">
        <v>1</v>
      </c>
    </row>
    <row r="2655" spans="1:25" ht="30" x14ac:dyDescent="0.25">
      <c r="A2655" t="s">
        <v>26</v>
      </c>
      <c r="B2655" t="s">
        <v>4043</v>
      </c>
      <c r="C2655" t="s">
        <v>28</v>
      </c>
      <c r="D2655" t="s">
        <v>4076</v>
      </c>
      <c r="E2655" t="s">
        <v>30</v>
      </c>
      <c r="F2655" t="s">
        <v>98</v>
      </c>
      <c r="G2655" t="s">
        <v>32</v>
      </c>
      <c r="H2655" t="s">
        <v>33</v>
      </c>
      <c r="I2655" s="1" t="s">
        <v>4077</v>
      </c>
      <c r="W2655" s="15">
        <v>1</v>
      </c>
    </row>
    <row r="2656" spans="1:25" ht="30" x14ac:dyDescent="0.25">
      <c r="A2656" t="s">
        <v>37</v>
      </c>
      <c r="B2656" t="s">
        <v>4043</v>
      </c>
      <c r="C2656" t="s">
        <v>106</v>
      </c>
      <c r="D2656" t="s">
        <v>4078</v>
      </c>
      <c r="E2656" t="s">
        <v>79</v>
      </c>
      <c r="F2656" t="s">
        <v>216</v>
      </c>
      <c r="G2656" t="s">
        <v>81</v>
      </c>
      <c r="H2656" t="s">
        <v>87</v>
      </c>
      <c r="I2656" s="1" t="s">
        <v>4079</v>
      </c>
      <c r="W2656" s="15">
        <v>1</v>
      </c>
    </row>
    <row r="2657" spans="1:24" ht="60" x14ac:dyDescent="0.25">
      <c r="A2657" t="s">
        <v>91</v>
      </c>
      <c r="B2657" t="s">
        <v>4043</v>
      </c>
      <c r="C2657" t="s">
        <v>69</v>
      </c>
      <c r="D2657" t="s">
        <v>819</v>
      </c>
      <c r="E2657" t="s">
        <v>30</v>
      </c>
      <c r="F2657" t="s">
        <v>108</v>
      </c>
      <c r="G2657" t="s">
        <v>32</v>
      </c>
      <c r="H2657" t="s">
        <v>33</v>
      </c>
      <c r="I2657" s="1" t="s">
        <v>4080</v>
      </c>
      <c r="T2657" s="15">
        <v>1</v>
      </c>
      <c r="W2657" s="15">
        <v>1</v>
      </c>
    </row>
    <row r="2658" spans="1:24" ht="105" x14ac:dyDescent="0.25">
      <c r="A2658" t="s">
        <v>37</v>
      </c>
      <c r="B2658" t="s">
        <v>4043</v>
      </c>
      <c r="C2658" t="s">
        <v>50</v>
      </c>
      <c r="D2658" t="s">
        <v>801</v>
      </c>
      <c r="E2658" t="s">
        <v>30</v>
      </c>
      <c r="F2658" t="s">
        <v>154</v>
      </c>
      <c r="G2658" t="s">
        <v>32</v>
      </c>
      <c r="H2658" t="s">
        <v>173</v>
      </c>
      <c r="I2658" s="1" t="s">
        <v>4081</v>
      </c>
      <c r="P2658" s="15">
        <v>1</v>
      </c>
    </row>
    <row r="2659" spans="1:24" ht="30" x14ac:dyDescent="0.25">
      <c r="A2659" t="s">
        <v>49</v>
      </c>
      <c r="B2659" t="s">
        <v>4043</v>
      </c>
      <c r="C2659" t="s">
        <v>263</v>
      </c>
      <c r="D2659" t="s">
        <v>1061</v>
      </c>
      <c r="E2659" t="s">
        <v>30</v>
      </c>
      <c r="F2659" t="s">
        <v>94</v>
      </c>
      <c r="G2659" t="s">
        <v>32</v>
      </c>
      <c r="H2659" t="s">
        <v>33</v>
      </c>
      <c r="I2659" s="1" t="s">
        <v>4082</v>
      </c>
      <c r="O2659" s="15">
        <v>1</v>
      </c>
      <c r="X2659" s="15">
        <v>1</v>
      </c>
    </row>
    <row r="2660" spans="1:24" ht="75" x14ac:dyDescent="0.25">
      <c r="A2660" t="s">
        <v>64</v>
      </c>
      <c r="B2660" t="s">
        <v>4043</v>
      </c>
      <c r="C2660" t="s">
        <v>96</v>
      </c>
      <c r="D2660" t="s">
        <v>1812</v>
      </c>
      <c r="E2660" t="s">
        <v>30</v>
      </c>
      <c r="F2660" t="s">
        <v>166</v>
      </c>
      <c r="G2660" t="s">
        <v>32</v>
      </c>
      <c r="H2660" t="s">
        <v>33</v>
      </c>
      <c r="I2660" s="1" t="s">
        <v>4083</v>
      </c>
      <c r="O2660" s="15">
        <v>1</v>
      </c>
      <c r="S2660" s="15">
        <v>1</v>
      </c>
    </row>
    <row r="2661" spans="1:24" ht="30" x14ac:dyDescent="0.25">
      <c r="A2661" t="s">
        <v>37</v>
      </c>
      <c r="B2661" t="s">
        <v>4043</v>
      </c>
      <c r="C2661" t="s">
        <v>263</v>
      </c>
      <c r="D2661" t="s">
        <v>3778</v>
      </c>
      <c r="E2661" t="s">
        <v>30</v>
      </c>
      <c r="F2661" t="s">
        <v>196</v>
      </c>
      <c r="G2661" t="s">
        <v>69</v>
      </c>
      <c r="H2661" t="s">
        <v>173</v>
      </c>
      <c r="I2661" s="1" t="s">
        <v>4084</v>
      </c>
      <c r="T2661" s="15">
        <v>1</v>
      </c>
    </row>
    <row r="2662" spans="1:24" ht="105" x14ac:dyDescent="0.25">
      <c r="A2662" t="s">
        <v>49</v>
      </c>
      <c r="B2662" t="s">
        <v>4043</v>
      </c>
      <c r="C2662" t="s">
        <v>28</v>
      </c>
      <c r="D2662" t="s">
        <v>528</v>
      </c>
      <c r="E2662" t="s">
        <v>79</v>
      </c>
      <c r="F2662" t="s">
        <v>520</v>
      </c>
      <c r="G2662" t="s">
        <v>32</v>
      </c>
      <c r="H2662" t="s">
        <v>173</v>
      </c>
      <c r="I2662" s="1" t="s">
        <v>4085</v>
      </c>
      <c r="N2662" s="15">
        <v>1</v>
      </c>
      <c r="Q2662" s="15">
        <v>1</v>
      </c>
    </row>
    <row r="2663" spans="1:24" ht="60" x14ac:dyDescent="0.25">
      <c r="A2663" t="s">
        <v>37</v>
      </c>
      <c r="B2663" t="s">
        <v>4043</v>
      </c>
      <c r="C2663" t="s">
        <v>263</v>
      </c>
      <c r="D2663" t="s">
        <v>958</v>
      </c>
      <c r="E2663" t="s">
        <v>30</v>
      </c>
      <c r="F2663" t="s">
        <v>246</v>
      </c>
      <c r="G2663" t="s">
        <v>32</v>
      </c>
      <c r="H2663" t="s">
        <v>33</v>
      </c>
      <c r="I2663" s="1" t="s">
        <v>4086</v>
      </c>
      <c r="S2663" s="15">
        <v>1</v>
      </c>
    </row>
    <row r="2664" spans="1:24" ht="45" x14ac:dyDescent="0.25">
      <c r="A2664" t="s">
        <v>59</v>
      </c>
      <c r="B2664" t="s">
        <v>4043</v>
      </c>
      <c r="C2664" t="s">
        <v>263</v>
      </c>
      <c r="D2664" t="s">
        <v>958</v>
      </c>
      <c r="E2664" t="s">
        <v>30</v>
      </c>
      <c r="F2664" t="s">
        <v>189</v>
      </c>
      <c r="G2664" t="s">
        <v>32</v>
      </c>
      <c r="H2664" t="s">
        <v>33</v>
      </c>
      <c r="I2664" s="1" t="s">
        <v>4087</v>
      </c>
      <c r="O2664" s="15">
        <v>1</v>
      </c>
    </row>
    <row r="2665" spans="1:24" ht="45" x14ac:dyDescent="0.25">
      <c r="A2665" t="s">
        <v>64</v>
      </c>
      <c r="B2665" t="s">
        <v>4043</v>
      </c>
      <c r="C2665" t="s">
        <v>69</v>
      </c>
      <c r="D2665" t="s">
        <v>2156</v>
      </c>
      <c r="E2665" t="s">
        <v>30</v>
      </c>
      <c r="F2665" t="s">
        <v>196</v>
      </c>
      <c r="G2665" t="s">
        <v>32</v>
      </c>
      <c r="H2665" t="s">
        <v>33</v>
      </c>
      <c r="I2665" s="1" t="s">
        <v>4088</v>
      </c>
      <c r="S2665" s="15">
        <v>1</v>
      </c>
    </row>
    <row r="2666" spans="1:24" ht="105" x14ac:dyDescent="0.25">
      <c r="A2666" t="s">
        <v>26</v>
      </c>
      <c r="B2666" t="s">
        <v>4089</v>
      </c>
      <c r="C2666" t="s">
        <v>44</v>
      </c>
      <c r="D2666" t="s">
        <v>165</v>
      </c>
      <c r="E2666" t="s">
        <v>30</v>
      </c>
      <c r="F2666" t="s">
        <v>205</v>
      </c>
      <c r="G2666" t="s">
        <v>69</v>
      </c>
      <c r="H2666" t="s">
        <v>33</v>
      </c>
      <c r="I2666" s="1" t="s">
        <v>4090</v>
      </c>
      <c r="S2666" s="15">
        <v>1</v>
      </c>
    </row>
    <row r="2667" spans="1:24" ht="105" x14ac:dyDescent="0.25">
      <c r="A2667" t="s">
        <v>26</v>
      </c>
      <c r="B2667" t="s">
        <v>4089</v>
      </c>
      <c r="C2667" t="s">
        <v>92</v>
      </c>
      <c r="D2667" t="s">
        <v>477</v>
      </c>
      <c r="E2667" t="s">
        <v>30</v>
      </c>
      <c r="F2667" t="s">
        <v>140</v>
      </c>
      <c r="G2667" t="s">
        <v>32</v>
      </c>
      <c r="H2667" t="s">
        <v>87</v>
      </c>
      <c r="I2667" s="1" t="s">
        <v>4091</v>
      </c>
      <c r="R2667" s="15">
        <v>1</v>
      </c>
      <c r="S2667" s="15">
        <v>1</v>
      </c>
      <c r="V2667" s="15">
        <v>1</v>
      </c>
    </row>
    <row r="2668" spans="1:24" ht="105" x14ac:dyDescent="0.25">
      <c r="A2668" t="s">
        <v>49</v>
      </c>
      <c r="B2668" t="s">
        <v>4089</v>
      </c>
      <c r="C2668" t="s">
        <v>85</v>
      </c>
      <c r="D2668" t="s">
        <v>405</v>
      </c>
      <c r="E2668" t="s">
        <v>30</v>
      </c>
      <c r="F2668" t="s">
        <v>182</v>
      </c>
      <c r="G2668" t="s">
        <v>32</v>
      </c>
      <c r="H2668" t="s">
        <v>173</v>
      </c>
      <c r="I2668" s="1" t="s">
        <v>4092</v>
      </c>
      <c r="S2668" s="15">
        <v>1</v>
      </c>
    </row>
    <row r="2669" spans="1:24" ht="45" x14ac:dyDescent="0.25">
      <c r="A2669" t="s">
        <v>26</v>
      </c>
      <c r="B2669" t="s">
        <v>4089</v>
      </c>
      <c r="C2669" t="s">
        <v>235</v>
      </c>
      <c r="D2669" t="s">
        <v>1026</v>
      </c>
      <c r="E2669" t="s">
        <v>30</v>
      </c>
      <c r="F2669" t="s">
        <v>260</v>
      </c>
      <c r="G2669" t="s">
        <v>81</v>
      </c>
      <c r="H2669" t="s">
        <v>173</v>
      </c>
      <c r="I2669" s="1" t="s">
        <v>4093</v>
      </c>
      <c r="P2669" s="15">
        <v>1</v>
      </c>
    </row>
    <row r="2670" spans="1:24" ht="105" x14ac:dyDescent="0.25">
      <c r="A2670" t="s">
        <v>26</v>
      </c>
      <c r="B2670" t="s">
        <v>4089</v>
      </c>
      <c r="C2670" t="s">
        <v>85</v>
      </c>
      <c r="D2670" t="s">
        <v>899</v>
      </c>
      <c r="E2670" t="s">
        <v>79</v>
      </c>
      <c r="F2670" t="s">
        <v>161</v>
      </c>
      <c r="G2670" t="s">
        <v>69</v>
      </c>
      <c r="H2670" t="s">
        <v>173</v>
      </c>
      <c r="I2670" s="1" t="s">
        <v>4094</v>
      </c>
      <c r="W2670" s="15">
        <v>1</v>
      </c>
    </row>
    <row r="2671" spans="1:24" ht="120" x14ac:dyDescent="0.25">
      <c r="A2671" t="s">
        <v>49</v>
      </c>
      <c r="B2671" t="s">
        <v>4089</v>
      </c>
      <c r="C2671" t="s">
        <v>73</v>
      </c>
      <c r="D2671" t="s">
        <v>1337</v>
      </c>
      <c r="E2671" t="s">
        <v>30</v>
      </c>
      <c r="F2671" t="s">
        <v>587</v>
      </c>
      <c r="G2671" t="s">
        <v>32</v>
      </c>
      <c r="H2671" t="s">
        <v>33</v>
      </c>
      <c r="I2671" s="1" t="s">
        <v>4095</v>
      </c>
      <c r="Q2671" s="15">
        <v>1</v>
      </c>
    </row>
    <row r="2672" spans="1:24" ht="30" x14ac:dyDescent="0.25">
      <c r="A2672" t="s">
        <v>64</v>
      </c>
      <c r="B2672" t="s">
        <v>4089</v>
      </c>
      <c r="C2672" t="s">
        <v>92</v>
      </c>
      <c r="D2672" t="s">
        <v>111</v>
      </c>
      <c r="E2672" t="s">
        <v>30</v>
      </c>
      <c r="F2672" t="s">
        <v>154</v>
      </c>
      <c r="G2672" t="s">
        <v>32</v>
      </c>
      <c r="H2672" t="s">
        <v>87</v>
      </c>
      <c r="I2672" s="1" t="s">
        <v>4096</v>
      </c>
      <c r="P2672" s="15">
        <v>1</v>
      </c>
    </row>
    <row r="2673" spans="1:24" ht="60" x14ac:dyDescent="0.25">
      <c r="A2673" t="s">
        <v>26</v>
      </c>
      <c r="B2673" t="s">
        <v>4089</v>
      </c>
      <c r="C2673" t="s">
        <v>50</v>
      </c>
      <c r="D2673" t="s">
        <v>817</v>
      </c>
      <c r="E2673" t="s">
        <v>30</v>
      </c>
      <c r="F2673" t="s">
        <v>98</v>
      </c>
      <c r="G2673" t="s">
        <v>32</v>
      </c>
      <c r="H2673" t="s">
        <v>87</v>
      </c>
      <c r="I2673" s="1" t="s">
        <v>4097</v>
      </c>
      <c r="U2673" s="15">
        <v>1</v>
      </c>
    </row>
    <row r="2674" spans="1:24" ht="75" x14ac:dyDescent="0.25">
      <c r="A2674" t="s">
        <v>49</v>
      </c>
      <c r="B2674" t="s">
        <v>4089</v>
      </c>
      <c r="C2674" t="s">
        <v>32</v>
      </c>
      <c r="D2674" t="s">
        <v>245</v>
      </c>
      <c r="E2674" t="s">
        <v>30</v>
      </c>
      <c r="F2674" t="s">
        <v>189</v>
      </c>
      <c r="G2674" t="s">
        <v>32</v>
      </c>
      <c r="H2674" t="s">
        <v>33</v>
      </c>
      <c r="I2674" s="1" t="s">
        <v>4098</v>
      </c>
      <c r="S2674" s="15">
        <v>1</v>
      </c>
    </row>
    <row r="2675" spans="1:24" x14ac:dyDescent="0.25">
      <c r="A2675" t="s">
        <v>49</v>
      </c>
      <c r="B2675" t="s">
        <v>4089</v>
      </c>
      <c r="C2675" t="s">
        <v>472</v>
      </c>
      <c r="D2675" t="s">
        <v>4099</v>
      </c>
      <c r="E2675" t="s">
        <v>30</v>
      </c>
      <c r="F2675" t="s">
        <v>189</v>
      </c>
      <c r="G2675" t="s">
        <v>32</v>
      </c>
      <c r="H2675" t="s">
        <v>33</v>
      </c>
      <c r="I2675" s="1" t="s">
        <v>4100</v>
      </c>
      <c r="S2675" s="15">
        <v>1</v>
      </c>
    </row>
    <row r="2676" spans="1:24" ht="30" x14ac:dyDescent="0.25">
      <c r="A2676" t="s">
        <v>26</v>
      </c>
      <c r="B2676" t="s">
        <v>4101</v>
      </c>
      <c r="C2676" t="s">
        <v>263</v>
      </c>
      <c r="D2676" t="s">
        <v>2303</v>
      </c>
      <c r="E2676" t="s">
        <v>30</v>
      </c>
      <c r="F2676" t="s">
        <v>246</v>
      </c>
      <c r="G2676" t="s">
        <v>32</v>
      </c>
      <c r="H2676" t="s">
        <v>33</v>
      </c>
      <c r="I2676" s="1" t="s">
        <v>4102</v>
      </c>
      <c r="O2676" s="15">
        <v>1</v>
      </c>
      <c r="X2676" s="15">
        <v>1</v>
      </c>
    </row>
    <row r="2677" spans="1:24" ht="45" x14ac:dyDescent="0.25">
      <c r="A2677" t="s">
        <v>26</v>
      </c>
      <c r="B2677" t="s">
        <v>4101</v>
      </c>
      <c r="C2677" t="s">
        <v>249</v>
      </c>
      <c r="D2677" t="s">
        <v>1700</v>
      </c>
      <c r="E2677" t="s">
        <v>30</v>
      </c>
      <c r="F2677" t="s">
        <v>216</v>
      </c>
      <c r="G2677" t="s">
        <v>32</v>
      </c>
      <c r="H2677" t="s">
        <v>33</v>
      </c>
      <c r="I2677" s="1" t="s">
        <v>4103</v>
      </c>
      <c r="S2677" s="15">
        <v>1</v>
      </c>
    </row>
    <row r="2678" spans="1:24" ht="90" x14ac:dyDescent="0.25">
      <c r="A2678" t="s">
        <v>26</v>
      </c>
      <c r="B2678" t="s">
        <v>4101</v>
      </c>
      <c r="C2678" t="s">
        <v>92</v>
      </c>
      <c r="D2678" t="s">
        <v>477</v>
      </c>
      <c r="E2678" t="s">
        <v>30</v>
      </c>
      <c r="F2678" t="s">
        <v>202</v>
      </c>
      <c r="G2678" t="s">
        <v>32</v>
      </c>
      <c r="H2678" t="s">
        <v>173</v>
      </c>
      <c r="I2678" s="1" t="s">
        <v>4104</v>
      </c>
      <c r="Q2678" s="15">
        <v>1</v>
      </c>
      <c r="V2678" s="15">
        <v>1</v>
      </c>
    </row>
    <row r="2679" spans="1:24" ht="45" x14ac:dyDescent="0.25">
      <c r="A2679" t="s">
        <v>26</v>
      </c>
      <c r="B2679" t="s">
        <v>4101</v>
      </c>
      <c r="C2679" t="s">
        <v>263</v>
      </c>
      <c r="D2679" t="s">
        <v>862</v>
      </c>
      <c r="E2679" t="s">
        <v>30</v>
      </c>
      <c r="F2679" t="s">
        <v>140</v>
      </c>
      <c r="G2679" t="s">
        <v>32</v>
      </c>
      <c r="H2679" t="s">
        <v>33</v>
      </c>
      <c r="I2679" s="1" t="s">
        <v>4105</v>
      </c>
      <c r="O2679" s="15">
        <v>1</v>
      </c>
      <c r="X2679" s="15">
        <v>1</v>
      </c>
    </row>
    <row r="2680" spans="1:24" ht="75" x14ac:dyDescent="0.25">
      <c r="A2680" t="s">
        <v>26</v>
      </c>
      <c r="B2680" t="s">
        <v>4101</v>
      </c>
      <c r="C2680" t="s">
        <v>44</v>
      </c>
      <c r="D2680" t="s">
        <v>754</v>
      </c>
      <c r="E2680" t="s">
        <v>30</v>
      </c>
      <c r="F2680" t="s">
        <v>154</v>
      </c>
      <c r="G2680" t="s">
        <v>32</v>
      </c>
      <c r="H2680" t="s">
        <v>33</v>
      </c>
      <c r="I2680" s="1" t="s">
        <v>4106</v>
      </c>
      <c r="S2680" s="15">
        <v>1</v>
      </c>
      <c r="W2680" s="15">
        <v>1</v>
      </c>
    </row>
    <row r="2681" spans="1:24" ht="90" x14ac:dyDescent="0.25">
      <c r="A2681" t="s">
        <v>26</v>
      </c>
      <c r="B2681" t="s">
        <v>4101</v>
      </c>
      <c r="C2681" t="s">
        <v>92</v>
      </c>
      <c r="D2681" t="s">
        <v>111</v>
      </c>
      <c r="E2681" t="s">
        <v>79</v>
      </c>
      <c r="F2681" t="s">
        <v>182</v>
      </c>
      <c r="G2681" t="s">
        <v>32</v>
      </c>
      <c r="H2681" t="s">
        <v>33</v>
      </c>
      <c r="I2681" s="1" t="s">
        <v>4107</v>
      </c>
      <c r="S2681" s="15">
        <v>1</v>
      </c>
    </row>
    <row r="2682" spans="1:24" ht="180" x14ac:dyDescent="0.25">
      <c r="A2682" t="s">
        <v>26</v>
      </c>
      <c r="B2682" t="s">
        <v>4101</v>
      </c>
      <c r="C2682" t="s">
        <v>235</v>
      </c>
      <c r="D2682" t="s">
        <v>236</v>
      </c>
      <c r="E2682" t="s">
        <v>30</v>
      </c>
      <c r="F2682" t="s">
        <v>136</v>
      </c>
      <c r="G2682" t="s">
        <v>32</v>
      </c>
      <c r="H2682" t="s">
        <v>33</v>
      </c>
      <c r="I2682" s="1" t="s">
        <v>4108</v>
      </c>
      <c r="S2682" s="15">
        <v>1</v>
      </c>
    </row>
    <row r="2683" spans="1:24" ht="75" x14ac:dyDescent="0.25">
      <c r="A2683" t="s">
        <v>26</v>
      </c>
      <c r="B2683" t="s">
        <v>4101</v>
      </c>
      <c r="C2683" t="s">
        <v>73</v>
      </c>
      <c r="D2683" t="s">
        <v>1293</v>
      </c>
      <c r="E2683" t="s">
        <v>79</v>
      </c>
      <c r="F2683" t="s">
        <v>136</v>
      </c>
      <c r="G2683" t="s">
        <v>69</v>
      </c>
      <c r="H2683" t="s">
        <v>173</v>
      </c>
      <c r="I2683" s="1" t="s">
        <v>4109</v>
      </c>
      <c r="Q2683" s="15">
        <v>1</v>
      </c>
      <c r="V2683" s="15">
        <v>1</v>
      </c>
    </row>
    <row r="2684" spans="1:24" ht="90" x14ac:dyDescent="0.25">
      <c r="A2684" t="s">
        <v>26</v>
      </c>
      <c r="B2684" t="s">
        <v>4101</v>
      </c>
      <c r="C2684" t="s">
        <v>85</v>
      </c>
      <c r="D2684" t="s">
        <v>1824</v>
      </c>
      <c r="E2684" t="s">
        <v>30</v>
      </c>
      <c r="F2684" t="s">
        <v>140</v>
      </c>
      <c r="G2684" t="s">
        <v>81</v>
      </c>
      <c r="H2684" t="s">
        <v>33</v>
      </c>
      <c r="I2684" s="1" t="s">
        <v>4110</v>
      </c>
    </row>
    <row r="2685" spans="1:24" ht="90" x14ac:dyDescent="0.25">
      <c r="A2685" t="s">
        <v>26</v>
      </c>
      <c r="B2685" t="s">
        <v>4101</v>
      </c>
      <c r="C2685" t="s">
        <v>472</v>
      </c>
      <c r="D2685" t="s">
        <v>1000</v>
      </c>
      <c r="E2685" t="s">
        <v>30</v>
      </c>
      <c r="F2685" t="s">
        <v>4111</v>
      </c>
      <c r="G2685" t="s">
        <v>32</v>
      </c>
      <c r="H2685" t="s">
        <v>33</v>
      </c>
      <c r="I2685" s="1" t="s">
        <v>4112</v>
      </c>
    </row>
    <row r="2686" spans="1:24" ht="30" x14ac:dyDescent="0.25">
      <c r="A2686" t="s">
        <v>26</v>
      </c>
      <c r="B2686" t="s">
        <v>4101</v>
      </c>
      <c r="C2686" t="s">
        <v>50</v>
      </c>
      <c r="D2686" t="s">
        <v>226</v>
      </c>
      <c r="E2686" t="s">
        <v>30</v>
      </c>
      <c r="F2686" t="s">
        <v>61</v>
      </c>
      <c r="G2686" t="s">
        <v>69</v>
      </c>
      <c r="H2686" t="s">
        <v>87</v>
      </c>
      <c r="I2686" s="1" t="s">
        <v>4113</v>
      </c>
      <c r="T2686" s="15">
        <v>1</v>
      </c>
    </row>
    <row r="2687" spans="1:24" ht="30" x14ac:dyDescent="0.25">
      <c r="A2687" t="s">
        <v>26</v>
      </c>
      <c r="B2687" t="s">
        <v>4101</v>
      </c>
      <c r="C2687" t="s">
        <v>106</v>
      </c>
      <c r="D2687" t="s">
        <v>539</v>
      </c>
      <c r="E2687" t="s">
        <v>30</v>
      </c>
      <c r="F2687" t="s">
        <v>205</v>
      </c>
      <c r="G2687" t="s">
        <v>69</v>
      </c>
      <c r="H2687" t="s">
        <v>173</v>
      </c>
      <c r="I2687" s="1" t="s">
        <v>4114</v>
      </c>
      <c r="P2687" s="15">
        <v>1</v>
      </c>
    </row>
    <row r="2688" spans="1:24" ht="30" x14ac:dyDescent="0.25">
      <c r="A2688" t="s">
        <v>37</v>
      </c>
      <c r="B2688" t="s">
        <v>4101</v>
      </c>
      <c r="C2688" t="s">
        <v>50</v>
      </c>
      <c r="D2688" t="s">
        <v>1750</v>
      </c>
      <c r="E2688" t="s">
        <v>30</v>
      </c>
      <c r="F2688" t="s">
        <v>290</v>
      </c>
      <c r="G2688" t="s">
        <v>32</v>
      </c>
      <c r="H2688" t="s">
        <v>33</v>
      </c>
      <c r="I2688" s="1" t="s">
        <v>4115</v>
      </c>
      <c r="S2688" s="15">
        <v>1</v>
      </c>
    </row>
    <row r="2689" spans="1:26" ht="75" x14ac:dyDescent="0.25">
      <c r="A2689" t="s">
        <v>26</v>
      </c>
      <c r="B2689" t="s">
        <v>4101</v>
      </c>
      <c r="C2689" t="s">
        <v>50</v>
      </c>
      <c r="D2689" t="s">
        <v>2087</v>
      </c>
      <c r="E2689" t="s">
        <v>30</v>
      </c>
      <c r="F2689" t="s">
        <v>287</v>
      </c>
      <c r="G2689" t="s">
        <v>69</v>
      </c>
      <c r="H2689" t="s">
        <v>87</v>
      </c>
      <c r="I2689" s="1" t="s">
        <v>4116</v>
      </c>
      <c r="O2689" s="15">
        <v>1</v>
      </c>
      <c r="S2689" s="15">
        <v>1</v>
      </c>
      <c r="W2689" s="15">
        <v>1</v>
      </c>
    </row>
    <row r="2690" spans="1:26" ht="105" x14ac:dyDescent="0.25">
      <c r="A2690" t="s">
        <v>26</v>
      </c>
      <c r="B2690" t="s">
        <v>4101</v>
      </c>
      <c r="C2690" t="s">
        <v>50</v>
      </c>
      <c r="D2690" t="s">
        <v>3396</v>
      </c>
      <c r="E2690" t="s">
        <v>30</v>
      </c>
      <c r="F2690" t="s">
        <v>61</v>
      </c>
      <c r="G2690" t="s">
        <v>32</v>
      </c>
      <c r="H2690" t="s">
        <v>33</v>
      </c>
      <c r="I2690" s="1" t="s">
        <v>4117</v>
      </c>
      <c r="S2690" s="15">
        <v>1</v>
      </c>
    </row>
    <row r="2691" spans="1:26" x14ac:dyDescent="0.25">
      <c r="A2691" t="s">
        <v>26</v>
      </c>
      <c r="B2691" t="s">
        <v>4101</v>
      </c>
      <c r="C2691" t="s">
        <v>180</v>
      </c>
      <c r="D2691" t="s">
        <v>726</v>
      </c>
      <c r="E2691" t="s">
        <v>30</v>
      </c>
      <c r="F2691" t="s">
        <v>130</v>
      </c>
      <c r="G2691" t="s">
        <v>32</v>
      </c>
      <c r="H2691" t="s">
        <v>33</v>
      </c>
      <c r="I2691" s="1" t="s">
        <v>4118</v>
      </c>
      <c r="S2691" s="15">
        <v>1</v>
      </c>
    </row>
    <row r="2692" spans="1:26" ht="135" x14ac:dyDescent="0.25">
      <c r="A2692" t="s">
        <v>37</v>
      </c>
      <c r="B2692" t="s">
        <v>4101</v>
      </c>
      <c r="C2692" t="s">
        <v>44</v>
      </c>
      <c r="D2692" t="s">
        <v>165</v>
      </c>
      <c r="E2692" t="s">
        <v>30</v>
      </c>
      <c r="F2692" t="s">
        <v>119</v>
      </c>
      <c r="G2692" t="s">
        <v>81</v>
      </c>
      <c r="H2692" t="s">
        <v>87</v>
      </c>
      <c r="I2692" s="1" t="s">
        <v>4119</v>
      </c>
      <c r="Q2692" s="15">
        <v>1</v>
      </c>
      <c r="V2692" s="15">
        <v>1</v>
      </c>
    </row>
    <row r="2693" spans="1:26" ht="120" x14ac:dyDescent="0.25">
      <c r="A2693" t="s">
        <v>26</v>
      </c>
      <c r="B2693" t="s">
        <v>4101</v>
      </c>
      <c r="C2693" t="s">
        <v>32</v>
      </c>
      <c r="D2693" t="s">
        <v>1116</v>
      </c>
      <c r="E2693" t="s">
        <v>30</v>
      </c>
      <c r="F2693" t="s">
        <v>202</v>
      </c>
      <c r="G2693" t="s">
        <v>32</v>
      </c>
      <c r="H2693" t="s">
        <v>87</v>
      </c>
      <c r="I2693" s="1" t="s">
        <v>4120</v>
      </c>
      <c r="Q2693" s="15">
        <v>1</v>
      </c>
      <c r="W2693" s="15">
        <v>1</v>
      </c>
    </row>
    <row r="2694" spans="1:26" ht="120" x14ac:dyDescent="0.25">
      <c r="A2694" t="s">
        <v>26</v>
      </c>
      <c r="B2694" t="s">
        <v>4101</v>
      </c>
      <c r="C2694" t="s">
        <v>44</v>
      </c>
      <c r="D2694" t="s">
        <v>45</v>
      </c>
      <c r="E2694" t="s">
        <v>30</v>
      </c>
      <c r="F2694" t="s">
        <v>246</v>
      </c>
      <c r="G2694" t="s">
        <v>38</v>
      </c>
      <c r="H2694" t="s">
        <v>87</v>
      </c>
      <c r="I2694" s="1" t="s">
        <v>4121</v>
      </c>
      <c r="P2694" s="15">
        <v>1</v>
      </c>
    </row>
    <row r="2695" spans="1:26" ht="90" x14ac:dyDescent="0.25">
      <c r="A2695" t="s">
        <v>26</v>
      </c>
      <c r="B2695" t="s">
        <v>4101</v>
      </c>
      <c r="C2695" t="s">
        <v>32</v>
      </c>
      <c r="D2695" t="s">
        <v>358</v>
      </c>
      <c r="E2695" t="s">
        <v>30</v>
      </c>
      <c r="F2695" t="s">
        <v>154</v>
      </c>
      <c r="G2695" t="s">
        <v>32</v>
      </c>
      <c r="H2695" t="s">
        <v>87</v>
      </c>
      <c r="I2695" s="1" t="s">
        <v>4122</v>
      </c>
      <c r="S2695" s="15">
        <v>1</v>
      </c>
      <c r="T2695" s="15">
        <v>1</v>
      </c>
    </row>
    <row r="2696" spans="1:26" ht="105" x14ac:dyDescent="0.25">
      <c r="A2696" t="s">
        <v>26</v>
      </c>
      <c r="B2696" t="s">
        <v>4101</v>
      </c>
      <c r="C2696" t="s">
        <v>85</v>
      </c>
      <c r="D2696" t="s">
        <v>3865</v>
      </c>
      <c r="E2696" t="s">
        <v>30</v>
      </c>
      <c r="F2696" t="s">
        <v>287</v>
      </c>
      <c r="G2696" t="s">
        <v>69</v>
      </c>
      <c r="H2696" t="s">
        <v>87</v>
      </c>
      <c r="I2696" s="1" t="s">
        <v>4123</v>
      </c>
      <c r="R2696" s="15">
        <v>1</v>
      </c>
    </row>
    <row r="2697" spans="1:26" ht="75" x14ac:dyDescent="0.25">
      <c r="A2697" t="s">
        <v>26</v>
      </c>
      <c r="B2697" t="s">
        <v>4101</v>
      </c>
      <c r="C2697" t="s">
        <v>28</v>
      </c>
      <c r="D2697" t="s">
        <v>946</v>
      </c>
      <c r="E2697" t="s">
        <v>30</v>
      </c>
      <c r="F2697" t="s">
        <v>46</v>
      </c>
      <c r="G2697" t="s">
        <v>69</v>
      </c>
      <c r="H2697" t="s">
        <v>33</v>
      </c>
      <c r="I2697" s="1" t="s">
        <v>4124</v>
      </c>
      <c r="O2697" s="15">
        <v>1</v>
      </c>
    </row>
    <row r="2698" spans="1:26" ht="75" x14ac:dyDescent="0.25">
      <c r="A2698" t="s">
        <v>26</v>
      </c>
      <c r="B2698" t="s">
        <v>4101</v>
      </c>
      <c r="C2698" t="s">
        <v>28</v>
      </c>
      <c r="D2698" t="s">
        <v>1552</v>
      </c>
      <c r="E2698" t="s">
        <v>30</v>
      </c>
      <c r="F2698" t="s">
        <v>130</v>
      </c>
      <c r="G2698" t="s">
        <v>32</v>
      </c>
      <c r="H2698" t="s">
        <v>33</v>
      </c>
      <c r="I2698" s="1" t="s">
        <v>4125</v>
      </c>
      <c r="S2698" s="15">
        <v>1</v>
      </c>
    </row>
    <row r="2699" spans="1:26" ht="135" x14ac:dyDescent="0.25">
      <c r="A2699" t="s">
        <v>26</v>
      </c>
      <c r="B2699" t="s">
        <v>4101</v>
      </c>
      <c r="C2699" t="s">
        <v>85</v>
      </c>
      <c r="D2699" t="s">
        <v>4126</v>
      </c>
      <c r="E2699" t="s">
        <v>30</v>
      </c>
      <c r="F2699" t="s">
        <v>161</v>
      </c>
      <c r="G2699" t="s">
        <v>32</v>
      </c>
      <c r="H2699" t="s">
        <v>87</v>
      </c>
      <c r="I2699" s="1" t="s">
        <v>4127</v>
      </c>
      <c r="S2699" s="15">
        <v>1</v>
      </c>
    </row>
    <row r="2700" spans="1:26" x14ac:dyDescent="0.25">
      <c r="A2700" t="s">
        <v>26</v>
      </c>
      <c r="B2700" t="s">
        <v>4101</v>
      </c>
      <c r="C2700" t="s">
        <v>28</v>
      </c>
      <c r="D2700" t="s">
        <v>1515</v>
      </c>
      <c r="E2700" t="s">
        <v>30</v>
      </c>
      <c r="F2700" t="s">
        <v>52</v>
      </c>
      <c r="G2700" t="s">
        <v>32</v>
      </c>
      <c r="H2700" t="s">
        <v>87</v>
      </c>
      <c r="I2700" s="1" t="s">
        <v>4128</v>
      </c>
      <c r="Z2700">
        <v>1</v>
      </c>
    </row>
    <row r="2701" spans="1:26" ht="45" x14ac:dyDescent="0.25">
      <c r="A2701" t="s">
        <v>49</v>
      </c>
      <c r="B2701" t="s">
        <v>4101</v>
      </c>
      <c r="C2701" t="s">
        <v>38</v>
      </c>
      <c r="D2701" t="s">
        <v>533</v>
      </c>
      <c r="E2701" t="s">
        <v>30</v>
      </c>
      <c r="F2701" t="s">
        <v>166</v>
      </c>
      <c r="G2701" t="s">
        <v>69</v>
      </c>
      <c r="H2701" t="s">
        <v>33</v>
      </c>
      <c r="I2701" s="1" t="s">
        <v>4129</v>
      </c>
      <c r="O2701" s="15">
        <v>1</v>
      </c>
    </row>
    <row r="2702" spans="1:26" ht="90" x14ac:dyDescent="0.25">
      <c r="A2702" t="s">
        <v>26</v>
      </c>
      <c r="B2702" t="s">
        <v>4101</v>
      </c>
      <c r="C2702" t="s">
        <v>55</v>
      </c>
      <c r="D2702" t="s">
        <v>535</v>
      </c>
      <c r="E2702" t="s">
        <v>30</v>
      </c>
      <c r="F2702" t="s">
        <v>140</v>
      </c>
      <c r="G2702" t="s">
        <v>32</v>
      </c>
      <c r="H2702" t="s">
        <v>33</v>
      </c>
      <c r="I2702" s="1" t="s">
        <v>4130</v>
      </c>
      <c r="S2702" s="15">
        <v>1</v>
      </c>
      <c r="T2702" s="15">
        <v>1</v>
      </c>
    </row>
    <row r="2703" spans="1:26" x14ac:dyDescent="0.25">
      <c r="A2703" t="s">
        <v>26</v>
      </c>
      <c r="B2703" t="s">
        <v>4101</v>
      </c>
      <c r="C2703" t="s">
        <v>28</v>
      </c>
      <c r="D2703" t="s">
        <v>751</v>
      </c>
      <c r="E2703" t="s">
        <v>30</v>
      </c>
      <c r="F2703" t="s">
        <v>417</v>
      </c>
      <c r="G2703" t="s">
        <v>32</v>
      </c>
      <c r="H2703" t="s">
        <v>33</v>
      </c>
      <c r="I2703" s="1" t="s">
        <v>4131</v>
      </c>
      <c r="S2703" s="15">
        <v>1</v>
      </c>
    </row>
    <row r="2704" spans="1:26" ht="150" x14ac:dyDescent="0.25">
      <c r="A2704" t="s">
        <v>91</v>
      </c>
      <c r="B2704" t="s">
        <v>4101</v>
      </c>
      <c r="C2704" t="s">
        <v>96</v>
      </c>
      <c r="D2704" t="s">
        <v>1216</v>
      </c>
      <c r="E2704" t="s">
        <v>30</v>
      </c>
      <c r="F2704" t="s">
        <v>94</v>
      </c>
      <c r="G2704" t="s">
        <v>38</v>
      </c>
      <c r="H2704" t="s">
        <v>87</v>
      </c>
      <c r="I2704" s="1" t="s">
        <v>4132</v>
      </c>
      <c r="N2704" s="15">
        <v>1</v>
      </c>
      <c r="S2704" s="15">
        <v>1</v>
      </c>
      <c r="W2704" s="15">
        <v>1</v>
      </c>
    </row>
    <row r="2705" spans="1:23" ht="90" x14ac:dyDescent="0.25">
      <c r="A2705" t="s">
        <v>91</v>
      </c>
      <c r="B2705" t="s">
        <v>4101</v>
      </c>
      <c r="C2705" t="s">
        <v>92</v>
      </c>
      <c r="D2705" t="s">
        <v>477</v>
      </c>
      <c r="E2705" t="s">
        <v>30</v>
      </c>
      <c r="F2705" t="s">
        <v>140</v>
      </c>
      <c r="G2705" t="s">
        <v>69</v>
      </c>
      <c r="H2705" t="s">
        <v>173</v>
      </c>
      <c r="I2705" s="1" t="s">
        <v>4133</v>
      </c>
      <c r="N2705" s="15">
        <v>1</v>
      </c>
      <c r="Q2705" s="15">
        <v>1</v>
      </c>
    </row>
    <row r="2706" spans="1:23" ht="90" x14ac:dyDescent="0.25">
      <c r="A2706" t="s">
        <v>91</v>
      </c>
      <c r="B2706" t="s">
        <v>4101</v>
      </c>
      <c r="C2706" t="s">
        <v>38</v>
      </c>
      <c r="D2706" t="s">
        <v>143</v>
      </c>
      <c r="E2706" t="s">
        <v>30</v>
      </c>
      <c r="F2706" t="s">
        <v>166</v>
      </c>
      <c r="G2706" t="s">
        <v>69</v>
      </c>
      <c r="H2706" t="s">
        <v>173</v>
      </c>
      <c r="I2706" s="1" t="s">
        <v>4134</v>
      </c>
      <c r="W2706" s="15">
        <v>1</v>
      </c>
    </row>
    <row r="2707" spans="1:23" x14ac:dyDescent="0.25">
      <c r="A2707" t="s">
        <v>49</v>
      </c>
      <c r="B2707" t="s">
        <v>4101</v>
      </c>
      <c r="C2707" t="s">
        <v>73</v>
      </c>
      <c r="D2707" t="s">
        <v>1147</v>
      </c>
      <c r="E2707" t="s">
        <v>30</v>
      </c>
      <c r="F2707" t="s">
        <v>196</v>
      </c>
      <c r="G2707" t="s">
        <v>32</v>
      </c>
      <c r="H2707" t="s">
        <v>33</v>
      </c>
      <c r="I2707" s="1" t="s">
        <v>4135</v>
      </c>
      <c r="S2707" s="15">
        <v>1</v>
      </c>
    </row>
    <row r="2708" spans="1:23" ht="30" x14ac:dyDescent="0.25">
      <c r="A2708" t="s">
        <v>37</v>
      </c>
      <c r="B2708" t="s">
        <v>4101</v>
      </c>
      <c r="C2708" t="s">
        <v>32</v>
      </c>
      <c r="D2708" t="s">
        <v>1607</v>
      </c>
      <c r="E2708" t="s">
        <v>30</v>
      </c>
      <c r="F2708" t="s">
        <v>136</v>
      </c>
      <c r="G2708" t="s">
        <v>32</v>
      </c>
      <c r="H2708" t="s">
        <v>33</v>
      </c>
      <c r="I2708" s="1" t="s">
        <v>4136</v>
      </c>
      <c r="S2708" s="15">
        <v>1</v>
      </c>
    </row>
    <row r="2709" spans="1:23" ht="75" x14ac:dyDescent="0.25">
      <c r="A2709" t="s">
        <v>37</v>
      </c>
      <c r="B2709" t="s">
        <v>4101</v>
      </c>
      <c r="C2709" t="s">
        <v>32</v>
      </c>
      <c r="D2709" t="s">
        <v>245</v>
      </c>
      <c r="E2709" t="s">
        <v>30</v>
      </c>
      <c r="F2709" t="s">
        <v>389</v>
      </c>
      <c r="G2709" t="s">
        <v>69</v>
      </c>
      <c r="H2709" t="s">
        <v>173</v>
      </c>
      <c r="I2709" s="1" t="s">
        <v>4137</v>
      </c>
      <c r="T2709" s="15">
        <v>1</v>
      </c>
    </row>
    <row r="2710" spans="1:23" ht="105" x14ac:dyDescent="0.25">
      <c r="A2710" t="s">
        <v>37</v>
      </c>
      <c r="B2710" t="s">
        <v>4101</v>
      </c>
      <c r="C2710" t="s">
        <v>85</v>
      </c>
      <c r="D2710" t="s">
        <v>378</v>
      </c>
      <c r="E2710" t="s">
        <v>79</v>
      </c>
      <c r="F2710" t="s">
        <v>196</v>
      </c>
      <c r="G2710" t="s">
        <v>32</v>
      </c>
      <c r="H2710" t="s">
        <v>33</v>
      </c>
      <c r="I2710" s="1" t="s">
        <v>4138</v>
      </c>
      <c r="S2710" s="15">
        <v>1</v>
      </c>
    </row>
    <row r="2711" spans="1:23" ht="105" x14ac:dyDescent="0.25">
      <c r="A2711" t="s">
        <v>49</v>
      </c>
      <c r="B2711" t="s">
        <v>4101</v>
      </c>
      <c r="C2711" t="s">
        <v>106</v>
      </c>
      <c r="D2711" t="s">
        <v>150</v>
      </c>
      <c r="E2711" t="s">
        <v>30</v>
      </c>
      <c r="F2711" t="s">
        <v>136</v>
      </c>
      <c r="G2711" t="s">
        <v>81</v>
      </c>
      <c r="H2711" t="s">
        <v>173</v>
      </c>
      <c r="I2711" s="1" t="s">
        <v>4139</v>
      </c>
      <c r="P2711" s="15">
        <v>1</v>
      </c>
    </row>
    <row r="2712" spans="1:23" ht="30" x14ac:dyDescent="0.25">
      <c r="A2712" t="s">
        <v>64</v>
      </c>
      <c r="B2712" t="s">
        <v>4101</v>
      </c>
      <c r="C2712" t="s">
        <v>263</v>
      </c>
      <c r="D2712" t="s">
        <v>1128</v>
      </c>
      <c r="E2712" t="s">
        <v>30</v>
      </c>
      <c r="F2712" t="s">
        <v>446</v>
      </c>
      <c r="G2712" t="s">
        <v>32</v>
      </c>
      <c r="H2712" t="s">
        <v>33</v>
      </c>
      <c r="I2712" s="1" t="s">
        <v>4140</v>
      </c>
      <c r="S2712" s="15">
        <v>1</v>
      </c>
    </row>
    <row r="2713" spans="1:23" ht="60" x14ac:dyDescent="0.25">
      <c r="A2713" t="s">
        <v>49</v>
      </c>
      <c r="B2713" t="s">
        <v>4101</v>
      </c>
      <c r="C2713" t="s">
        <v>235</v>
      </c>
      <c r="D2713" t="s">
        <v>1158</v>
      </c>
      <c r="E2713" t="s">
        <v>30</v>
      </c>
      <c r="F2713" t="s">
        <v>260</v>
      </c>
      <c r="G2713" t="s">
        <v>32</v>
      </c>
      <c r="H2713" t="s">
        <v>173</v>
      </c>
      <c r="I2713" s="1" t="s">
        <v>4141</v>
      </c>
      <c r="S2713" s="15">
        <v>1</v>
      </c>
      <c r="T2713" s="15">
        <v>1</v>
      </c>
    </row>
    <row r="2714" spans="1:23" ht="105" x14ac:dyDescent="0.25">
      <c r="A2714" t="s">
        <v>59</v>
      </c>
      <c r="B2714" t="s">
        <v>4101</v>
      </c>
      <c r="C2714" t="s">
        <v>263</v>
      </c>
      <c r="D2714" t="s">
        <v>1765</v>
      </c>
      <c r="E2714" t="s">
        <v>30</v>
      </c>
      <c r="F2714" t="s">
        <v>119</v>
      </c>
      <c r="G2714" t="s">
        <v>69</v>
      </c>
      <c r="H2714" t="s">
        <v>33</v>
      </c>
      <c r="I2714" s="1" t="s">
        <v>4142</v>
      </c>
      <c r="T2714" s="15">
        <v>1</v>
      </c>
    </row>
    <row r="2715" spans="1:23" ht="45" x14ac:dyDescent="0.25">
      <c r="A2715" t="s">
        <v>37</v>
      </c>
      <c r="B2715" t="s">
        <v>4101</v>
      </c>
      <c r="C2715" t="s">
        <v>92</v>
      </c>
      <c r="D2715" t="s">
        <v>692</v>
      </c>
      <c r="E2715" t="s">
        <v>30</v>
      </c>
      <c r="F2715" t="s">
        <v>290</v>
      </c>
      <c r="G2715" t="s">
        <v>32</v>
      </c>
      <c r="H2715" t="s">
        <v>33</v>
      </c>
      <c r="I2715" s="1" t="s">
        <v>4143</v>
      </c>
      <c r="S2715" s="15">
        <v>1</v>
      </c>
    </row>
    <row r="2716" spans="1:23" ht="30" x14ac:dyDescent="0.25">
      <c r="A2716" t="s">
        <v>37</v>
      </c>
      <c r="B2716" t="s">
        <v>4101</v>
      </c>
      <c r="C2716" t="s">
        <v>235</v>
      </c>
      <c r="D2716" t="s">
        <v>4144</v>
      </c>
      <c r="E2716" t="s">
        <v>30</v>
      </c>
      <c r="F2716" t="s">
        <v>154</v>
      </c>
      <c r="G2716" t="s">
        <v>32</v>
      </c>
      <c r="H2716" t="s">
        <v>33</v>
      </c>
      <c r="I2716" s="1" t="s">
        <v>4145</v>
      </c>
      <c r="O2716" s="15">
        <v>1</v>
      </c>
      <c r="W2716" s="15">
        <v>1</v>
      </c>
    </row>
    <row r="2717" spans="1:23" ht="135" x14ac:dyDescent="0.25">
      <c r="A2717" t="s">
        <v>26</v>
      </c>
      <c r="B2717" t="s">
        <v>4146</v>
      </c>
      <c r="C2717" t="s">
        <v>73</v>
      </c>
      <c r="D2717" t="s">
        <v>678</v>
      </c>
      <c r="E2717" t="s">
        <v>30</v>
      </c>
      <c r="F2717" t="s">
        <v>154</v>
      </c>
      <c r="G2717" t="s">
        <v>32</v>
      </c>
      <c r="H2717" t="s">
        <v>87</v>
      </c>
      <c r="I2717" s="1" t="s">
        <v>4147</v>
      </c>
      <c r="Q2717" s="15">
        <v>1</v>
      </c>
      <c r="W2717" s="15">
        <v>1</v>
      </c>
    </row>
    <row r="2718" spans="1:23" x14ac:dyDescent="0.25">
      <c r="A2718" t="s">
        <v>26</v>
      </c>
      <c r="B2718" t="s">
        <v>4146</v>
      </c>
      <c r="C2718" t="s">
        <v>73</v>
      </c>
      <c r="D2718" t="s">
        <v>253</v>
      </c>
      <c r="E2718" t="s">
        <v>30</v>
      </c>
      <c r="F2718" t="s">
        <v>189</v>
      </c>
      <c r="G2718" t="s">
        <v>69</v>
      </c>
      <c r="H2718" t="s">
        <v>173</v>
      </c>
      <c r="I2718" s="1" t="s">
        <v>4148</v>
      </c>
      <c r="Q2718" s="15">
        <v>1</v>
      </c>
    </row>
    <row r="2719" spans="1:23" ht="105" x14ac:dyDescent="0.25">
      <c r="A2719" t="s">
        <v>26</v>
      </c>
      <c r="B2719" t="s">
        <v>4146</v>
      </c>
      <c r="C2719" t="s">
        <v>240</v>
      </c>
      <c r="D2719" t="s">
        <v>2711</v>
      </c>
      <c r="E2719" t="s">
        <v>79</v>
      </c>
      <c r="F2719" t="s">
        <v>40</v>
      </c>
      <c r="G2719" t="s">
        <v>32</v>
      </c>
      <c r="H2719" t="s">
        <v>33</v>
      </c>
      <c r="I2719" s="1" t="s">
        <v>4149</v>
      </c>
      <c r="S2719" s="15">
        <v>1</v>
      </c>
    </row>
    <row r="2720" spans="1:23" ht="30" x14ac:dyDescent="0.25">
      <c r="A2720" t="s">
        <v>26</v>
      </c>
      <c r="B2720" t="s">
        <v>4146</v>
      </c>
      <c r="C2720" t="s">
        <v>240</v>
      </c>
      <c r="D2720" t="s">
        <v>1119</v>
      </c>
      <c r="E2720" t="s">
        <v>30</v>
      </c>
      <c r="F2720" t="s">
        <v>61</v>
      </c>
      <c r="G2720" t="s">
        <v>32</v>
      </c>
      <c r="H2720" t="s">
        <v>33</v>
      </c>
      <c r="I2720" s="1" t="s">
        <v>4150</v>
      </c>
      <c r="S2720" s="15">
        <v>1</v>
      </c>
    </row>
    <row r="2721" spans="1:25" x14ac:dyDescent="0.25">
      <c r="A2721" t="s">
        <v>26</v>
      </c>
      <c r="B2721" t="s">
        <v>4146</v>
      </c>
      <c r="C2721" t="s">
        <v>92</v>
      </c>
      <c r="D2721" t="s">
        <v>4151</v>
      </c>
      <c r="E2721" t="s">
        <v>30</v>
      </c>
      <c r="F2721" t="s">
        <v>140</v>
      </c>
      <c r="G2721" t="s">
        <v>32</v>
      </c>
      <c r="H2721" t="s">
        <v>33</v>
      </c>
      <c r="I2721" s="1" t="s">
        <v>4152</v>
      </c>
      <c r="W2721" s="15">
        <v>1</v>
      </c>
    </row>
    <row r="2722" spans="1:25" ht="45" x14ac:dyDescent="0.25">
      <c r="A2722" t="s">
        <v>26</v>
      </c>
      <c r="B2722" t="s">
        <v>4146</v>
      </c>
      <c r="C2722" t="s">
        <v>92</v>
      </c>
      <c r="D2722" t="s">
        <v>111</v>
      </c>
      <c r="E2722" t="s">
        <v>30</v>
      </c>
      <c r="F2722" t="s">
        <v>119</v>
      </c>
      <c r="G2722" t="s">
        <v>69</v>
      </c>
      <c r="H2722" t="s">
        <v>87</v>
      </c>
      <c r="I2722" s="1" t="s">
        <v>4153</v>
      </c>
      <c r="N2722" s="15">
        <v>1</v>
      </c>
    </row>
    <row r="2723" spans="1:25" ht="60" x14ac:dyDescent="0.25">
      <c r="A2723" t="s">
        <v>26</v>
      </c>
      <c r="B2723" t="s">
        <v>4146</v>
      </c>
      <c r="C2723" t="s">
        <v>240</v>
      </c>
      <c r="D2723" t="s">
        <v>4154</v>
      </c>
      <c r="E2723" t="s">
        <v>30</v>
      </c>
      <c r="F2723" t="s">
        <v>52</v>
      </c>
      <c r="G2723" t="s">
        <v>32</v>
      </c>
      <c r="H2723" t="s">
        <v>87</v>
      </c>
      <c r="I2723" s="1" t="s">
        <v>4155</v>
      </c>
      <c r="Q2723" s="15">
        <v>1</v>
      </c>
      <c r="V2723" s="15">
        <v>1</v>
      </c>
    </row>
    <row r="2724" spans="1:25" x14ac:dyDescent="0.25">
      <c r="A2724" t="s">
        <v>26</v>
      </c>
      <c r="B2724" t="s">
        <v>4146</v>
      </c>
      <c r="C2724" t="s">
        <v>106</v>
      </c>
      <c r="D2724" t="s">
        <v>1121</v>
      </c>
      <c r="E2724" t="s">
        <v>30</v>
      </c>
      <c r="F2724" t="s">
        <v>40</v>
      </c>
      <c r="G2724" t="s">
        <v>32</v>
      </c>
      <c r="H2724" t="s">
        <v>87</v>
      </c>
      <c r="I2724" s="1" t="s">
        <v>4156</v>
      </c>
      <c r="Q2724" s="15">
        <v>1</v>
      </c>
    </row>
    <row r="2725" spans="1:25" ht="60" x14ac:dyDescent="0.25">
      <c r="A2725" t="s">
        <v>26</v>
      </c>
      <c r="B2725" t="s">
        <v>4146</v>
      </c>
      <c r="C2725" t="s">
        <v>106</v>
      </c>
      <c r="D2725" t="s">
        <v>539</v>
      </c>
      <c r="E2725" t="s">
        <v>30</v>
      </c>
      <c r="F2725" t="s">
        <v>182</v>
      </c>
      <c r="G2725" t="s">
        <v>69</v>
      </c>
      <c r="H2725" t="s">
        <v>173</v>
      </c>
      <c r="I2725" s="1" t="s">
        <v>4157</v>
      </c>
      <c r="T2725" s="15">
        <v>1</v>
      </c>
    </row>
    <row r="2726" spans="1:25" ht="105" x14ac:dyDescent="0.25">
      <c r="A2726" t="s">
        <v>26</v>
      </c>
      <c r="B2726" t="s">
        <v>4146</v>
      </c>
      <c r="C2726" t="s">
        <v>50</v>
      </c>
      <c r="D2726" t="s">
        <v>3943</v>
      </c>
      <c r="E2726" t="s">
        <v>30</v>
      </c>
      <c r="F2726" t="s">
        <v>196</v>
      </c>
      <c r="G2726" t="s">
        <v>32</v>
      </c>
      <c r="H2726" t="s">
        <v>33</v>
      </c>
      <c r="I2726" s="1" t="s">
        <v>4158</v>
      </c>
      <c r="S2726" s="15">
        <v>1</v>
      </c>
      <c r="W2726" s="15">
        <v>1</v>
      </c>
    </row>
    <row r="2727" spans="1:25" ht="105" x14ac:dyDescent="0.25">
      <c r="A2727" t="s">
        <v>26</v>
      </c>
      <c r="B2727" t="s">
        <v>4146</v>
      </c>
      <c r="C2727" t="s">
        <v>50</v>
      </c>
      <c r="D2727" t="s">
        <v>362</v>
      </c>
      <c r="E2727" t="s">
        <v>30</v>
      </c>
      <c r="F2727" t="s">
        <v>1014</v>
      </c>
      <c r="G2727" t="s">
        <v>32</v>
      </c>
      <c r="H2727" t="s">
        <v>173</v>
      </c>
      <c r="I2727" s="1" t="s">
        <v>4159</v>
      </c>
      <c r="R2727" s="15">
        <v>1</v>
      </c>
      <c r="W2727" s="15">
        <v>1</v>
      </c>
      <c r="Y2727">
        <v>1</v>
      </c>
    </row>
    <row r="2728" spans="1:25" ht="90" x14ac:dyDescent="0.25">
      <c r="A2728" t="s">
        <v>26</v>
      </c>
      <c r="B2728" t="s">
        <v>4146</v>
      </c>
      <c r="C2728" t="s">
        <v>38</v>
      </c>
      <c r="D2728" t="s">
        <v>927</v>
      </c>
      <c r="E2728" t="s">
        <v>79</v>
      </c>
      <c r="F2728" t="s">
        <v>46</v>
      </c>
      <c r="G2728" t="s">
        <v>69</v>
      </c>
      <c r="H2728" t="s">
        <v>173</v>
      </c>
      <c r="I2728" s="1" t="s">
        <v>4160</v>
      </c>
      <c r="R2728" s="15">
        <v>1</v>
      </c>
      <c r="T2728" s="15">
        <v>1</v>
      </c>
    </row>
    <row r="2729" spans="1:25" x14ac:dyDescent="0.25">
      <c r="A2729" t="s">
        <v>26</v>
      </c>
      <c r="B2729" t="s">
        <v>4146</v>
      </c>
      <c r="C2729" t="s">
        <v>38</v>
      </c>
      <c r="D2729" t="s">
        <v>466</v>
      </c>
      <c r="E2729" t="s">
        <v>30</v>
      </c>
      <c r="F2729" t="s">
        <v>189</v>
      </c>
      <c r="G2729" t="s">
        <v>69</v>
      </c>
      <c r="H2729" t="s">
        <v>33</v>
      </c>
      <c r="I2729" s="1" t="s">
        <v>4161</v>
      </c>
      <c r="W2729" s="15">
        <v>1</v>
      </c>
    </row>
    <row r="2730" spans="1:25" ht="105" x14ac:dyDescent="0.25">
      <c r="A2730" t="s">
        <v>26</v>
      </c>
      <c r="B2730" t="s">
        <v>4146</v>
      </c>
      <c r="C2730" t="s">
        <v>32</v>
      </c>
      <c r="D2730" t="s">
        <v>1445</v>
      </c>
      <c r="E2730" t="s">
        <v>30</v>
      </c>
      <c r="F2730" t="s">
        <v>446</v>
      </c>
      <c r="G2730" t="s">
        <v>32</v>
      </c>
      <c r="H2730" t="s">
        <v>33</v>
      </c>
      <c r="I2730" s="1" t="s">
        <v>4162</v>
      </c>
      <c r="S2730" s="15">
        <v>1</v>
      </c>
    </row>
    <row r="2731" spans="1:25" ht="105" x14ac:dyDescent="0.25">
      <c r="A2731" t="s">
        <v>49</v>
      </c>
      <c r="B2731" t="s">
        <v>4146</v>
      </c>
      <c r="C2731" t="s">
        <v>240</v>
      </c>
      <c r="D2731" t="s">
        <v>504</v>
      </c>
      <c r="E2731" t="s">
        <v>30</v>
      </c>
      <c r="F2731" t="s">
        <v>52</v>
      </c>
      <c r="G2731" t="s">
        <v>69</v>
      </c>
      <c r="H2731" t="s">
        <v>173</v>
      </c>
      <c r="I2731" s="1" t="s">
        <v>4163</v>
      </c>
      <c r="W2731" s="15">
        <v>1</v>
      </c>
    </row>
    <row r="2732" spans="1:25" ht="60" x14ac:dyDescent="0.25">
      <c r="A2732" t="s">
        <v>26</v>
      </c>
      <c r="B2732" t="s">
        <v>4146</v>
      </c>
      <c r="C2732" t="s">
        <v>235</v>
      </c>
      <c r="D2732" t="s">
        <v>1326</v>
      </c>
      <c r="E2732" t="s">
        <v>30</v>
      </c>
      <c r="F2732" t="s">
        <v>61</v>
      </c>
      <c r="G2732" t="s">
        <v>32</v>
      </c>
      <c r="H2732" t="s">
        <v>33</v>
      </c>
      <c r="I2732" s="1" t="s">
        <v>4164</v>
      </c>
      <c r="S2732" s="15">
        <v>1</v>
      </c>
    </row>
    <row r="2733" spans="1:25" ht="105" x14ac:dyDescent="0.25">
      <c r="A2733" t="s">
        <v>26</v>
      </c>
      <c r="B2733" t="s">
        <v>4146</v>
      </c>
      <c r="C2733" t="s">
        <v>235</v>
      </c>
      <c r="D2733" t="s">
        <v>4165</v>
      </c>
      <c r="E2733" t="s">
        <v>79</v>
      </c>
      <c r="F2733" t="s">
        <v>98</v>
      </c>
      <c r="G2733" t="s">
        <v>81</v>
      </c>
      <c r="H2733" t="s">
        <v>87</v>
      </c>
      <c r="I2733" s="1" t="s">
        <v>4166</v>
      </c>
      <c r="T2733" s="15">
        <v>1</v>
      </c>
    </row>
    <row r="2734" spans="1:25" ht="105" x14ac:dyDescent="0.25">
      <c r="A2734" t="s">
        <v>26</v>
      </c>
      <c r="B2734" t="s">
        <v>4146</v>
      </c>
      <c r="C2734" t="s">
        <v>28</v>
      </c>
      <c r="D2734" t="s">
        <v>1094</v>
      </c>
      <c r="E2734" t="s">
        <v>30</v>
      </c>
      <c r="F2734" t="s">
        <v>102</v>
      </c>
      <c r="G2734" t="s">
        <v>69</v>
      </c>
      <c r="H2734" t="s">
        <v>87</v>
      </c>
      <c r="I2734" s="1" t="s">
        <v>4167</v>
      </c>
      <c r="S2734" s="15">
        <v>1</v>
      </c>
      <c r="T2734" s="15">
        <v>1</v>
      </c>
    </row>
    <row r="2735" spans="1:25" ht="60" x14ac:dyDescent="0.25">
      <c r="A2735" t="s">
        <v>37</v>
      </c>
      <c r="B2735" t="s">
        <v>4146</v>
      </c>
      <c r="C2735" t="s">
        <v>249</v>
      </c>
      <c r="D2735" t="s">
        <v>1046</v>
      </c>
      <c r="E2735" t="s">
        <v>30</v>
      </c>
      <c r="F2735" t="s">
        <v>112</v>
      </c>
      <c r="G2735" t="s">
        <v>32</v>
      </c>
      <c r="H2735" t="s">
        <v>33</v>
      </c>
      <c r="I2735" s="1" t="s">
        <v>4168</v>
      </c>
      <c r="Q2735" s="15">
        <v>1</v>
      </c>
      <c r="S2735" s="15">
        <v>1</v>
      </c>
    </row>
    <row r="2736" spans="1:25" ht="45" x14ac:dyDescent="0.25">
      <c r="A2736" t="s">
        <v>26</v>
      </c>
      <c r="B2736" t="s">
        <v>4146</v>
      </c>
      <c r="C2736" t="s">
        <v>44</v>
      </c>
      <c r="D2736" t="s">
        <v>514</v>
      </c>
      <c r="E2736" t="s">
        <v>79</v>
      </c>
      <c r="F2736" t="s">
        <v>161</v>
      </c>
      <c r="G2736" t="s">
        <v>263</v>
      </c>
      <c r="H2736" t="s">
        <v>173</v>
      </c>
      <c r="I2736" s="1" t="s">
        <v>4169</v>
      </c>
      <c r="Q2736" s="15">
        <v>1</v>
      </c>
      <c r="W2736" s="15">
        <v>1</v>
      </c>
    </row>
    <row r="2737" spans="1:25" ht="90" x14ac:dyDescent="0.25">
      <c r="A2737" t="s">
        <v>26</v>
      </c>
      <c r="B2737" t="s">
        <v>4146</v>
      </c>
      <c r="C2737" t="s">
        <v>235</v>
      </c>
      <c r="D2737" t="s">
        <v>270</v>
      </c>
      <c r="E2737" t="s">
        <v>79</v>
      </c>
      <c r="F2737" t="s">
        <v>280</v>
      </c>
      <c r="G2737" t="s">
        <v>32</v>
      </c>
      <c r="H2737" t="s">
        <v>87</v>
      </c>
      <c r="I2737" s="1" t="s">
        <v>4170</v>
      </c>
      <c r="P2737" s="15">
        <v>1</v>
      </c>
    </row>
    <row r="2738" spans="1:25" ht="30" x14ac:dyDescent="0.25">
      <c r="A2738" t="s">
        <v>49</v>
      </c>
      <c r="B2738" t="s">
        <v>4146</v>
      </c>
      <c r="C2738" t="s">
        <v>50</v>
      </c>
      <c r="D2738" t="s">
        <v>322</v>
      </c>
      <c r="E2738" t="s">
        <v>30</v>
      </c>
      <c r="F2738" t="s">
        <v>61</v>
      </c>
      <c r="G2738" t="s">
        <v>32</v>
      </c>
      <c r="H2738" t="s">
        <v>33</v>
      </c>
      <c r="I2738" s="1" t="s">
        <v>4171</v>
      </c>
      <c r="S2738" s="15">
        <v>1</v>
      </c>
    </row>
    <row r="2739" spans="1:25" ht="45" x14ac:dyDescent="0.25">
      <c r="A2739" t="s">
        <v>37</v>
      </c>
      <c r="B2739" t="s">
        <v>4146</v>
      </c>
      <c r="C2739" t="s">
        <v>106</v>
      </c>
      <c r="D2739" t="s">
        <v>4172</v>
      </c>
      <c r="E2739" t="s">
        <v>79</v>
      </c>
      <c r="F2739" t="s">
        <v>658</v>
      </c>
      <c r="G2739" t="s">
        <v>32</v>
      </c>
      <c r="H2739" t="s">
        <v>33</v>
      </c>
      <c r="I2739" s="1" t="s">
        <v>4173</v>
      </c>
      <c r="S2739" s="15">
        <v>1</v>
      </c>
    </row>
    <row r="2740" spans="1:25" ht="45" x14ac:dyDescent="0.25">
      <c r="A2740" t="s">
        <v>26</v>
      </c>
      <c r="B2740" t="s">
        <v>4146</v>
      </c>
      <c r="C2740" t="s">
        <v>85</v>
      </c>
      <c r="D2740" t="s">
        <v>405</v>
      </c>
      <c r="E2740" t="s">
        <v>30</v>
      </c>
      <c r="F2740" t="s">
        <v>1103</v>
      </c>
      <c r="G2740" t="s">
        <v>32</v>
      </c>
      <c r="H2740" t="s">
        <v>33</v>
      </c>
      <c r="I2740" s="1" t="s">
        <v>4174</v>
      </c>
      <c r="R2740" s="15">
        <v>1</v>
      </c>
    </row>
    <row r="2741" spans="1:25" ht="60" x14ac:dyDescent="0.25">
      <c r="A2741" t="s">
        <v>26</v>
      </c>
      <c r="B2741" t="s">
        <v>4146</v>
      </c>
      <c r="C2741" t="s">
        <v>44</v>
      </c>
      <c r="D2741" t="s">
        <v>514</v>
      </c>
      <c r="E2741" t="s">
        <v>30</v>
      </c>
      <c r="F2741" t="s">
        <v>94</v>
      </c>
      <c r="G2741" t="s">
        <v>69</v>
      </c>
      <c r="H2741" t="s">
        <v>87</v>
      </c>
      <c r="I2741" s="1" t="s">
        <v>4175</v>
      </c>
      <c r="N2741" s="15">
        <v>1</v>
      </c>
      <c r="R2741" s="15">
        <v>1</v>
      </c>
      <c r="S2741" s="15">
        <v>1</v>
      </c>
    </row>
    <row r="2742" spans="1:25" ht="105" x14ac:dyDescent="0.25">
      <c r="A2742" t="s">
        <v>91</v>
      </c>
      <c r="B2742" t="s">
        <v>4146</v>
      </c>
      <c r="C2742" t="s">
        <v>28</v>
      </c>
      <c r="D2742" t="s">
        <v>571</v>
      </c>
      <c r="E2742" t="s">
        <v>30</v>
      </c>
      <c r="F2742" t="s">
        <v>287</v>
      </c>
      <c r="G2742" t="s">
        <v>32</v>
      </c>
      <c r="H2742" t="s">
        <v>33</v>
      </c>
      <c r="I2742" s="1" t="s">
        <v>4176</v>
      </c>
      <c r="S2742" s="15">
        <v>1</v>
      </c>
      <c r="W2742" s="15">
        <v>1</v>
      </c>
    </row>
    <row r="2743" spans="1:25" ht="75" x14ac:dyDescent="0.25">
      <c r="A2743" t="s">
        <v>37</v>
      </c>
      <c r="B2743" t="s">
        <v>4146</v>
      </c>
      <c r="C2743" t="s">
        <v>106</v>
      </c>
      <c r="D2743" t="s">
        <v>779</v>
      </c>
      <c r="E2743" t="s">
        <v>79</v>
      </c>
      <c r="F2743" t="s">
        <v>202</v>
      </c>
      <c r="G2743" t="s">
        <v>32</v>
      </c>
      <c r="H2743" t="s">
        <v>33</v>
      </c>
      <c r="I2743" s="1" t="s">
        <v>4177</v>
      </c>
      <c r="S2743" s="15">
        <v>1</v>
      </c>
    </row>
    <row r="2744" spans="1:25" ht="105" x14ac:dyDescent="0.25">
      <c r="A2744" t="s">
        <v>26</v>
      </c>
      <c r="B2744" t="s">
        <v>4146</v>
      </c>
      <c r="C2744" t="s">
        <v>85</v>
      </c>
      <c r="D2744" t="s">
        <v>4178</v>
      </c>
      <c r="E2744" t="s">
        <v>30</v>
      </c>
      <c r="F2744" t="s">
        <v>161</v>
      </c>
      <c r="G2744" t="s">
        <v>32</v>
      </c>
      <c r="H2744" t="s">
        <v>173</v>
      </c>
      <c r="I2744" s="1" t="s">
        <v>4179</v>
      </c>
      <c r="Q2744" s="15">
        <v>1</v>
      </c>
      <c r="S2744" s="15">
        <v>1</v>
      </c>
    </row>
    <row r="2745" spans="1:25" ht="120" x14ac:dyDescent="0.25">
      <c r="A2745" t="s">
        <v>26</v>
      </c>
      <c r="B2745" t="s">
        <v>4146</v>
      </c>
      <c r="C2745" t="s">
        <v>44</v>
      </c>
      <c r="D2745" t="s">
        <v>721</v>
      </c>
      <c r="E2745" t="s">
        <v>30</v>
      </c>
      <c r="F2745" t="s">
        <v>166</v>
      </c>
      <c r="G2745" t="s">
        <v>32</v>
      </c>
      <c r="H2745" t="s">
        <v>173</v>
      </c>
      <c r="I2745" s="1" t="s">
        <v>4180</v>
      </c>
      <c r="M2745" s="15">
        <v>1</v>
      </c>
      <c r="N2745" s="15">
        <v>1</v>
      </c>
    </row>
    <row r="2746" spans="1:25" ht="30" x14ac:dyDescent="0.25">
      <c r="A2746" t="s">
        <v>37</v>
      </c>
      <c r="B2746" t="s">
        <v>4146</v>
      </c>
      <c r="C2746" t="s">
        <v>96</v>
      </c>
      <c r="D2746" t="s">
        <v>176</v>
      </c>
      <c r="E2746" t="s">
        <v>30</v>
      </c>
      <c r="F2746" t="s">
        <v>136</v>
      </c>
      <c r="G2746" t="s">
        <v>32</v>
      </c>
      <c r="H2746" t="s">
        <v>87</v>
      </c>
      <c r="I2746" s="1" t="s">
        <v>4181</v>
      </c>
      <c r="P2746" s="15">
        <v>1</v>
      </c>
    </row>
    <row r="2747" spans="1:25" ht="30" x14ac:dyDescent="0.25">
      <c r="A2747" t="s">
        <v>37</v>
      </c>
      <c r="B2747" t="s">
        <v>4146</v>
      </c>
      <c r="C2747" t="s">
        <v>32</v>
      </c>
      <c r="D2747" t="s">
        <v>3537</v>
      </c>
      <c r="E2747" t="s">
        <v>30</v>
      </c>
      <c r="F2747" t="s">
        <v>130</v>
      </c>
      <c r="G2747" t="s">
        <v>32</v>
      </c>
      <c r="H2747" t="s">
        <v>33</v>
      </c>
      <c r="I2747" s="1" t="s">
        <v>4182</v>
      </c>
      <c r="S2747" s="15">
        <v>1</v>
      </c>
    </row>
    <row r="2748" spans="1:25" ht="105" x14ac:dyDescent="0.25">
      <c r="A2748" t="s">
        <v>49</v>
      </c>
      <c r="B2748" t="s">
        <v>4146</v>
      </c>
      <c r="C2748" t="s">
        <v>249</v>
      </c>
      <c r="D2748" t="s">
        <v>1700</v>
      </c>
      <c r="E2748" t="s">
        <v>30</v>
      </c>
      <c r="F2748" t="s">
        <v>108</v>
      </c>
      <c r="G2748" t="s">
        <v>81</v>
      </c>
      <c r="H2748" t="s">
        <v>173</v>
      </c>
      <c r="I2748" s="1" t="s">
        <v>4183</v>
      </c>
      <c r="T2748" s="15">
        <v>1</v>
      </c>
    </row>
    <row r="2749" spans="1:25" ht="105" x14ac:dyDescent="0.25">
      <c r="A2749" t="s">
        <v>26</v>
      </c>
      <c r="B2749" t="s">
        <v>4146</v>
      </c>
      <c r="C2749" t="s">
        <v>55</v>
      </c>
      <c r="D2749" t="s">
        <v>1053</v>
      </c>
      <c r="E2749" t="s">
        <v>30</v>
      </c>
      <c r="F2749" t="s">
        <v>102</v>
      </c>
      <c r="G2749" t="s">
        <v>69</v>
      </c>
      <c r="H2749" t="s">
        <v>87</v>
      </c>
      <c r="I2749" s="1" t="s">
        <v>4184</v>
      </c>
      <c r="T2749" s="15">
        <v>1</v>
      </c>
    </row>
    <row r="2750" spans="1:25" ht="45" x14ac:dyDescent="0.25">
      <c r="A2750" t="s">
        <v>49</v>
      </c>
      <c r="B2750" t="s">
        <v>4146</v>
      </c>
      <c r="C2750" t="s">
        <v>235</v>
      </c>
      <c r="D2750" t="s">
        <v>270</v>
      </c>
      <c r="E2750" t="s">
        <v>30</v>
      </c>
      <c r="F2750" t="s">
        <v>307</v>
      </c>
      <c r="G2750" t="s">
        <v>69</v>
      </c>
      <c r="H2750" t="s">
        <v>33</v>
      </c>
      <c r="I2750" s="1" t="s">
        <v>4185</v>
      </c>
      <c r="Y2750">
        <v>1</v>
      </c>
    </row>
    <row r="2751" spans="1:25" ht="45" x14ac:dyDescent="0.25">
      <c r="A2751" t="s">
        <v>64</v>
      </c>
      <c r="B2751" t="s">
        <v>4146</v>
      </c>
      <c r="C2751" t="s">
        <v>69</v>
      </c>
      <c r="D2751" t="s">
        <v>3250</v>
      </c>
      <c r="E2751" t="s">
        <v>30</v>
      </c>
      <c r="F2751" t="s">
        <v>154</v>
      </c>
      <c r="G2751" t="s">
        <v>32</v>
      </c>
      <c r="H2751" t="s">
        <v>33</v>
      </c>
      <c r="I2751" s="1" t="s">
        <v>4186</v>
      </c>
      <c r="S2751" s="15">
        <v>1</v>
      </c>
    </row>
    <row r="2752" spans="1:25" x14ac:dyDescent="0.25">
      <c r="A2752" t="s">
        <v>49</v>
      </c>
      <c r="B2752" t="s">
        <v>4146</v>
      </c>
      <c r="C2752" t="s">
        <v>50</v>
      </c>
      <c r="D2752" t="s">
        <v>2087</v>
      </c>
      <c r="E2752" t="s">
        <v>30</v>
      </c>
      <c r="F2752" t="s">
        <v>154</v>
      </c>
      <c r="G2752" t="s">
        <v>69</v>
      </c>
      <c r="H2752" t="s">
        <v>87</v>
      </c>
      <c r="I2752" s="1" t="s">
        <v>4187</v>
      </c>
      <c r="R2752" s="15">
        <v>1</v>
      </c>
    </row>
    <row r="2753" spans="1:25" ht="60" x14ac:dyDescent="0.25">
      <c r="A2753" t="s">
        <v>49</v>
      </c>
      <c r="B2753" t="s">
        <v>4146</v>
      </c>
      <c r="C2753" t="s">
        <v>50</v>
      </c>
      <c r="D2753" t="s">
        <v>810</v>
      </c>
      <c r="E2753" t="s">
        <v>30</v>
      </c>
      <c r="F2753" t="s">
        <v>61</v>
      </c>
      <c r="G2753" t="s">
        <v>32</v>
      </c>
      <c r="H2753" t="s">
        <v>33</v>
      </c>
      <c r="I2753" s="1" t="s">
        <v>4188</v>
      </c>
      <c r="S2753" s="15">
        <v>1</v>
      </c>
    </row>
    <row r="2754" spans="1:25" ht="90" x14ac:dyDescent="0.25">
      <c r="A2754" t="s">
        <v>91</v>
      </c>
      <c r="B2754" t="s">
        <v>4146</v>
      </c>
      <c r="C2754" t="s">
        <v>106</v>
      </c>
      <c r="D2754" t="s">
        <v>3146</v>
      </c>
      <c r="E2754" t="s">
        <v>30</v>
      </c>
      <c r="F2754" t="s">
        <v>446</v>
      </c>
      <c r="G2754" t="s">
        <v>69</v>
      </c>
      <c r="H2754" t="s">
        <v>173</v>
      </c>
      <c r="I2754" s="1" t="s">
        <v>4189</v>
      </c>
      <c r="Y2754">
        <v>1</v>
      </c>
    </row>
    <row r="2755" spans="1:25" ht="60" x14ac:dyDescent="0.25">
      <c r="A2755" t="s">
        <v>64</v>
      </c>
      <c r="B2755" t="s">
        <v>4146</v>
      </c>
      <c r="C2755" t="s">
        <v>85</v>
      </c>
      <c r="D2755" t="s">
        <v>1450</v>
      </c>
      <c r="E2755" t="s">
        <v>30</v>
      </c>
      <c r="F2755" t="s">
        <v>246</v>
      </c>
      <c r="G2755" t="s">
        <v>32</v>
      </c>
      <c r="H2755" t="s">
        <v>33</v>
      </c>
      <c r="I2755" s="1" t="s">
        <v>4190</v>
      </c>
      <c r="S2755" s="15">
        <v>1</v>
      </c>
      <c r="X2755" s="15">
        <v>1</v>
      </c>
    </row>
    <row r="2756" spans="1:25" ht="105" x14ac:dyDescent="0.25">
      <c r="A2756" t="s">
        <v>91</v>
      </c>
      <c r="B2756" t="s">
        <v>4146</v>
      </c>
      <c r="C2756" t="s">
        <v>235</v>
      </c>
      <c r="D2756" t="s">
        <v>537</v>
      </c>
      <c r="E2756" t="s">
        <v>30</v>
      </c>
      <c r="F2756" t="s">
        <v>492</v>
      </c>
      <c r="G2756" t="s">
        <v>69</v>
      </c>
      <c r="H2756" t="s">
        <v>87</v>
      </c>
      <c r="I2756" s="1" t="s">
        <v>4191</v>
      </c>
      <c r="T2756" s="15">
        <v>1</v>
      </c>
      <c r="W2756" s="15" t="s">
        <v>4192</v>
      </c>
    </row>
    <row r="2757" spans="1:25" ht="45" x14ac:dyDescent="0.25">
      <c r="A2757" t="s">
        <v>49</v>
      </c>
      <c r="B2757" t="s">
        <v>4146</v>
      </c>
      <c r="C2757" t="s">
        <v>85</v>
      </c>
      <c r="D2757" t="s">
        <v>2308</v>
      </c>
      <c r="E2757" t="s">
        <v>30</v>
      </c>
      <c r="F2757" t="s">
        <v>108</v>
      </c>
      <c r="G2757" t="s">
        <v>32</v>
      </c>
      <c r="H2757" t="s">
        <v>87</v>
      </c>
      <c r="I2757" s="1" t="s">
        <v>4193</v>
      </c>
      <c r="Y2757">
        <v>1</v>
      </c>
    </row>
    <row r="2758" spans="1:25" ht="30" x14ac:dyDescent="0.25">
      <c r="A2758" t="s">
        <v>91</v>
      </c>
      <c r="B2758" t="s">
        <v>4146</v>
      </c>
      <c r="C2758" t="s">
        <v>28</v>
      </c>
      <c r="D2758" t="s">
        <v>1340</v>
      </c>
      <c r="E2758" t="s">
        <v>30</v>
      </c>
      <c r="F2758" t="s">
        <v>40</v>
      </c>
      <c r="G2758" t="s">
        <v>32</v>
      </c>
      <c r="H2758" t="s">
        <v>87</v>
      </c>
      <c r="I2758" s="1" t="s">
        <v>4194</v>
      </c>
      <c r="W2758" s="15">
        <v>1</v>
      </c>
      <c r="Y2758">
        <v>1</v>
      </c>
    </row>
    <row r="2759" spans="1:25" ht="60" x14ac:dyDescent="0.25">
      <c r="A2759" t="s">
        <v>91</v>
      </c>
      <c r="B2759" t="s">
        <v>4146</v>
      </c>
      <c r="C2759" t="s">
        <v>92</v>
      </c>
      <c r="D2759" t="s">
        <v>93</v>
      </c>
      <c r="E2759" t="s">
        <v>30</v>
      </c>
      <c r="F2759" t="s">
        <v>1078</v>
      </c>
      <c r="G2759" t="s">
        <v>32</v>
      </c>
      <c r="H2759" t="s">
        <v>173</v>
      </c>
      <c r="I2759" s="1" t="s">
        <v>4195</v>
      </c>
      <c r="W2759" s="15">
        <v>1</v>
      </c>
    </row>
    <row r="2760" spans="1:25" ht="45" x14ac:dyDescent="0.25">
      <c r="A2760" t="s">
        <v>37</v>
      </c>
      <c r="B2760" t="s">
        <v>4146</v>
      </c>
      <c r="C2760" t="s">
        <v>263</v>
      </c>
      <c r="D2760" t="s">
        <v>841</v>
      </c>
      <c r="E2760" t="s">
        <v>30</v>
      </c>
      <c r="F2760" t="s">
        <v>112</v>
      </c>
      <c r="G2760" t="s">
        <v>32</v>
      </c>
      <c r="H2760" t="s">
        <v>33</v>
      </c>
      <c r="I2760" s="1" t="s">
        <v>4196</v>
      </c>
      <c r="S2760" s="15">
        <v>1</v>
      </c>
    </row>
    <row r="2761" spans="1:25" ht="105" x14ac:dyDescent="0.25">
      <c r="A2761" t="s">
        <v>91</v>
      </c>
      <c r="B2761" t="s">
        <v>4146</v>
      </c>
      <c r="C2761" t="s">
        <v>96</v>
      </c>
      <c r="D2761" t="s">
        <v>1005</v>
      </c>
      <c r="E2761" t="s">
        <v>30</v>
      </c>
      <c r="F2761" t="s">
        <v>587</v>
      </c>
      <c r="G2761" t="s">
        <v>38</v>
      </c>
      <c r="H2761" t="s">
        <v>87</v>
      </c>
      <c r="I2761" s="1" t="s">
        <v>4197</v>
      </c>
      <c r="V2761" s="15">
        <v>1</v>
      </c>
      <c r="W2761" s="15">
        <v>1</v>
      </c>
    </row>
    <row r="2762" spans="1:25" ht="105" x14ac:dyDescent="0.25">
      <c r="A2762" t="s">
        <v>37</v>
      </c>
      <c r="B2762" t="s">
        <v>4146</v>
      </c>
      <c r="C2762" t="s">
        <v>96</v>
      </c>
      <c r="D2762" t="s">
        <v>676</v>
      </c>
      <c r="E2762" t="s">
        <v>30</v>
      </c>
      <c r="F2762" t="s">
        <v>52</v>
      </c>
      <c r="G2762" t="s">
        <v>81</v>
      </c>
      <c r="H2762" t="s">
        <v>87</v>
      </c>
      <c r="I2762" s="1" t="s">
        <v>4198</v>
      </c>
      <c r="W2762" s="15">
        <v>1</v>
      </c>
    </row>
    <row r="2763" spans="1:25" ht="45" x14ac:dyDescent="0.25">
      <c r="A2763" t="s">
        <v>37</v>
      </c>
      <c r="B2763" t="s">
        <v>4146</v>
      </c>
      <c r="C2763" t="s">
        <v>38</v>
      </c>
      <c r="D2763" t="s">
        <v>143</v>
      </c>
      <c r="E2763" t="s">
        <v>30</v>
      </c>
      <c r="F2763" t="s">
        <v>189</v>
      </c>
      <c r="G2763" t="s">
        <v>32</v>
      </c>
      <c r="H2763" t="s">
        <v>173</v>
      </c>
      <c r="I2763" s="1" t="s">
        <v>4199</v>
      </c>
      <c r="P2763" s="15">
        <v>1</v>
      </c>
    </row>
    <row r="2764" spans="1:25" ht="60" x14ac:dyDescent="0.25">
      <c r="A2764" t="s">
        <v>64</v>
      </c>
      <c r="B2764" t="s">
        <v>4146</v>
      </c>
      <c r="C2764" t="s">
        <v>106</v>
      </c>
      <c r="D2764" t="s">
        <v>789</v>
      </c>
      <c r="E2764" t="s">
        <v>30</v>
      </c>
      <c r="F2764" t="s">
        <v>681</v>
      </c>
      <c r="G2764" t="s">
        <v>32</v>
      </c>
      <c r="H2764" t="s">
        <v>87</v>
      </c>
      <c r="I2764" s="1" t="s">
        <v>4200</v>
      </c>
      <c r="W2764" s="15">
        <v>1</v>
      </c>
    </row>
    <row r="2765" spans="1:25" ht="90" x14ac:dyDescent="0.25">
      <c r="A2765" t="s">
        <v>26</v>
      </c>
      <c r="B2765" t="s">
        <v>4201</v>
      </c>
      <c r="C2765" t="s">
        <v>249</v>
      </c>
      <c r="D2765" t="s">
        <v>827</v>
      </c>
      <c r="E2765" t="s">
        <v>30</v>
      </c>
      <c r="F2765" t="s">
        <v>166</v>
      </c>
      <c r="G2765" t="s">
        <v>32</v>
      </c>
      <c r="H2765" t="s">
        <v>87</v>
      </c>
      <c r="I2765" s="1" t="s">
        <v>4202</v>
      </c>
      <c r="P2765" s="15">
        <v>1</v>
      </c>
    </row>
    <row r="2766" spans="1:25" ht="30" x14ac:dyDescent="0.25">
      <c r="A2766" t="s">
        <v>26</v>
      </c>
      <c r="B2766" t="s">
        <v>4201</v>
      </c>
      <c r="C2766" t="s">
        <v>263</v>
      </c>
      <c r="D2766" t="s">
        <v>1135</v>
      </c>
      <c r="E2766" t="s">
        <v>30</v>
      </c>
      <c r="F2766" t="s">
        <v>246</v>
      </c>
      <c r="G2766" t="s">
        <v>69</v>
      </c>
      <c r="H2766" t="s">
        <v>173</v>
      </c>
      <c r="I2766" s="1" t="s">
        <v>4203</v>
      </c>
      <c r="Q2766" s="15">
        <v>1</v>
      </c>
    </row>
    <row r="2767" spans="1:25" ht="105" x14ac:dyDescent="0.25">
      <c r="A2767" t="s">
        <v>26</v>
      </c>
      <c r="B2767" t="s">
        <v>4201</v>
      </c>
      <c r="C2767" t="s">
        <v>240</v>
      </c>
      <c r="D2767" t="s">
        <v>703</v>
      </c>
      <c r="E2767" t="s">
        <v>79</v>
      </c>
      <c r="F2767" t="s">
        <v>492</v>
      </c>
      <c r="G2767" t="s">
        <v>81</v>
      </c>
      <c r="H2767" t="s">
        <v>87</v>
      </c>
      <c r="I2767" s="1" t="s">
        <v>4204</v>
      </c>
      <c r="T2767" s="15">
        <v>1</v>
      </c>
    </row>
    <row r="2768" spans="1:25" ht="90" x14ac:dyDescent="0.25">
      <c r="A2768" t="s">
        <v>59</v>
      </c>
      <c r="B2768" t="s">
        <v>4201</v>
      </c>
      <c r="C2768" t="s">
        <v>69</v>
      </c>
      <c r="D2768" t="s">
        <v>507</v>
      </c>
      <c r="E2768" t="s">
        <v>79</v>
      </c>
      <c r="F2768" t="s">
        <v>119</v>
      </c>
      <c r="G2768" t="s">
        <v>38</v>
      </c>
      <c r="H2768" t="s">
        <v>87</v>
      </c>
      <c r="I2768" s="1" t="s">
        <v>4205</v>
      </c>
      <c r="N2768" s="15">
        <v>1</v>
      </c>
      <c r="W2768" s="15">
        <v>1</v>
      </c>
      <c r="Y2768">
        <v>1</v>
      </c>
    </row>
    <row r="2769" spans="1:25" ht="120" x14ac:dyDescent="0.25">
      <c r="A2769" t="s">
        <v>26</v>
      </c>
      <c r="B2769" t="s">
        <v>4201</v>
      </c>
      <c r="C2769" t="s">
        <v>85</v>
      </c>
      <c r="D2769" t="s">
        <v>4126</v>
      </c>
      <c r="E2769" t="s">
        <v>30</v>
      </c>
      <c r="F2769" t="s">
        <v>216</v>
      </c>
      <c r="G2769" t="s">
        <v>81</v>
      </c>
      <c r="H2769" t="s">
        <v>87</v>
      </c>
      <c r="I2769" s="1" t="s">
        <v>4206</v>
      </c>
      <c r="S2769" s="15">
        <v>1</v>
      </c>
      <c r="T2769" s="15">
        <v>1</v>
      </c>
      <c r="W2769" s="15">
        <v>1</v>
      </c>
    </row>
    <row r="2770" spans="1:25" x14ac:dyDescent="0.25">
      <c r="A2770" t="s">
        <v>26</v>
      </c>
      <c r="B2770" t="s">
        <v>4201</v>
      </c>
      <c r="C2770" t="s">
        <v>73</v>
      </c>
      <c r="D2770" t="s">
        <v>157</v>
      </c>
      <c r="E2770" t="s">
        <v>30</v>
      </c>
      <c r="F2770" t="s">
        <v>94</v>
      </c>
      <c r="G2770" t="s">
        <v>32</v>
      </c>
      <c r="H2770" t="s">
        <v>173</v>
      </c>
      <c r="I2770" s="1" t="s">
        <v>4207</v>
      </c>
      <c r="Q2770" s="15">
        <v>1</v>
      </c>
      <c r="V2770" s="15">
        <v>1</v>
      </c>
    </row>
    <row r="2771" spans="1:25" ht="45" x14ac:dyDescent="0.25">
      <c r="A2771" t="s">
        <v>49</v>
      </c>
      <c r="B2771" t="s">
        <v>4201</v>
      </c>
      <c r="C2771" t="s">
        <v>28</v>
      </c>
      <c r="D2771" t="s">
        <v>486</v>
      </c>
      <c r="E2771" t="s">
        <v>30</v>
      </c>
      <c r="F2771" t="s">
        <v>98</v>
      </c>
      <c r="G2771" t="s">
        <v>32</v>
      </c>
      <c r="H2771" t="s">
        <v>87</v>
      </c>
      <c r="I2771" s="1" t="s">
        <v>4208</v>
      </c>
      <c r="N2771" s="15">
        <v>1</v>
      </c>
    </row>
    <row r="2772" spans="1:25" ht="30" x14ac:dyDescent="0.25">
      <c r="A2772" t="s">
        <v>26</v>
      </c>
      <c r="B2772" t="s">
        <v>4201</v>
      </c>
      <c r="C2772" t="s">
        <v>50</v>
      </c>
      <c r="D2772" t="s">
        <v>226</v>
      </c>
      <c r="E2772" t="s">
        <v>30</v>
      </c>
      <c r="F2772" t="s">
        <v>154</v>
      </c>
      <c r="G2772" t="s">
        <v>32</v>
      </c>
      <c r="H2772" t="s">
        <v>173</v>
      </c>
      <c r="I2772" s="1" t="s">
        <v>4209</v>
      </c>
      <c r="Q2772" s="15">
        <v>1</v>
      </c>
    </row>
    <row r="2773" spans="1:25" ht="30" x14ac:dyDescent="0.25">
      <c r="A2773" t="s">
        <v>49</v>
      </c>
      <c r="B2773" t="s">
        <v>4201</v>
      </c>
      <c r="C2773" t="s">
        <v>106</v>
      </c>
      <c r="D2773" t="s">
        <v>370</v>
      </c>
      <c r="E2773" t="s">
        <v>79</v>
      </c>
      <c r="F2773" t="s">
        <v>94</v>
      </c>
      <c r="G2773" t="s">
        <v>32</v>
      </c>
      <c r="H2773" t="s">
        <v>33</v>
      </c>
      <c r="I2773" s="1" t="s">
        <v>4210</v>
      </c>
      <c r="S2773" s="15">
        <v>1</v>
      </c>
    </row>
    <row r="2774" spans="1:25" ht="30" x14ac:dyDescent="0.25">
      <c r="A2774" t="s">
        <v>49</v>
      </c>
      <c r="B2774" t="s">
        <v>4201</v>
      </c>
      <c r="C2774" t="s">
        <v>249</v>
      </c>
      <c r="D2774" t="s">
        <v>776</v>
      </c>
      <c r="E2774" t="s">
        <v>30</v>
      </c>
      <c r="F2774" t="s">
        <v>1181</v>
      </c>
      <c r="G2774" t="s">
        <v>32</v>
      </c>
      <c r="H2774" t="s">
        <v>33</v>
      </c>
      <c r="I2774" s="1" t="s">
        <v>4211</v>
      </c>
      <c r="S2774" s="15">
        <v>1</v>
      </c>
    </row>
    <row r="2775" spans="1:25" ht="105" x14ac:dyDescent="0.25">
      <c r="A2775" t="s">
        <v>49</v>
      </c>
      <c r="B2775" t="s">
        <v>4201</v>
      </c>
      <c r="C2775" t="s">
        <v>28</v>
      </c>
      <c r="D2775" t="s">
        <v>1094</v>
      </c>
      <c r="E2775" t="s">
        <v>79</v>
      </c>
      <c r="F2775" t="s">
        <v>727</v>
      </c>
      <c r="G2775" t="s">
        <v>263</v>
      </c>
      <c r="H2775" t="s">
        <v>87</v>
      </c>
      <c r="I2775" s="1" t="s">
        <v>4212</v>
      </c>
      <c r="Y2775">
        <v>1</v>
      </c>
    </row>
    <row r="2776" spans="1:25" ht="30" x14ac:dyDescent="0.25">
      <c r="A2776" t="s">
        <v>49</v>
      </c>
      <c r="B2776" t="s">
        <v>4201</v>
      </c>
      <c r="C2776" t="s">
        <v>240</v>
      </c>
      <c r="D2776" t="s">
        <v>767</v>
      </c>
      <c r="E2776" t="s">
        <v>30</v>
      </c>
      <c r="F2776" t="s">
        <v>189</v>
      </c>
      <c r="G2776" t="s">
        <v>32</v>
      </c>
      <c r="H2776" t="s">
        <v>33</v>
      </c>
      <c r="I2776" s="1" t="s">
        <v>4213</v>
      </c>
      <c r="O2776" s="15">
        <v>1</v>
      </c>
    </row>
    <row r="2777" spans="1:25" ht="45" x14ac:dyDescent="0.25">
      <c r="A2777" t="s">
        <v>91</v>
      </c>
      <c r="B2777" t="s">
        <v>4201</v>
      </c>
      <c r="C2777" t="s">
        <v>106</v>
      </c>
      <c r="D2777" t="s">
        <v>431</v>
      </c>
      <c r="E2777" t="s">
        <v>30</v>
      </c>
      <c r="F2777" t="s">
        <v>186</v>
      </c>
      <c r="G2777" t="s">
        <v>81</v>
      </c>
      <c r="H2777" t="s">
        <v>33</v>
      </c>
      <c r="I2777" s="1" t="s">
        <v>4214</v>
      </c>
      <c r="R2777" s="15">
        <v>1</v>
      </c>
      <c r="T2777" s="15">
        <v>1</v>
      </c>
    </row>
    <row r="2778" spans="1:25" ht="90" x14ac:dyDescent="0.25">
      <c r="A2778" t="s">
        <v>59</v>
      </c>
      <c r="B2778" t="s">
        <v>4201</v>
      </c>
      <c r="C2778" t="s">
        <v>240</v>
      </c>
      <c r="D2778" t="s">
        <v>978</v>
      </c>
      <c r="E2778" t="s">
        <v>30</v>
      </c>
      <c r="F2778" t="s">
        <v>112</v>
      </c>
      <c r="G2778" t="s">
        <v>32</v>
      </c>
      <c r="H2778" t="s">
        <v>87</v>
      </c>
      <c r="I2778" s="1" t="s">
        <v>4215</v>
      </c>
      <c r="T2778" s="15">
        <v>1</v>
      </c>
    </row>
    <row r="2779" spans="1:25" ht="30" x14ac:dyDescent="0.25">
      <c r="A2779" t="s">
        <v>26</v>
      </c>
      <c r="B2779" t="s">
        <v>4216</v>
      </c>
      <c r="C2779" t="s">
        <v>73</v>
      </c>
      <c r="D2779" t="s">
        <v>253</v>
      </c>
      <c r="E2779" t="s">
        <v>30</v>
      </c>
      <c r="F2779" t="s">
        <v>189</v>
      </c>
      <c r="G2779" t="s">
        <v>32</v>
      </c>
      <c r="H2779" t="s">
        <v>173</v>
      </c>
      <c r="I2779" s="1" t="s">
        <v>4217</v>
      </c>
      <c r="N2779" s="15">
        <v>1</v>
      </c>
      <c r="Q2779" s="15">
        <v>1</v>
      </c>
      <c r="V2779" s="15">
        <v>1</v>
      </c>
    </row>
    <row r="2780" spans="1:25" ht="105" x14ac:dyDescent="0.25">
      <c r="A2780" t="s">
        <v>49</v>
      </c>
      <c r="B2780" t="s">
        <v>4216</v>
      </c>
      <c r="C2780" t="s">
        <v>235</v>
      </c>
      <c r="D2780" t="s">
        <v>1158</v>
      </c>
      <c r="E2780" t="s">
        <v>30</v>
      </c>
      <c r="F2780" t="s">
        <v>112</v>
      </c>
      <c r="G2780" t="s">
        <v>32</v>
      </c>
      <c r="H2780" t="s">
        <v>33</v>
      </c>
      <c r="I2780" s="1" t="s">
        <v>4218</v>
      </c>
      <c r="P2780" s="15">
        <v>1</v>
      </c>
    </row>
    <row r="2781" spans="1:25" ht="120" x14ac:dyDescent="0.25">
      <c r="A2781" t="s">
        <v>26</v>
      </c>
      <c r="B2781" t="s">
        <v>4216</v>
      </c>
      <c r="C2781" t="s">
        <v>249</v>
      </c>
      <c r="D2781" t="s">
        <v>401</v>
      </c>
      <c r="E2781" t="s">
        <v>30</v>
      </c>
      <c r="F2781" t="s">
        <v>417</v>
      </c>
      <c r="G2781" t="s">
        <v>81</v>
      </c>
      <c r="H2781" t="s">
        <v>87</v>
      </c>
      <c r="I2781" s="1" t="s">
        <v>4219</v>
      </c>
      <c r="Q2781" s="15">
        <v>1</v>
      </c>
      <c r="V2781" s="15">
        <v>1</v>
      </c>
      <c r="W2781" s="15">
        <v>1</v>
      </c>
    </row>
    <row r="2782" spans="1:25" ht="60" x14ac:dyDescent="0.25">
      <c r="A2782" t="s">
        <v>26</v>
      </c>
      <c r="B2782" t="s">
        <v>4216</v>
      </c>
      <c r="C2782" t="s">
        <v>96</v>
      </c>
      <c r="D2782" t="s">
        <v>97</v>
      </c>
      <c r="E2782" t="s">
        <v>30</v>
      </c>
      <c r="F2782" t="s">
        <v>119</v>
      </c>
      <c r="G2782" t="s">
        <v>32</v>
      </c>
      <c r="H2782" t="s">
        <v>173</v>
      </c>
      <c r="I2782" s="1" t="s">
        <v>4220</v>
      </c>
      <c r="W2782" s="15">
        <v>1</v>
      </c>
    </row>
    <row r="2783" spans="1:25" ht="75" x14ac:dyDescent="0.25">
      <c r="A2783" t="s">
        <v>49</v>
      </c>
      <c r="B2783" t="s">
        <v>4216</v>
      </c>
      <c r="C2783" t="s">
        <v>50</v>
      </c>
      <c r="D2783" t="s">
        <v>4221</v>
      </c>
      <c r="E2783" t="s">
        <v>30</v>
      </c>
      <c r="F2783" t="s">
        <v>102</v>
      </c>
      <c r="G2783" t="s">
        <v>32</v>
      </c>
      <c r="H2783" t="s">
        <v>33</v>
      </c>
      <c r="I2783" s="1" t="s">
        <v>4222</v>
      </c>
      <c r="S2783" s="15">
        <v>1</v>
      </c>
    </row>
    <row r="2784" spans="1:25" ht="90" x14ac:dyDescent="0.25">
      <c r="A2784" t="s">
        <v>64</v>
      </c>
      <c r="B2784" t="s">
        <v>4216</v>
      </c>
      <c r="C2784" t="s">
        <v>240</v>
      </c>
      <c r="D2784" t="s">
        <v>4223</v>
      </c>
      <c r="E2784" t="s">
        <v>30</v>
      </c>
      <c r="F2784" t="s">
        <v>154</v>
      </c>
      <c r="G2784" t="s">
        <v>32</v>
      </c>
      <c r="H2784" t="s">
        <v>33</v>
      </c>
      <c r="I2784" s="1" t="s">
        <v>4224</v>
      </c>
      <c r="O2784" s="15">
        <v>1</v>
      </c>
      <c r="S2784" s="15">
        <v>1</v>
      </c>
    </row>
    <row r="2785" spans="1:23" ht="105" x14ac:dyDescent="0.25">
      <c r="A2785" t="s">
        <v>26</v>
      </c>
      <c r="B2785" t="s">
        <v>4216</v>
      </c>
      <c r="C2785" t="s">
        <v>240</v>
      </c>
      <c r="D2785" t="s">
        <v>597</v>
      </c>
      <c r="E2785" t="s">
        <v>30</v>
      </c>
      <c r="F2785" t="s">
        <v>108</v>
      </c>
      <c r="G2785" t="s">
        <v>32</v>
      </c>
      <c r="H2785" t="s">
        <v>173</v>
      </c>
      <c r="I2785" s="1" t="s">
        <v>4225</v>
      </c>
      <c r="P2785" s="15">
        <v>1</v>
      </c>
      <c r="Q2785" s="15">
        <v>1</v>
      </c>
    </row>
    <row r="2786" spans="1:23" ht="60" x14ac:dyDescent="0.25">
      <c r="A2786" t="s">
        <v>49</v>
      </c>
      <c r="B2786" t="s">
        <v>4216</v>
      </c>
      <c r="C2786" t="s">
        <v>55</v>
      </c>
      <c r="D2786" t="s">
        <v>382</v>
      </c>
      <c r="E2786" t="s">
        <v>79</v>
      </c>
      <c r="F2786" t="s">
        <v>186</v>
      </c>
      <c r="G2786" t="s">
        <v>81</v>
      </c>
      <c r="H2786" t="s">
        <v>173</v>
      </c>
      <c r="I2786" s="1" t="s">
        <v>4226</v>
      </c>
      <c r="N2786" s="15">
        <v>1</v>
      </c>
      <c r="Q2786" s="15">
        <v>1</v>
      </c>
    </row>
    <row r="2787" spans="1:23" ht="60" x14ac:dyDescent="0.25">
      <c r="A2787" t="s">
        <v>59</v>
      </c>
      <c r="B2787" t="s">
        <v>4216</v>
      </c>
      <c r="C2787" t="s">
        <v>44</v>
      </c>
      <c r="D2787" t="s">
        <v>655</v>
      </c>
      <c r="E2787" t="s">
        <v>79</v>
      </c>
      <c r="F2787" t="s">
        <v>161</v>
      </c>
      <c r="G2787" t="s">
        <v>69</v>
      </c>
      <c r="H2787" t="s">
        <v>173</v>
      </c>
      <c r="I2787" s="1" t="s">
        <v>4227</v>
      </c>
      <c r="W2787" s="15">
        <v>1</v>
      </c>
    </row>
    <row r="2788" spans="1:23" ht="30" x14ac:dyDescent="0.25">
      <c r="A2788" t="s">
        <v>37</v>
      </c>
      <c r="B2788" t="s">
        <v>4216</v>
      </c>
      <c r="C2788" t="s">
        <v>85</v>
      </c>
      <c r="D2788" t="s">
        <v>1529</v>
      </c>
      <c r="E2788" t="s">
        <v>30</v>
      </c>
      <c r="F2788" t="s">
        <v>46</v>
      </c>
      <c r="G2788" t="s">
        <v>69</v>
      </c>
      <c r="H2788" t="s">
        <v>33</v>
      </c>
      <c r="I2788" s="1" t="s">
        <v>4228</v>
      </c>
      <c r="W2788" s="15">
        <v>1</v>
      </c>
    </row>
    <row r="2789" spans="1:23" ht="105" x14ac:dyDescent="0.25">
      <c r="A2789" t="s">
        <v>26</v>
      </c>
      <c r="B2789" t="s">
        <v>4216</v>
      </c>
      <c r="C2789" t="s">
        <v>44</v>
      </c>
      <c r="D2789" t="s">
        <v>215</v>
      </c>
      <c r="E2789" t="s">
        <v>30</v>
      </c>
      <c r="F2789" t="s">
        <v>182</v>
      </c>
      <c r="G2789" t="s">
        <v>69</v>
      </c>
      <c r="H2789" t="s">
        <v>87</v>
      </c>
      <c r="I2789" s="1" t="s">
        <v>4229</v>
      </c>
      <c r="T2789" s="15">
        <v>1</v>
      </c>
    </row>
    <row r="2790" spans="1:23" ht="75" x14ac:dyDescent="0.25">
      <c r="A2790" t="s">
        <v>26</v>
      </c>
      <c r="B2790" t="s">
        <v>4230</v>
      </c>
      <c r="C2790" t="s">
        <v>92</v>
      </c>
      <c r="D2790" t="s">
        <v>93</v>
      </c>
      <c r="E2790" t="s">
        <v>30</v>
      </c>
      <c r="F2790" t="s">
        <v>205</v>
      </c>
      <c r="G2790" t="s">
        <v>32</v>
      </c>
      <c r="H2790" t="s">
        <v>33</v>
      </c>
      <c r="I2790" s="1" t="s">
        <v>4231</v>
      </c>
      <c r="R2790" s="15">
        <v>1</v>
      </c>
      <c r="S2790" s="15">
        <v>1</v>
      </c>
    </row>
    <row r="2791" spans="1:23" ht="30" x14ac:dyDescent="0.25">
      <c r="A2791" t="s">
        <v>26</v>
      </c>
      <c r="B2791" t="s">
        <v>4230</v>
      </c>
      <c r="C2791" t="s">
        <v>249</v>
      </c>
      <c r="D2791" t="s">
        <v>639</v>
      </c>
      <c r="E2791" t="s">
        <v>30</v>
      </c>
      <c r="F2791" t="s">
        <v>196</v>
      </c>
      <c r="G2791" t="s">
        <v>32</v>
      </c>
      <c r="H2791" t="s">
        <v>173</v>
      </c>
      <c r="I2791" s="1" t="s">
        <v>4232</v>
      </c>
      <c r="N2791" s="15">
        <v>1</v>
      </c>
      <c r="Q2791" s="15">
        <v>1</v>
      </c>
    </row>
    <row r="2792" spans="1:23" ht="75" x14ac:dyDescent="0.25">
      <c r="A2792" t="s">
        <v>26</v>
      </c>
      <c r="B2792" t="s">
        <v>4230</v>
      </c>
      <c r="C2792" t="s">
        <v>240</v>
      </c>
      <c r="D2792" t="s">
        <v>2094</v>
      </c>
      <c r="E2792" t="s">
        <v>30</v>
      </c>
      <c r="F2792" t="s">
        <v>40</v>
      </c>
      <c r="G2792" t="s">
        <v>38</v>
      </c>
      <c r="H2792" t="s">
        <v>87</v>
      </c>
      <c r="I2792" s="1" t="s">
        <v>4233</v>
      </c>
      <c r="N2792" s="15">
        <v>1</v>
      </c>
      <c r="T2792" s="15">
        <v>1</v>
      </c>
    </row>
    <row r="2793" spans="1:23" ht="45" x14ac:dyDescent="0.25">
      <c r="A2793" t="s">
        <v>26</v>
      </c>
      <c r="B2793" t="s">
        <v>4230</v>
      </c>
      <c r="C2793" t="s">
        <v>249</v>
      </c>
      <c r="D2793" t="s">
        <v>373</v>
      </c>
      <c r="E2793" t="s">
        <v>30</v>
      </c>
      <c r="F2793" t="s">
        <v>216</v>
      </c>
      <c r="G2793" t="s">
        <v>32</v>
      </c>
      <c r="H2793" t="s">
        <v>33</v>
      </c>
      <c r="I2793" s="1" t="s">
        <v>4234</v>
      </c>
      <c r="M2793" s="15">
        <v>1</v>
      </c>
      <c r="P2793" s="15">
        <v>1</v>
      </c>
    </row>
    <row r="2794" spans="1:23" ht="60" x14ac:dyDescent="0.25">
      <c r="A2794" t="s">
        <v>26</v>
      </c>
      <c r="B2794" t="s">
        <v>4230</v>
      </c>
      <c r="C2794" t="s">
        <v>235</v>
      </c>
      <c r="D2794" t="s">
        <v>236</v>
      </c>
      <c r="E2794" t="s">
        <v>30</v>
      </c>
      <c r="F2794" t="s">
        <v>98</v>
      </c>
      <c r="G2794" t="s">
        <v>69</v>
      </c>
      <c r="H2794" t="s">
        <v>173</v>
      </c>
      <c r="I2794" s="1" t="s">
        <v>4235</v>
      </c>
      <c r="P2794" s="15">
        <v>1</v>
      </c>
    </row>
    <row r="2795" spans="1:23" ht="105" x14ac:dyDescent="0.25">
      <c r="A2795" t="s">
        <v>26</v>
      </c>
      <c r="B2795" t="s">
        <v>4230</v>
      </c>
      <c r="C2795" t="s">
        <v>73</v>
      </c>
      <c r="D2795" t="s">
        <v>1337</v>
      </c>
      <c r="E2795" t="s">
        <v>30</v>
      </c>
      <c r="F2795" t="s">
        <v>389</v>
      </c>
      <c r="G2795" t="s">
        <v>32</v>
      </c>
      <c r="H2795" t="s">
        <v>33</v>
      </c>
      <c r="I2795" s="1" t="s">
        <v>4236</v>
      </c>
      <c r="Q2795" s="15">
        <v>1</v>
      </c>
      <c r="V2795" s="15">
        <v>1</v>
      </c>
    </row>
    <row r="2796" spans="1:23" ht="105" x14ac:dyDescent="0.25">
      <c r="A2796" t="s">
        <v>26</v>
      </c>
      <c r="B2796" t="s">
        <v>4230</v>
      </c>
      <c r="C2796" t="s">
        <v>50</v>
      </c>
      <c r="D2796" t="s">
        <v>3353</v>
      </c>
      <c r="E2796" t="s">
        <v>30</v>
      </c>
      <c r="F2796" t="s">
        <v>602</v>
      </c>
      <c r="G2796" t="s">
        <v>32</v>
      </c>
      <c r="H2796" t="s">
        <v>33</v>
      </c>
      <c r="I2796" s="1" t="s">
        <v>4237</v>
      </c>
      <c r="S2796" s="15">
        <v>1</v>
      </c>
    </row>
    <row r="2797" spans="1:23" ht="105" x14ac:dyDescent="0.25">
      <c r="A2797" t="s">
        <v>26</v>
      </c>
      <c r="B2797" t="s">
        <v>4230</v>
      </c>
      <c r="C2797" t="s">
        <v>73</v>
      </c>
      <c r="D2797" t="s">
        <v>253</v>
      </c>
      <c r="E2797" t="s">
        <v>79</v>
      </c>
      <c r="F2797" t="s">
        <v>46</v>
      </c>
      <c r="G2797" t="s">
        <v>81</v>
      </c>
      <c r="H2797" t="s">
        <v>173</v>
      </c>
      <c r="I2797" s="1" t="s">
        <v>4238</v>
      </c>
      <c r="Q2797" s="15">
        <v>1</v>
      </c>
      <c r="V2797" s="15">
        <v>1</v>
      </c>
    </row>
    <row r="2798" spans="1:23" ht="30" x14ac:dyDescent="0.25">
      <c r="A2798" t="s">
        <v>26</v>
      </c>
      <c r="B2798" t="s">
        <v>4230</v>
      </c>
      <c r="C2798" t="s">
        <v>44</v>
      </c>
      <c r="D2798" t="s">
        <v>502</v>
      </c>
      <c r="E2798" t="s">
        <v>30</v>
      </c>
      <c r="F2798" t="s">
        <v>98</v>
      </c>
      <c r="G2798" t="s">
        <v>32</v>
      </c>
      <c r="H2798" t="s">
        <v>173</v>
      </c>
      <c r="I2798" s="1" t="s">
        <v>4239</v>
      </c>
      <c r="N2798" s="15">
        <v>1</v>
      </c>
    </row>
    <row r="2799" spans="1:23" ht="105" x14ac:dyDescent="0.25">
      <c r="A2799" t="s">
        <v>26</v>
      </c>
      <c r="B2799" t="s">
        <v>4230</v>
      </c>
      <c r="C2799" t="s">
        <v>106</v>
      </c>
      <c r="D2799" t="s">
        <v>539</v>
      </c>
      <c r="E2799" t="s">
        <v>30</v>
      </c>
      <c r="F2799" t="s">
        <v>189</v>
      </c>
      <c r="G2799" t="s">
        <v>69</v>
      </c>
      <c r="H2799" t="s">
        <v>87</v>
      </c>
      <c r="I2799" s="1" t="s">
        <v>4240</v>
      </c>
      <c r="V2799" s="15">
        <v>1</v>
      </c>
    </row>
    <row r="2800" spans="1:23" ht="105" x14ac:dyDescent="0.25">
      <c r="A2800" t="s">
        <v>26</v>
      </c>
      <c r="B2800" t="s">
        <v>4230</v>
      </c>
      <c r="C2800" t="s">
        <v>50</v>
      </c>
      <c r="D2800" t="s">
        <v>1226</v>
      </c>
      <c r="E2800" t="s">
        <v>30</v>
      </c>
      <c r="F2800" t="s">
        <v>189</v>
      </c>
      <c r="G2800" t="s">
        <v>69</v>
      </c>
      <c r="H2800" t="s">
        <v>87</v>
      </c>
      <c r="I2800" s="1" t="s">
        <v>4241</v>
      </c>
      <c r="S2800" s="15">
        <v>1</v>
      </c>
    </row>
    <row r="2801" spans="1:25" ht="105" x14ac:dyDescent="0.25">
      <c r="A2801" t="s">
        <v>26</v>
      </c>
      <c r="B2801" t="s">
        <v>4230</v>
      </c>
      <c r="C2801" t="s">
        <v>50</v>
      </c>
      <c r="D2801" t="s">
        <v>801</v>
      </c>
      <c r="E2801" t="s">
        <v>30</v>
      </c>
      <c r="F2801" t="s">
        <v>182</v>
      </c>
      <c r="G2801" t="s">
        <v>69</v>
      </c>
      <c r="H2801" t="s">
        <v>173</v>
      </c>
      <c r="I2801" s="1" t="s">
        <v>4242</v>
      </c>
      <c r="Y2801">
        <v>1</v>
      </c>
    </row>
    <row r="2802" spans="1:25" ht="105" x14ac:dyDescent="0.25">
      <c r="A2802" t="s">
        <v>37</v>
      </c>
      <c r="B2802" t="s">
        <v>4230</v>
      </c>
      <c r="C2802" t="s">
        <v>44</v>
      </c>
      <c r="D2802" t="s">
        <v>215</v>
      </c>
      <c r="E2802" t="s">
        <v>30</v>
      </c>
      <c r="F2802" t="s">
        <v>61</v>
      </c>
      <c r="G2802" t="s">
        <v>69</v>
      </c>
      <c r="H2802" t="s">
        <v>87</v>
      </c>
      <c r="I2802" s="1" t="s">
        <v>4243</v>
      </c>
      <c r="Q2802" s="15">
        <v>1</v>
      </c>
      <c r="V2802" s="15">
        <v>1</v>
      </c>
    </row>
    <row r="2803" spans="1:25" x14ac:dyDescent="0.25">
      <c r="A2803" t="s">
        <v>26</v>
      </c>
      <c r="B2803" t="s">
        <v>4230</v>
      </c>
      <c r="C2803" t="s">
        <v>96</v>
      </c>
      <c r="D2803" t="s">
        <v>860</v>
      </c>
      <c r="E2803" t="s">
        <v>30</v>
      </c>
      <c r="F2803" t="s">
        <v>102</v>
      </c>
      <c r="G2803" t="s">
        <v>32</v>
      </c>
      <c r="H2803" t="s">
        <v>173</v>
      </c>
      <c r="I2803" s="1" t="s">
        <v>4244</v>
      </c>
      <c r="Q2803" s="15">
        <v>1</v>
      </c>
    </row>
    <row r="2804" spans="1:25" ht="105" x14ac:dyDescent="0.25">
      <c r="A2804" t="s">
        <v>26</v>
      </c>
      <c r="B2804" t="s">
        <v>4230</v>
      </c>
      <c r="C2804" t="s">
        <v>180</v>
      </c>
      <c r="D2804" t="s">
        <v>4245</v>
      </c>
      <c r="E2804" t="s">
        <v>30</v>
      </c>
      <c r="F2804" t="s">
        <v>161</v>
      </c>
      <c r="G2804" t="s">
        <v>32</v>
      </c>
      <c r="H2804" t="s">
        <v>87</v>
      </c>
      <c r="I2804" s="1" t="s">
        <v>4246</v>
      </c>
      <c r="R2804" s="15">
        <v>1</v>
      </c>
      <c r="W2804" s="15">
        <v>1</v>
      </c>
    </row>
    <row r="2805" spans="1:25" ht="105" x14ac:dyDescent="0.25">
      <c r="A2805" t="s">
        <v>26</v>
      </c>
      <c r="B2805" t="s">
        <v>4230</v>
      </c>
      <c r="C2805" t="s">
        <v>50</v>
      </c>
      <c r="D2805" t="s">
        <v>817</v>
      </c>
      <c r="E2805" t="s">
        <v>30</v>
      </c>
      <c r="F2805" t="s">
        <v>166</v>
      </c>
      <c r="G2805" t="s">
        <v>32</v>
      </c>
      <c r="H2805" t="s">
        <v>33</v>
      </c>
      <c r="I2805" s="1" t="s">
        <v>4247</v>
      </c>
      <c r="P2805" s="15">
        <v>1</v>
      </c>
      <c r="W2805" s="15">
        <v>1</v>
      </c>
    </row>
    <row r="2806" spans="1:25" ht="60" x14ac:dyDescent="0.25">
      <c r="A2806" t="s">
        <v>64</v>
      </c>
      <c r="B2806" t="s">
        <v>4230</v>
      </c>
      <c r="C2806" t="s">
        <v>96</v>
      </c>
      <c r="D2806" t="s">
        <v>624</v>
      </c>
      <c r="E2806" t="s">
        <v>79</v>
      </c>
      <c r="F2806" t="s">
        <v>52</v>
      </c>
      <c r="G2806" t="s">
        <v>32</v>
      </c>
      <c r="H2806" t="s">
        <v>33</v>
      </c>
      <c r="I2806" s="1" t="s">
        <v>4248</v>
      </c>
      <c r="S2806" s="15">
        <v>1</v>
      </c>
    </row>
    <row r="2807" spans="1:25" ht="105" x14ac:dyDescent="0.25">
      <c r="A2807" t="s">
        <v>26</v>
      </c>
      <c r="B2807" t="s">
        <v>4230</v>
      </c>
      <c r="C2807" t="s">
        <v>472</v>
      </c>
      <c r="D2807" t="s">
        <v>839</v>
      </c>
      <c r="E2807" t="s">
        <v>30</v>
      </c>
      <c r="F2807" t="s">
        <v>140</v>
      </c>
      <c r="G2807" t="s">
        <v>32</v>
      </c>
      <c r="H2807" t="s">
        <v>87</v>
      </c>
      <c r="I2807" s="1" t="s">
        <v>4249</v>
      </c>
      <c r="Q2807" s="15">
        <v>1</v>
      </c>
      <c r="V2807" s="15">
        <v>1</v>
      </c>
    </row>
    <row r="2808" spans="1:25" ht="120" x14ac:dyDescent="0.25">
      <c r="A2808" t="s">
        <v>26</v>
      </c>
      <c r="B2808" t="s">
        <v>4230</v>
      </c>
      <c r="C2808" t="s">
        <v>55</v>
      </c>
      <c r="D2808" t="s">
        <v>392</v>
      </c>
      <c r="E2808" t="s">
        <v>30</v>
      </c>
      <c r="F2808" t="s">
        <v>446</v>
      </c>
      <c r="G2808" t="s">
        <v>32</v>
      </c>
      <c r="H2808" t="s">
        <v>33</v>
      </c>
      <c r="I2808" s="1" t="s">
        <v>4250</v>
      </c>
      <c r="O2808" s="15">
        <v>1</v>
      </c>
      <c r="S2808" s="15">
        <v>1</v>
      </c>
    </row>
    <row r="2809" spans="1:25" ht="60" x14ac:dyDescent="0.25">
      <c r="A2809" t="s">
        <v>26</v>
      </c>
      <c r="B2809" t="s">
        <v>4230</v>
      </c>
      <c r="C2809" t="s">
        <v>180</v>
      </c>
      <c r="D2809" t="s">
        <v>439</v>
      </c>
      <c r="E2809" t="s">
        <v>30</v>
      </c>
      <c r="F2809" t="s">
        <v>365</v>
      </c>
      <c r="G2809" t="s">
        <v>32</v>
      </c>
      <c r="H2809" t="s">
        <v>33</v>
      </c>
      <c r="I2809" s="1" t="s">
        <v>4251</v>
      </c>
      <c r="S2809" s="15">
        <v>1</v>
      </c>
    </row>
    <row r="2810" spans="1:25" ht="75" x14ac:dyDescent="0.25">
      <c r="A2810" t="s">
        <v>37</v>
      </c>
      <c r="B2810" t="s">
        <v>4230</v>
      </c>
      <c r="C2810" t="s">
        <v>73</v>
      </c>
      <c r="D2810" t="s">
        <v>862</v>
      </c>
      <c r="E2810" t="s">
        <v>30</v>
      </c>
      <c r="F2810" t="s">
        <v>520</v>
      </c>
      <c r="G2810" t="s">
        <v>38</v>
      </c>
      <c r="H2810" t="s">
        <v>87</v>
      </c>
      <c r="I2810" s="1" t="s">
        <v>4252</v>
      </c>
      <c r="T2810" s="15">
        <v>1</v>
      </c>
    </row>
    <row r="2811" spans="1:25" ht="45" x14ac:dyDescent="0.25">
      <c r="A2811" t="s">
        <v>26</v>
      </c>
      <c r="B2811" t="s">
        <v>4230</v>
      </c>
      <c r="C2811" t="s">
        <v>32</v>
      </c>
      <c r="D2811" t="s">
        <v>1116</v>
      </c>
      <c r="E2811" t="s">
        <v>30</v>
      </c>
      <c r="F2811" t="s">
        <v>46</v>
      </c>
      <c r="G2811" t="s">
        <v>69</v>
      </c>
      <c r="H2811" t="s">
        <v>173</v>
      </c>
      <c r="I2811" s="1" t="s">
        <v>4253</v>
      </c>
      <c r="W2811" s="15">
        <v>1</v>
      </c>
    </row>
    <row r="2812" spans="1:25" ht="75" x14ac:dyDescent="0.25">
      <c r="A2812" t="s">
        <v>37</v>
      </c>
      <c r="B2812" t="s">
        <v>4230</v>
      </c>
      <c r="C2812" t="s">
        <v>106</v>
      </c>
      <c r="D2812" t="s">
        <v>475</v>
      </c>
      <c r="E2812" t="s">
        <v>30</v>
      </c>
      <c r="F2812" t="s">
        <v>186</v>
      </c>
      <c r="G2812" t="s">
        <v>32</v>
      </c>
      <c r="H2812" t="s">
        <v>173</v>
      </c>
      <c r="I2812" s="1" t="s">
        <v>4254</v>
      </c>
      <c r="Q2812" s="15">
        <v>1</v>
      </c>
      <c r="V2812" s="15">
        <v>1</v>
      </c>
    </row>
    <row r="2813" spans="1:25" x14ac:dyDescent="0.25">
      <c r="A2813" t="s">
        <v>26</v>
      </c>
      <c r="B2813" t="s">
        <v>4230</v>
      </c>
      <c r="C2813" t="s">
        <v>69</v>
      </c>
      <c r="D2813" t="s">
        <v>590</v>
      </c>
      <c r="E2813" t="s">
        <v>30</v>
      </c>
      <c r="F2813" t="s">
        <v>154</v>
      </c>
      <c r="G2813" t="s">
        <v>69</v>
      </c>
      <c r="H2813" t="s">
        <v>87</v>
      </c>
      <c r="I2813" s="1" t="s">
        <v>4255</v>
      </c>
      <c r="Q2813" s="15">
        <v>1</v>
      </c>
    </row>
    <row r="2814" spans="1:25" ht="105" x14ac:dyDescent="0.25">
      <c r="A2814" t="s">
        <v>37</v>
      </c>
      <c r="B2814" t="s">
        <v>4230</v>
      </c>
      <c r="C2814" t="s">
        <v>38</v>
      </c>
      <c r="D2814" t="s">
        <v>1333</v>
      </c>
      <c r="E2814" t="s">
        <v>30</v>
      </c>
      <c r="F2814" t="s">
        <v>290</v>
      </c>
      <c r="G2814" t="s">
        <v>81</v>
      </c>
      <c r="H2814" t="s">
        <v>173</v>
      </c>
      <c r="I2814" s="1" t="s">
        <v>4256</v>
      </c>
      <c r="W2814" s="15">
        <v>1</v>
      </c>
    </row>
    <row r="2815" spans="1:25" ht="75" x14ac:dyDescent="0.25">
      <c r="A2815" t="s">
        <v>26</v>
      </c>
      <c r="B2815" t="s">
        <v>4230</v>
      </c>
      <c r="C2815" t="s">
        <v>28</v>
      </c>
      <c r="D2815" t="s">
        <v>486</v>
      </c>
      <c r="E2815" t="s">
        <v>30</v>
      </c>
      <c r="F2815" t="s">
        <v>130</v>
      </c>
      <c r="G2815" t="s">
        <v>69</v>
      </c>
      <c r="H2815" t="s">
        <v>173</v>
      </c>
      <c r="I2815" s="1" t="s">
        <v>4257</v>
      </c>
      <c r="N2815" s="15">
        <v>1</v>
      </c>
      <c r="Q2815" s="15">
        <v>1</v>
      </c>
    </row>
    <row r="2816" spans="1:25" ht="30" x14ac:dyDescent="0.25">
      <c r="A2816" t="s">
        <v>26</v>
      </c>
      <c r="B2816" t="s">
        <v>4230</v>
      </c>
      <c r="C2816" t="s">
        <v>44</v>
      </c>
      <c r="D2816" t="s">
        <v>165</v>
      </c>
      <c r="E2816" t="s">
        <v>30</v>
      </c>
      <c r="F2816" t="s">
        <v>102</v>
      </c>
      <c r="G2816" t="s">
        <v>32</v>
      </c>
      <c r="H2816" t="s">
        <v>33</v>
      </c>
      <c r="I2816" s="1" t="s">
        <v>4258</v>
      </c>
      <c r="S2816" s="15">
        <v>1</v>
      </c>
    </row>
    <row r="2817" spans="1:25" ht="60" x14ac:dyDescent="0.25">
      <c r="A2817" t="s">
        <v>26</v>
      </c>
      <c r="B2817" t="s">
        <v>4230</v>
      </c>
      <c r="C2817" t="s">
        <v>55</v>
      </c>
      <c r="D2817" t="s">
        <v>392</v>
      </c>
      <c r="E2817" t="s">
        <v>30</v>
      </c>
      <c r="F2817" t="s">
        <v>52</v>
      </c>
      <c r="G2817" t="s">
        <v>69</v>
      </c>
      <c r="H2817" t="s">
        <v>87</v>
      </c>
      <c r="I2817" s="1" t="s">
        <v>4259</v>
      </c>
      <c r="O2817" s="15">
        <v>1</v>
      </c>
      <c r="Y2817">
        <v>1</v>
      </c>
    </row>
    <row r="2818" spans="1:25" ht="90" x14ac:dyDescent="0.25">
      <c r="A2818" t="s">
        <v>26</v>
      </c>
      <c r="B2818" t="s">
        <v>4230</v>
      </c>
      <c r="C2818" t="s">
        <v>44</v>
      </c>
      <c r="D2818" t="s">
        <v>165</v>
      </c>
      <c r="E2818" t="s">
        <v>30</v>
      </c>
      <c r="F2818" t="s">
        <v>94</v>
      </c>
      <c r="G2818" t="s">
        <v>69</v>
      </c>
      <c r="H2818" t="s">
        <v>87</v>
      </c>
      <c r="I2818" s="1" t="s">
        <v>4260</v>
      </c>
      <c r="P2818" s="15">
        <v>1</v>
      </c>
      <c r="W2818" s="15">
        <v>1</v>
      </c>
      <c r="Y2818">
        <v>1</v>
      </c>
    </row>
    <row r="2819" spans="1:25" ht="45" x14ac:dyDescent="0.25">
      <c r="A2819" t="s">
        <v>49</v>
      </c>
      <c r="B2819" t="s">
        <v>4230</v>
      </c>
      <c r="C2819" t="s">
        <v>106</v>
      </c>
      <c r="D2819" t="s">
        <v>539</v>
      </c>
      <c r="E2819" t="s">
        <v>30</v>
      </c>
      <c r="F2819" t="s">
        <v>102</v>
      </c>
      <c r="G2819" t="s">
        <v>69</v>
      </c>
      <c r="H2819" t="s">
        <v>87</v>
      </c>
      <c r="I2819" s="1" t="s">
        <v>4261</v>
      </c>
      <c r="Y2819">
        <v>1</v>
      </c>
    </row>
    <row r="2820" spans="1:25" ht="30" x14ac:dyDescent="0.25">
      <c r="A2820" t="s">
        <v>26</v>
      </c>
      <c r="B2820" t="s">
        <v>4230</v>
      </c>
      <c r="C2820" t="s">
        <v>44</v>
      </c>
      <c r="D2820" t="s">
        <v>616</v>
      </c>
      <c r="E2820" t="s">
        <v>30</v>
      </c>
      <c r="F2820" t="s">
        <v>46</v>
      </c>
      <c r="G2820" t="s">
        <v>69</v>
      </c>
      <c r="H2820" t="s">
        <v>173</v>
      </c>
      <c r="I2820" s="1" t="s">
        <v>4262</v>
      </c>
      <c r="Q2820" s="15">
        <v>1</v>
      </c>
    </row>
    <row r="2821" spans="1:25" x14ac:dyDescent="0.25">
      <c r="A2821" t="s">
        <v>49</v>
      </c>
      <c r="B2821" t="s">
        <v>4230</v>
      </c>
      <c r="C2821" t="s">
        <v>28</v>
      </c>
      <c r="D2821" t="s">
        <v>273</v>
      </c>
      <c r="E2821" t="s">
        <v>30</v>
      </c>
      <c r="F2821" t="s">
        <v>112</v>
      </c>
      <c r="G2821" t="s">
        <v>32</v>
      </c>
      <c r="H2821" t="s">
        <v>33</v>
      </c>
      <c r="I2821" s="1" t="s">
        <v>4263</v>
      </c>
      <c r="O2821" s="15">
        <v>1</v>
      </c>
    </row>
    <row r="2822" spans="1:25" ht="75" x14ac:dyDescent="0.25">
      <c r="A2822" t="s">
        <v>26</v>
      </c>
      <c r="B2822" t="s">
        <v>4230</v>
      </c>
      <c r="C2822" t="s">
        <v>44</v>
      </c>
      <c r="D2822" t="s">
        <v>616</v>
      </c>
      <c r="E2822" t="s">
        <v>30</v>
      </c>
      <c r="F2822" t="s">
        <v>287</v>
      </c>
      <c r="G2822" t="s">
        <v>32</v>
      </c>
      <c r="H2822" t="s">
        <v>33</v>
      </c>
      <c r="I2822" s="1" t="s">
        <v>4264</v>
      </c>
      <c r="Q2822" s="15">
        <v>1</v>
      </c>
      <c r="W2822" s="15">
        <v>1</v>
      </c>
    </row>
    <row r="2823" spans="1:25" ht="60" x14ac:dyDescent="0.25">
      <c r="A2823" t="s">
        <v>37</v>
      </c>
      <c r="B2823" t="s">
        <v>4230</v>
      </c>
      <c r="C2823" t="s">
        <v>249</v>
      </c>
      <c r="D2823" t="s">
        <v>657</v>
      </c>
      <c r="E2823" t="s">
        <v>30</v>
      </c>
      <c r="F2823" t="s">
        <v>98</v>
      </c>
      <c r="G2823" t="s">
        <v>38</v>
      </c>
      <c r="H2823" t="s">
        <v>87</v>
      </c>
      <c r="I2823" s="1" t="s">
        <v>4265</v>
      </c>
      <c r="N2823" s="15">
        <v>1</v>
      </c>
      <c r="Q2823" s="15">
        <v>1</v>
      </c>
    </row>
    <row r="2824" spans="1:25" ht="75" x14ac:dyDescent="0.25">
      <c r="A2824" t="s">
        <v>26</v>
      </c>
      <c r="B2824" t="s">
        <v>4230</v>
      </c>
      <c r="C2824" t="s">
        <v>85</v>
      </c>
      <c r="D2824" t="s">
        <v>1175</v>
      </c>
      <c r="E2824" t="s">
        <v>79</v>
      </c>
      <c r="F2824" t="s">
        <v>520</v>
      </c>
      <c r="G2824" t="s">
        <v>32</v>
      </c>
      <c r="H2824" t="s">
        <v>33</v>
      </c>
      <c r="I2824" s="1" t="s">
        <v>4266</v>
      </c>
      <c r="S2824" s="15">
        <v>1</v>
      </c>
    </row>
    <row r="2825" spans="1:25" ht="30" x14ac:dyDescent="0.25">
      <c r="A2825" t="s">
        <v>26</v>
      </c>
      <c r="B2825" t="s">
        <v>4230</v>
      </c>
      <c r="C2825" t="s">
        <v>28</v>
      </c>
      <c r="D2825" t="s">
        <v>946</v>
      </c>
      <c r="E2825" t="s">
        <v>30</v>
      </c>
      <c r="F2825" t="s">
        <v>102</v>
      </c>
      <c r="G2825" t="s">
        <v>32</v>
      </c>
      <c r="H2825" t="s">
        <v>33</v>
      </c>
      <c r="I2825" s="1" t="s">
        <v>4267</v>
      </c>
      <c r="W2825" s="15">
        <v>1</v>
      </c>
    </row>
    <row r="2826" spans="1:25" ht="60" x14ac:dyDescent="0.25">
      <c r="A2826" t="s">
        <v>26</v>
      </c>
      <c r="B2826" t="s">
        <v>4230</v>
      </c>
      <c r="C2826" t="s">
        <v>28</v>
      </c>
      <c r="D2826" t="s">
        <v>946</v>
      </c>
      <c r="E2826" t="s">
        <v>30</v>
      </c>
      <c r="F2826" t="s">
        <v>40</v>
      </c>
      <c r="G2826" t="s">
        <v>32</v>
      </c>
      <c r="H2826" t="s">
        <v>33</v>
      </c>
      <c r="I2826" s="1" t="s">
        <v>4268</v>
      </c>
      <c r="S2826" s="15">
        <v>1</v>
      </c>
    </row>
    <row r="2827" spans="1:25" x14ac:dyDescent="0.25">
      <c r="A2827" t="s">
        <v>49</v>
      </c>
      <c r="B2827" t="s">
        <v>4230</v>
      </c>
      <c r="C2827" t="s">
        <v>180</v>
      </c>
      <c r="D2827" t="s">
        <v>1442</v>
      </c>
      <c r="E2827" t="s">
        <v>30</v>
      </c>
      <c r="F2827" t="s">
        <v>189</v>
      </c>
      <c r="G2827" t="s">
        <v>32</v>
      </c>
      <c r="H2827" t="s">
        <v>173</v>
      </c>
      <c r="I2827" s="1" t="s">
        <v>4269</v>
      </c>
      <c r="P2827" s="15">
        <v>1</v>
      </c>
    </row>
    <row r="2828" spans="1:25" ht="105" x14ac:dyDescent="0.25">
      <c r="A2828" t="s">
        <v>59</v>
      </c>
      <c r="B2828" t="s">
        <v>4230</v>
      </c>
      <c r="C2828" t="s">
        <v>28</v>
      </c>
      <c r="D2828" t="s">
        <v>715</v>
      </c>
      <c r="E2828" t="s">
        <v>30</v>
      </c>
      <c r="F2828" t="s">
        <v>161</v>
      </c>
      <c r="G2828" t="s">
        <v>81</v>
      </c>
      <c r="H2828" t="s">
        <v>173</v>
      </c>
      <c r="I2828" s="1" t="s">
        <v>4270</v>
      </c>
      <c r="Q2828" s="15">
        <v>1</v>
      </c>
    </row>
    <row r="2829" spans="1:25" ht="75" x14ac:dyDescent="0.25">
      <c r="A2829" t="s">
        <v>37</v>
      </c>
      <c r="B2829" t="s">
        <v>4230</v>
      </c>
      <c r="C2829" t="s">
        <v>106</v>
      </c>
      <c r="D2829" t="s">
        <v>1084</v>
      </c>
      <c r="E2829" t="s">
        <v>30</v>
      </c>
      <c r="F2829" t="s">
        <v>154</v>
      </c>
      <c r="G2829" t="s">
        <v>32</v>
      </c>
      <c r="H2829" t="s">
        <v>33</v>
      </c>
      <c r="I2829" s="1" t="s">
        <v>4271</v>
      </c>
      <c r="S2829" s="15">
        <v>1</v>
      </c>
    </row>
    <row r="2830" spans="1:25" ht="75" x14ac:dyDescent="0.25">
      <c r="A2830" t="s">
        <v>37</v>
      </c>
      <c r="B2830" t="s">
        <v>4230</v>
      </c>
      <c r="C2830" t="s">
        <v>180</v>
      </c>
      <c r="D2830" t="s">
        <v>893</v>
      </c>
      <c r="E2830" t="s">
        <v>30</v>
      </c>
      <c r="F2830" t="s">
        <v>108</v>
      </c>
      <c r="G2830" t="s">
        <v>32</v>
      </c>
      <c r="H2830" t="s">
        <v>33</v>
      </c>
      <c r="I2830" s="1" t="s">
        <v>4272</v>
      </c>
      <c r="S2830" s="15">
        <v>1</v>
      </c>
    </row>
    <row r="2831" spans="1:25" ht="105" x14ac:dyDescent="0.25">
      <c r="A2831" t="s">
        <v>26</v>
      </c>
      <c r="B2831" t="s">
        <v>4273</v>
      </c>
      <c r="C2831" t="s">
        <v>240</v>
      </c>
      <c r="D2831" t="s">
        <v>1309</v>
      </c>
      <c r="E2831" t="s">
        <v>30</v>
      </c>
      <c r="F2831" t="s">
        <v>1103</v>
      </c>
      <c r="G2831" t="s">
        <v>69</v>
      </c>
      <c r="H2831" t="s">
        <v>173</v>
      </c>
      <c r="I2831" s="1" t="s">
        <v>4274</v>
      </c>
      <c r="W2831" s="15">
        <v>1</v>
      </c>
    </row>
    <row r="2832" spans="1:25" ht="135" x14ac:dyDescent="0.25">
      <c r="A2832" t="s">
        <v>26</v>
      </c>
      <c r="B2832" t="s">
        <v>4273</v>
      </c>
      <c r="C2832" t="s">
        <v>92</v>
      </c>
      <c r="D2832" t="s">
        <v>629</v>
      </c>
      <c r="E2832" t="s">
        <v>30</v>
      </c>
      <c r="F2832" t="s">
        <v>140</v>
      </c>
      <c r="G2832" t="s">
        <v>32</v>
      </c>
      <c r="H2832" t="s">
        <v>87</v>
      </c>
      <c r="I2832" s="1" t="s">
        <v>4275</v>
      </c>
      <c r="P2832" s="15">
        <v>1</v>
      </c>
      <c r="T2832" s="15">
        <v>1</v>
      </c>
    </row>
    <row r="2833" spans="1:25" ht="105" x14ac:dyDescent="0.25">
      <c r="A2833" t="s">
        <v>26</v>
      </c>
      <c r="B2833" t="s">
        <v>4273</v>
      </c>
      <c r="C2833" t="s">
        <v>73</v>
      </c>
      <c r="D2833" t="s">
        <v>678</v>
      </c>
      <c r="E2833" t="s">
        <v>30</v>
      </c>
      <c r="F2833" t="s">
        <v>40</v>
      </c>
      <c r="G2833" t="s">
        <v>32</v>
      </c>
      <c r="H2833" t="s">
        <v>87</v>
      </c>
      <c r="I2833" s="1" t="s">
        <v>4276</v>
      </c>
      <c r="Q2833" s="15">
        <v>1</v>
      </c>
      <c r="V2833" s="15">
        <v>1</v>
      </c>
    </row>
    <row r="2834" spans="1:25" ht="105" x14ac:dyDescent="0.25">
      <c r="A2834" t="s">
        <v>26</v>
      </c>
      <c r="B2834" t="s">
        <v>4273</v>
      </c>
      <c r="C2834" t="s">
        <v>249</v>
      </c>
      <c r="D2834" t="s">
        <v>1695</v>
      </c>
      <c r="E2834" t="s">
        <v>79</v>
      </c>
      <c r="F2834" t="s">
        <v>196</v>
      </c>
      <c r="G2834" t="s">
        <v>32</v>
      </c>
      <c r="H2834" t="s">
        <v>33</v>
      </c>
      <c r="I2834" s="1" t="s">
        <v>4277</v>
      </c>
      <c r="S2834" s="15">
        <v>1</v>
      </c>
      <c r="W2834" s="15">
        <v>1</v>
      </c>
    </row>
    <row r="2835" spans="1:25" ht="60" x14ac:dyDescent="0.25">
      <c r="A2835" t="s">
        <v>26</v>
      </c>
      <c r="B2835" t="s">
        <v>4273</v>
      </c>
      <c r="C2835" t="s">
        <v>240</v>
      </c>
      <c r="D2835" t="s">
        <v>703</v>
      </c>
      <c r="E2835" t="s">
        <v>30</v>
      </c>
      <c r="F2835" t="s">
        <v>161</v>
      </c>
      <c r="G2835" t="s">
        <v>81</v>
      </c>
      <c r="H2835" t="s">
        <v>87</v>
      </c>
      <c r="I2835" s="1" t="s">
        <v>4278</v>
      </c>
      <c r="P2835" s="15">
        <v>1</v>
      </c>
    </row>
    <row r="2836" spans="1:25" ht="60" x14ac:dyDescent="0.25">
      <c r="A2836" t="s">
        <v>26</v>
      </c>
      <c r="B2836" t="s">
        <v>4273</v>
      </c>
      <c r="C2836" t="s">
        <v>106</v>
      </c>
      <c r="D2836" t="s">
        <v>370</v>
      </c>
      <c r="E2836" t="s">
        <v>30</v>
      </c>
      <c r="F2836" t="s">
        <v>154</v>
      </c>
      <c r="G2836" t="s">
        <v>32</v>
      </c>
      <c r="H2836" t="s">
        <v>33</v>
      </c>
      <c r="I2836" s="1" t="s">
        <v>4279</v>
      </c>
      <c r="S2836" s="15">
        <v>1</v>
      </c>
    </row>
    <row r="2837" spans="1:25" ht="60" x14ac:dyDescent="0.25">
      <c r="A2837" t="s">
        <v>26</v>
      </c>
      <c r="B2837" t="s">
        <v>4273</v>
      </c>
      <c r="C2837" t="s">
        <v>92</v>
      </c>
      <c r="D2837" t="s">
        <v>111</v>
      </c>
      <c r="E2837" t="s">
        <v>30</v>
      </c>
      <c r="F2837" t="s">
        <v>182</v>
      </c>
      <c r="G2837" t="s">
        <v>69</v>
      </c>
      <c r="H2837" t="s">
        <v>33</v>
      </c>
      <c r="I2837" s="1" t="s">
        <v>4280</v>
      </c>
      <c r="W2837" s="15">
        <v>1</v>
      </c>
    </row>
    <row r="2838" spans="1:25" x14ac:dyDescent="0.25">
      <c r="A2838" t="s">
        <v>26</v>
      </c>
      <c r="B2838" t="s">
        <v>4273</v>
      </c>
      <c r="C2838" t="s">
        <v>96</v>
      </c>
      <c r="D2838" t="s">
        <v>195</v>
      </c>
      <c r="E2838" t="s">
        <v>30</v>
      </c>
      <c r="F2838" t="s">
        <v>154</v>
      </c>
      <c r="G2838" t="s">
        <v>69</v>
      </c>
      <c r="H2838" t="s">
        <v>33</v>
      </c>
      <c r="I2838" s="1" t="s">
        <v>4281</v>
      </c>
      <c r="Q2838" s="15">
        <v>1</v>
      </c>
    </row>
    <row r="2839" spans="1:25" ht="60" x14ac:dyDescent="0.25">
      <c r="A2839" t="s">
        <v>26</v>
      </c>
      <c r="B2839" t="s">
        <v>4273</v>
      </c>
      <c r="C2839" t="s">
        <v>38</v>
      </c>
      <c r="D2839" t="s">
        <v>4282</v>
      </c>
      <c r="E2839" t="s">
        <v>30</v>
      </c>
      <c r="F2839" t="s">
        <v>136</v>
      </c>
      <c r="G2839" t="s">
        <v>32</v>
      </c>
      <c r="H2839" t="s">
        <v>33</v>
      </c>
      <c r="I2839" s="1" t="s">
        <v>4283</v>
      </c>
      <c r="S2839" s="15">
        <v>1</v>
      </c>
    </row>
    <row r="2840" spans="1:25" ht="45" x14ac:dyDescent="0.25">
      <c r="A2840" t="s">
        <v>26</v>
      </c>
      <c r="B2840" t="s">
        <v>4273</v>
      </c>
      <c r="C2840" t="s">
        <v>38</v>
      </c>
      <c r="D2840" t="s">
        <v>718</v>
      </c>
      <c r="E2840" t="s">
        <v>30</v>
      </c>
      <c r="F2840" t="s">
        <v>280</v>
      </c>
      <c r="G2840" t="s">
        <v>32</v>
      </c>
      <c r="H2840" t="s">
        <v>173</v>
      </c>
      <c r="I2840" s="1" t="s">
        <v>4284</v>
      </c>
      <c r="P2840" s="15">
        <v>1</v>
      </c>
    </row>
    <row r="2841" spans="1:25" ht="30" x14ac:dyDescent="0.25">
      <c r="A2841" t="s">
        <v>26</v>
      </c>
      <c r="B2841" t="s">
        <v>4273</v>
      </c>
      <c r="C2841" t="s">
        <v>240</v>
      </c>
      <c r="D2841" t="s">
        <v>882</v>
      </c>
      <c r="E2841" t="s">
        <v>30</v>
      </c>
      <c r="F2841" t="s">
        <v>205</v>
      </c>
      <c r="G2841" t="s">
        <v>69</v>
      </c>
      <c r="H2841" t="s">
        <v>33</v>
      </c>
      <c r="I2841" s="1" t="s">
        <v>4285</v>
      </c>
      <c r="S2841" s="15">
        <v>1</v>
      </c>
    </row>
    <row r="2842" spans="1:25" ht="30" x14ac:dyDescent="0.25">
      <c r="A2842" t="s">
        <v>26</v>
      </c>
      <c r="B2842" t="s">
        <v>4273</v>
      </c>
      <c r="C2842" t="s">
        <v>180</v>
      </c>
      <c r="D2842" t="s">
        <v>439</v>
      </c>
      <c r="E2842" t="s">
        <v>30</v>
      </c>
      <c r="F2842" t="s">
        <v>61</v>
      </c>
      <c r="G2842" t="s">
        <v>69</v>
      </c>
      <c r="H2842" t="s">
        <v>33</v>
      </c>
      <c r="I2842" s="1" t="s">
        <v>4286</v>
      </c>
      <c r="O2842" s="15">
        <v>1</v>
      </c>
      <c r="W2842" s="15">
        <v>1</v>
      </c>
    </row>
    <row r="2843" spans="1:25" ht="105" x14ac:dyDescent="0.25">
      <c r="A2843" t="s">
        <v>26</v>
      </c>
      <c r="B2843" t="s">
        <v>4273</v>
      </c>
      <c r="C2843" t="s">
        <v>32</v>
      </c>
      <c r="D2843" t="s">
        <v>1116</v>
      </c>
      <c r="E2843" t="s">
        <v>30</v>
      </c>
      <c r="F2843" t="s">
        <v>389</v>
      </c>
      <c r="G2843" t="s">
        <v>32</v>
      </c>
      <c r="H2843" t="s">
        <v>87</v>
      </c>
      <c r="I2843" s="1" t="s">
        <v>4287</v>
      </c>
      <c r="N2843" s="15">
        <v>1</v>
      </c>
    </row>
    <row r="2844" spans="1:25" ht="105" x14ac:dyDescent="0.25">
      <c r="A2844" t="s">
        <v>26</v>
      </c>
      <c r="B2844" t="s">
        <v>4273</v>
      </c>
      <c r="C2844" t="s">
        <v>69</v>
      </c>
      <c r="D2844" t="s">
        <v>283</v>
      </c>
      <c r="E2844" t="s">
        <v>30</v>
      </c>
      <c r="F2844" t="s">
        <v>287</v>
      </c>
      <c r="G2844" t="s">
        <v>32</v>
      </c>
      <c r="H2844" t="s">
        <v>33</v>
      </c>
      <c r="I2844" s="1" t="s">
        <v>4288</v>
      </c>
      <c r="S2844" s="15">
        <v>1</v>
      </c>
    </row>
    <row r="2845" spans="1:25" ht="75" x14ac:dyDescent="0.25">
      <c r="A2845" t="s">
        <v>26</v>
      </c>
      <c r="B2845" t="s">
        <v>4273</v>
      </c>
      <c r="C2845" t="s">
        <v>96</v>
      </c>
      <c r="D2845" t="s">
        <v>97</v>
      </c>
      <c r="E2845" t="s">
        <v>30</v>
      </c>
      <c r="F2845" t="s">
        <v>294</v>
      </c>
      <c r="G2845" t="s">
        <v>81</v>
      </c>
      <c r="H2845" t="s">
        <v>87</v>
      </c>
      <c r="I2845" s="1" t="s">
        <v>4289</v>
      </c>
      <c r="T2845" s="15">
        <v>1</v>
      </c>
    </row>
    <row r="2846" spans="1:25" ht="105" x14ac:dyDescent="0.25">
      <c r="A2846" t="s">
        <v>26</v>
      </c>
      <c r="B2846" t="s">
        <v>4273</v>
      </c>
      <c r="C2846" t="s">
        <v>28</v>
      </c>
      <c r="D2846" t="s">
        <v>715</v>
      </c>
      <c r="E2846" t="s">
        <v>30</v>
      </c>
      <c r="F2846" t="s">
        <v>1103</v>
      </c>
      <c r="G2846" t="s">
        <v>32</v>
      </c>
      <c r="H2846" t="s">
        <v>33</v>
      </c>
      <c r="I2846" s="1" t="s">
        <v>4290</v>
      </c>
      <c r="O2846" s="15">
        <v>1</v>
      </c>
      <c r="S2846" s="15">
        <v>1</v>
      </c>
    </row>
    <row r="2847" spans="1:25" ht="135" x14ac:dyDescent="0.25">
      <c r="A2847" t="s">
        <v>26</v>
      </c>
      <c r="B2847" t="s">
        <v>4273</v>
      </c>
      <c r="C2847" t="s">
        <v>44</v>
      </c>
      <c r="D2847" t="s">
        <v>165</v>
      </c>
      <c r="E2847" t="s">
        <v>79</v>
      </c>
      <c r="F2847" t="s">
        <v>40</v>
      </c>
      <c r="G2847" t="s">
        <v>81</v>
      </c>
      <c r="H2847" t="s">
        <v>87</v>
      </c>
      <c r="I2847" s="1" t="s">
        <v>4291</v>
      </c>
      <c r="P2847" s="15">
        <v>1</v>
      </c>
    </row>
    <row r="2848" spans="1:25" ht="60" x14ac:dyDescent="0.25">
      <c r="A2848" t="s">
        <v>26</v>
      </c>
      <c r="B2848" t="s">
        <v>4273</v>
      </c>
      <c r="C2848" t="s">
        <v>85</v>
      </c>
      <c r="D2848" t="s">
        <v>4292</v>
      </c>
      <c r="E2848" t="s">
        <v>30</v>
      </c>
      <c r="F2848" t="s">
        <v>94</v>
      </c>
      <c r="G2848" t="s">
        <v>32</v>
      </c>
      <c r="H2848" t="s">
        <v>87</v>
      </c>
      <c r="I2848" s="1" t="s">
        <v>4293</v>
      </c>
      <c r="R2848" s="15">
        <v>1</v>
      </c>
      <c r="Y2848">
        <v>1</v>
      </c>
    </row>
    <row r="2849" spans="1:25" ht="60" x14ac:dyDescent="0.25">
      <c r="A2849" t="s">
        <v>26</v>
      </c>
      <c r="B2849" t="s">
        <v>4273</v>
      </c>
      <c r="C2849" t="s">
        <v>96</v>
      </c>
      <c r="D2849" t="s">
        <v>1152</v>
      </c>
      <c r="E2849" t="s">
        <v>30</v>
      </c>
      <c r="F2849" t="s">
        <v>130</v>
      </c>
      <c r="G2849" t="s">
        <v>69</v>
      </c>
      <c r="H2849" t="s">
        <v>173</v>
      </c>
      <c r="I2849" s="1" t="s">
        <v>4294</v>
      </c>
      <c r="Q2849" s="15">
        <v>1</v>
      </c>
    </row>
    <row r="2850" spans="1:25" ht="45" x14ac:dyDescent="0.25">
      <c r="A2850" t="s">
        <v>26</v>
      </c>
      <c r="B2850" t="s">
        <v>4273</v>
      </c>
      <c r="C2850" t="s">
        <v>55</v>
      </c>
      <c r="D2850" t="s">
        <v>878</v>
      </c>
      <c r="E2850" t="s">
        <v>30</v>
      </c>
      <c r="F2850" t="s">
        <v>1926</v>
      </c>
      <c r="G2850" t="s">
        <v>32</v>
      </c>
      <c r="H2850" t="s">
        <v>33</v>
      </c>
      <c r="I2850" s="1" t="s">
        <v>4295</v>
      </c>
      <c r="O2850" s="15">
        <v>1</v>
      </c>
      <c r="S2850" s="15">
        <v>1</v>
      </c>
      <c r="X2850" s="15">
        <v>1</v>
      </c>
    </row>
    <row r="2851" spans="1:25" ht="105" x14ac:dyDescent="0.25">
      <c r="A2851" t="s">
        <v>26</v>
      </c>
      <c r="B2851" t="s">
        <v>4273</v>
      </c>
      <c r="C2851" t="s">
        <v>44</v>
      </c>
      <c r="D2851" t="s">
        <v>45</v>
      </c>
      <c r="E2851" t="s">
        <v>30</v>
      </c>
      <c r="F2851" t="s">
        <v>205</v>
      </c>
      <c r="G2851" t="s">
        <v>81</v>
      </c>
      <c r="H2851" t="s">
        <v>87</v>
      </c>
      <c r="I2851" s="1" t="s">
        <v>4296</v>
      </c>
      <c r="S2851" s="15">
        <v>1</v>
      </c>
      <c r="T2851" s="15">
        <v>1</v>
      </c>
      <c r="W2851" s="15">
        <v>1</v>
      </c>
    </row>
    <row r="2852" spans="1:25" ht="75" x14ac:dyDescent="0.25">
      <c r="A2852" t="s">
        <v>26</v>
      </c>
      <c r="B2852" t="s">
        <v>4273</v>
      </c>
      <c r="C2852" t="s">
        <v>85</v>
      </c>
      <c r="D2852" t="s">
        <v>984</v>
      </c>
      <c r="E2852" t="s">
        <v>30</v>
      </c>
      <c r="F2852" t="s">
        <v>294</v>
      </c>
      <c r="G2852" t="s">
        <v>32</v>
      </c>
      <c r="H2852" t="s">
        <v>33</v>
      </c>
      <c r="I2852" s="1" t="s">
        <v>4297</v>
      </c>
      <c r="S2852" s="15">
        <v>1</v>
      </c>
      <c r="W2852" s="15">
        <v>1</v>
      </c>
    </row>
    <row r="2853" spans="1:25" ht="45" x14ac:dyDescent="0.25">
      <c r="A2853" t="s">
        <v>26</v>
      </c>
      <c r="B2853" t="s">
        <v>4273</v>
      </c>
      <c r="C2853" t="s">
        <v>38</v>
      </c>
      <c r="D2853" t="s">
        <v>1305</v>
      </c>
      <c r="E2853" t="s">
        <v>30</v>
      </c>
      <c r="F2853" t="s">
        <v>561</v>
      </c>
      <c r="G2853" t="s">
        <v>32</v>
      </c>
      <c r="H2853" t="s">
        <v>33</v>
      </c>
      <c r="I2853" s="1" t="s">
        <v>4298</v>
      </c>
      <c r="W2853" s="15">
        <v>1</v>
      </c>
    </row>
    <row r="2854" spans="1:25" ht="90" x14ac:dyDescent="0.25">
      <c r="A2854" t="s">
        <v>91</v>
      </c>
      <c r="B2854" t="s">
        <v>4273</v>
      </c>
      <c r="C2854" t="s">
        <v>73</v>
      </c>
      <c r="D2854" t="s">
        <v>157</v>
      </c>
      <c r="E2854" t="s">
        <v>79</v>
      </c>
      <c r="F2854" t="s">
        <v>520</v>
      </c>
      <c r="G2854" t="s">
        <v>81</v>
      </c>
      <c r="H2854" t="s">
        <v>173</v>
      </c>
      <c r="I2854" s="1" t="s">
        <v>4299</v>
      </c>
      <c r="W2854" s="15">
        <v>1</v>
      </c>
      <c r="Y2854">
        <v>1</v>
      </c>
    </row>
    <row r="2855" spans="1:25" ht="30" x14ac:dyDescent="0.25">
      <c r="A2855" t="s">
        <v>26</v>
      </c>
      <c r="B2855" t="s">
        <v>4273</v>
      </c>
      <c r="C2855" t="s">
        <v>44</v>
      </c>
      <c r="D2855" t="s">
        <v>1987</v>
      </c>
      <c r="E2855" t="s">
        <v>30</v>
      </c>
      <c r="F2855" t="s">
        <v>246</v>
      </c>
      <c r="G2855" t="s">
        <v>32</v>
      </c>
      <c r="H2855" t="s">
        <v>87</v>
      </c>
      <c r="I2855" s="1" t="s">
        <v>4300</v>
      </c>
      <c r="Q2855" s="15">
        <v>1</v>
      </c>
      <c r="V2855" s="15">
        <v>1</v>
      </c>
    </row>
    <row r="2856" spans="1:25" ht="75" x14ac:dyDescent="0.25">
      <c r="A2856" t="s">
        <v>49</v>
      </c>
      <c r="B2856" t="s">
        <v>4273</v>
      </c>
      <c r="C2856" t="s">
        <v>240</v>
      </c>
      <c r="D2856" t="s">
        <v>1404</v>
      </c>
      <c r="E2856" t="s">
        <v>30</v>
      </c>
      <c r="F2856" t="s">
        <v>61</v>
      </c>
      <c r="G2856" t="s">
        <v>32</v>
      </c>
      <c r="H2856" t="s">
        <v>173</v>
      </c>
      <c r="I2856" s="1" t="s">
        <v>4301</v>
      </c>
      <c r="R2856" s="15">
        <v>1</v>
      </c>
    </row>
    <row r="2857" spans="1:25" ht="105" x14ac:dyDescent="0.25">
      <c r="A2857" t="s">
        <v>26</v>
      </c>
      <c r="B2857" t="s">
        <v>4273</v>
      </c>
      <c r="C2857" t="s">
        <v>180</v>
      </c>
      <c r="D2857" t="s">
        <v>893</v>
      </c>
      <c r="E2857" t="s">
        <v>30</v>
      </c>
      <c r="F2857" t="s">
        <v>602</v>
      </c>
      <c r="G2857" t="s">
        <v>69</v>
      </c>
      <c r="H2857" t="s">
        <v>87</v>
      </c>
      <c r="I2857" s="1" t="s">
        <v>4302</v>
      </c>
      <c r="V2857" s="15">
        <v>1</v>
      </c>
    </row>
    <row r="2858" spans="1:25" ht="30" x14ac:dyDescent="0.25">
      <c r="A2858" t="s">
        <v>91</v>
      </c>
      <c r="B2858" t="s">
        <v>4273</v>
      </c>
      <c r="C2858" t="s">
        <v>472</v>
      </c>
      <c r="D2858" t="s">
        <v>1301</v>
      </c>
      <c r="E2858" t="s">
        <v>30</v>
      </c>
      <c r="F2858" t="s">
        <v>216</v>
      </c>
      <c r="G2858" t="s">
        <v>69</v>
      </c>
      <c r="H2858" t="s">
        <v>87</v>
      </c>
      <c r="I2858" s="1" t="s">
        <v>4303</v>
      </c>
      <c r="Y2858">
        <v>1</v>
      </c>
    </row>
    <row r="2859" spans="1:25" ht="90" x14ac:dyDescent="0.25">
      <c r="A2859" t="s">
        <v>49</v>
      </c>
      <c r="B2859" t="s">
        <v>4273</v>
      </c>
      <c r="C2859" t="s">
        <v>240</v>
      </c>
      <c r="D2859" t="s">
        <v>1404</v>
      </c>
      <c r="E2859" t="s">
        <v>30</v>
      </c>
      <c r="F2859" t="s">
        <v>307</v>
      </c>
      <c r="G2859" t="s">
        <v>32</v>
      </c>
      <c r="H2859" t="s">
        <v>33</v>
      </c>
      <c r="I2859" s="1" t="s">
        <v>4304</v>
      </c>
      <c r="S2859" s="15">
        <v>1</v>
      </c>
    </row>
    <row r="2860" spans="1:25" ht="60" x14ac:dyDescent="0.25">
      <c r="A2860" t="s">
        <v>49</v>
      </c>
      <c r="B2860" t="s">
        <v>4273</v>
      </c>
      <c r="C2860" t="s">
        <v>69</v>
      </c>
      <c r="D2860" t="s">
        <v>4305</v>
      </c>
      <c r="E2860" t="s">
        <v>30</v>
      </c>
      <c r="F2860" t="s">
        <v>189</v>
      </c>
      <c r="G2860" t="s">
        <v>32</v>
      </c>
      <c r="H2860" t="s">
        <v>33</v>
      </c>
      <c r="I2860" s="1" t="s">
        <v>4306</v>
      </c>
      <c r="O2860" s="15">
        <v>1</v>
      </c>
      <c r="X2860" s="15">
        <v>1</v>
      </c>
    </row>
    <row r="2861" spans="1:25" ht="60" x14ac:dyDescent="0.25">
      <c r="A2861" t="s">
        <v>26</v>
      </c>
      <c r="B2861" t="s">
        <v>4273</v>
      </c>
      <c r="C2861" t="s">
        <v>28</v>
      </c>
      <c r="D2861" t="s">
        <v>388</v>
      </c>
      <c r="E2861" t="s">
        <v>30</v>
      </c>
      <c r="F2861" t="s">
        <v>40</v>
      </c>
      <c r="G2861" t="s">
        <v>81</v>
      </c>
      <c r="H2861" t="s">
        <v>87</v>
      </c>
      <c r="I2861" s="1" t="s">
        <v>4307</v>
      </c>
      <c r="Y2861">
        <v>1</v>
      </c>
    </row>
    <row r="2862" spans="1:25" ht="75" x14ac:dyDescent="0.25">
      <c r="A2862" t="s">
        <v>59</v>
      </c>
      <c r="B2862" t="s">
        <v>4273</v>
      </c>
      <c r="C2862" t="s">
        <v>240</v>
      </c>
      <c r="D2862" t="s">
        <v>882</v>
      </c>
      <c r="E2862" t="s">
        <v>30</v>
      </c>
      <c r="F2862" t="s">
        <v>61</v>
      </c>
      <c r="G2862" t="s">
        <v>69</v>
      </c>
      <c r="H2862" t="s">
        <v>33</v>
      </c>
      <c r="I2862" s="1" t="s">
        <v>4308</v>
      </c>
      <c r="Q2862" s="15">
        <v>1</v>
      </c>
      <c r="T2862" s="15">
        <v>1</v>
      </c>
    </row>
    <row r="2863" spans="1:25" ht="75" x14ac:dyDescent="0.25">
      <c r="A2863" t="s">
        <v>49</v>
      </c>
      <c r="B2863" t="s">
        <v>4273</v>
      </c>
      <c r="C2863" t="s">
        <v>85</v>
      </c>
      <c r="D2863" t="s">
        <v>1230</v>
      </c>
      <c r="E2863" t="s">
        <v>30</v>
      </c>
      <c r="F2863" t="s">
        <v>1103</v>
      </c>
      <c r="G2863" t="s">
        <v>32</v>
      </c>
      <c r="H2863" t="s">
        <v>87</v>
      </c>
      <c r="I2863" s="1" t="s">
        <v>4309</v>
      </c>
      <c r="P2863" s="15">
        <v>1</v>
      </c>
      <c r="R2863" s="15">
        <v>1</v>
      </c>
    </row>
    <row r="2864" spans="1:25" ht="60" x14ac:dyDescent="0.25">
      <c r="A2864" t="s">
        <v>49</v>
      </c>
      <c r="B2864" t="s">
        <v>4273</v>
      </c>
      <c r="C2864" t="s">
        <v>32</v>
      </c>
      <c r="D2864" t="s">
        <v>1116</v>
      </c>
      <c r="E2864" t="s">
        <v>30</v>
      </c>
      <c r="F2864" t="s">
        <v>108</v>
      </c>
      <c r="G2864" t="s">
        <v>69</v>
      </c>
      <c r="H2864" t="s">
        <v>33</v>
      </c>
      <c r="I2864" s="1" t="s">
        <v>4310</v>
      </c>
      <c r="O2864" s="15">
        <v>1</v>
      </c>
    </row>
    <row r="2865" spans="1:25" ht="120" x14ac:dyDescent="0.25">
      <c r="A2865" t="s">
        <v>49</v>
      </c>
      <c r="B2865" t="s">
        <v>4273</v>
      </c>
      <c r="C2865" t="s">
        <v>235</v>
      </c>
      <c r="D2865" t="s">
        <v>1002</v>
      </c>
      <c r="E2865" t="s">
        <v>30</v>
      </c>
      <c r="F2865" t="s">
        <v>543</v>
      </c>
      <c r="G2865" t="s">
        <v>81</v>
      </c>
      <c r="H2865" t="s">
        <v>87</v>
      </c>
      <c r="I2865" s="1" t="s">
        <v>4311</v>
      </c>
      <c r="Q2865" s="15">
        <v>1</v>
      </c>
      <c r="V2865" s="15">
        <v>1</v>
      </c>
      <c r="W2865" s="15">
        <v>1</v>
      </c>
    </row>
    <row r="2866" spans="1:25" ht="90" x14ac:dyDescent="0.25">
      <c r="A2866" t="s">
        <v>37</v>
      </c>
      <c r="B2866" t="s">
        <v>4273</v>
      </c>
      <c r="C2866" t="s">
        <v>106</v>
      </c>
      <c r="D2866" t="s">
        <v>779</v>
      </c>
      <c r="E2866" t="s">
        <v>30</v>
      </c>
      <c r="F2866" t="s">
        <v>1103</v>
      </c>
      <c r="G2866" t="s">
        <v>69</v>
      </c>
      <c r="H2866" t="s">
        <v>33</v>
      </c>
      <c r="I2866" s="1" t="s">
        <v>4312</v>
      </c>
      <c r="W2866" s="15">
        <v>1</v>
      </c>
      <c r="Y2866">
        <v>1</v>
      </c>
    </row>
    <row r="2867" spans="1:25" ht="45" x14ac:dyDescent="0.25">
      <c r="A2867" t="s">
        <v>49</v>
      </c>
      <c r="B2867" t="s">
        <v>4273</v>
      </c>
      <c r="C2867" t="s">
        <v>28</v>
      </c>
      <c r="D2867" t="s">
        <v>715</v>
      </c>
      <c r="E2867" t="s">
        <v>30</v>
      </c>
      <c r="F2867" t="s">
        <v>290</v>
      </c>
      <c r="G2867" t="s">
        <v>32</v>
      </c>
      <c r="H2867" t="s">
        <v>33</v>
      </c>
      <c r="I2867" s="1" t="s">
        <v>4313</v>
      </c>
      <c r="S2867" s="15">
        <v>1</v>
      </c>
    </row>
    <row r="2868" spans="1:25" ht="45" x14ac:dyDescent="0.25">
      <c r="A2868" t="s">
        <v>37</v>
      </c>
      <c r="B2868" t="s">
        <v>4273</v>
      </c>
      <c r="C2868" t="s">
        <v>240</v>
      </c>
      <c r="D2868" t="s">
        <v>4314</v>
      </c>
      <c r="E2868" t="s">
        <v>30</v>
      </c>
      <c r="F2868" t="s">
        <v>31</v>
      </c>
      <c r="G2868" t="s">
        <v>32</v>
      </c>
      <c r="H2868" t="s">
        <v>33</v>
      </c>
      <c r="I2868" s="1" t="s">
        <v>4315</v>
      </c>
      <c r="Q2868" s="15">
        <v>1</v>
      </c>
      <c r="S2868" s="15">
        <v>1</v>
      </c>
    </row>
    <row r="2869" spans="1:25" ht="45" x14ac:dyDescent="0.25">
      <c r="A2869" t="s">
        <v>49</v>
      </c>
      <c r="B2869" t="s">
        <v>4273</v>
      </c>
      <c r="C2869" t="s">
        <v>28</v>
      </c>
      <c r="D2869" t="s">
        <v>1888</v>
      </c>
      <c r="E2869" t="s">
        <v>30</v>
      </c>
      <c r="F2869" t="s">
        <v>186</v>
      </c>
      <c r="G2869" t="s">
        <v>32</v>
      </c>
      <c r="H2869" t="s">
        <v>33</v>
      </c>
      <c r="I2869" s="1" t="s">
        <v>4316</v>
      </c>
      <c r="S2869" s="15">
        <v>1</v>
      </c>
    </row>
    <row r="2870" spans="1:25" ht="45" x14ac:dyDescent="0.25">
      <c r="A2870" t="s">
        <v>37</v>
      </c>
      <c r="B2870" t="s">
        <v>4273</v>
      </c>
      <c r="C2870" t="s">
        <v>96</v>
      </c>
      <c r="D2870" t="s">
        <v>1005</v>
      </c>
      <c r="E2870" t="s">
        <v>30</v>
      </c>
      <c r="F2870" t="s">
        <v>202</v>
      </c>
      <c r="G2870" t="s">
        <v>32</v>
      </c>
      <c r="H2870" t="s">
        <v>173</v>
      </c>
      <c r="I2870" s="1" t="s">
        <v>4317</v>
      </c>
      <c r="W2870" s="15">
        <v>1</v>
      </c>
    </row>
    <row r="2871" spans="1:25" ht="105" x14ac:dyDescent="0.25">
      <c r="A2871" t="s">
        <v>59</v>
      </c>
      <c r="B2871" t="s">
        <v>4273</v>
      </c>
      <c r="C2871" t="s">
        <v>28</v>
      </c>
      <c r="D2871" t="s">
        <v>946</v>
      </c>
      <c r="E2871" t="s">
        <v>30</v>
      </c>
      <c r="F2871" t="s">
        <v>205</v>
      </c>
      <c r="G2871" t="s">
        <v>32</v>
      </c>
      <c r="H2871" t="s">
        <v>33</v>
      </c>
      <c r="I2871" s="1" t="s">
        <v>4318</v>
      </c>
      <c r="W2871" s="15">
        <v>1</v>
      </c>
    </row>
    <row r="2872" spans="1:25" ht="75" x14ac:dyDescent="0.25">
      <c r="A2872" t="s">
        <v>37</v>
      </c>
      <c r="B2872" t="s">
        <v>4273</v>
      </c>
      <c r="C2872" t="s">
        <v>240</v>
      </c>
      <c r="D2872" t="s">
        <v>1787</v>
      </c>
      <c r="E2872" t="s">
        <v>30</v>
      </c>
      <c r="F2872" t="s">
        <v>1103</v>
      </c>
      <c r="G2872" t="s">
        <v>32</v>
      </c>
      <c r="H2872" t="s">
        <v>33</v>
      </c>
      <c r="I2872" s="1" t="s">
        <v>4319</v>
      </c>
      <c r="S2872" s="15">
        <v>1</v>
      </c>
    </row>
    <row r="2873" spans="1:25" ht="105" x14ac:dyDescent="0.25">
      <c r="A2873" t="s">
        <v>59</v>
      </c>
      <c r="B2873" t="s">
        <v>4273</v>
      </c>
      <c r="C2873" t="s">
        <v>73</v>
      </c>
      <c r="D2873" t="s">
        <v>678</v>
      </c>
      <c r="E2873" t="s">
        <v>79</v>
      </c>
      <c r="F2873" t="s">
        <v>40</v>
      </c>
      <c r="G2873" t="s">
        <v>32</v>
      </c>
      <c r="H2873" t="s">
        <v>33</v>
      </c>
      <c r="I2873" s="1" t="s">
        <v>4320</v>
      </c>
      <c r="S2873" s="15">
        <v>1</v>
      </c>
    </row>
    <row r="2874" spans="1:25" ht="60" x14ac:dyDescent="0.25">
      <c r="A2874" t="s">
        <v>37</v>
      </c>
      <c r="B2874" t="s">
        <v>4273</v>
      </c>
      <c r="C2874" t="s">
        <v>38</v>
      </c>
      <c r="D2874" t="s">
        <v>2954</v>
      </c>
      <c r="E2874" t="s">
        <v>30</v>
      </c>
      <c r="F2874" t="s">
        <v>140</v>
      </c>
      <c r="G2874" t="s">
        <v>69</v>
      </c>
      <c r="H2874" t="s">
        <v>87</v>
      </c>
      <c r="I2874" s="1" t="s">
        <v>4321</v>
      </c>
      <c r="P2874" s="15">
        <v>1</v>
      </c>
    </row>
    <row r="2875" spans="1:25" ht="60" x14ac:dyDescent="0.25">
      <c r="A2875" t="s">
        <v>37</v>
      </c>
      <c r="B2875" t="s">
        <v>4273</v>
      </c>
      <c r="C2875" t="s">
        <v>249</v>
      </c>
      <c r="D2875" t="s">
        <v>306</v>
      </c>
      <c r="E2875" t="s">
        <v>30</v>
      </c>
      <c r="F2875" t="s">
        <v>147</v>
      </c>
      <c r="G2875" t="s">
        <v>32</v>
      </c>
      <c r="H2875" t="s">
        <v>173</v>
      </c>
      <c r="I2875" s="1" t="s">
        <v>4322</v>
      </c>
      <c r="P2875" s="15">
        <v>1</v>
      </c>
    </row>
    <row r="2876" spans="1:25" ht="105" x14ac:dyDescent="0.25">
      <c r="A2876" t="s">
        <v>37</v>
      </c>
      <c r="B2876" t="s">
        <v>4273</v>
      </c>
      <c r="C2876" t="s">
        <v>235</v>
      </c>
      <c r="D2876" t="s">
        <v>3248</v>
      </c>
      <c r="E2876" t="s">
        <v>30</v>
      </c>
      <c r="F2876" t="s">
        <v>94</v>
      </c>
      <c r="G2876" t="s">
        <v>32</v>
      </c>
      <c r="H2876" t="s">
        <v>173</v>
      </c>
      <c r="I2876" s="1" t="s">
        <v>4323</v>
      </c>
      <c r="N2876" s="15">
        <v>1</v>
      </c>
    </row>
    <row r="2877" spans="1:25" ht="45" x14ac:dyDescent="0.25">
      <c r="A2877" t="s">
        <v>59</v>
      </c>
      <c r="B2877" t="s">
        <v>4273</v>
      </c>
      <c r="C2877" t="s">
        <v>28</v>
      </c>
      <c r="D2877" t="s">
        <v>751</v>
      </c>
      <c r="E2877" t="s">
        <v>30</v>
      </c>
      <c r="F2877" t="s">
        <v>102</v>
      </c>
      <c r="G2877" t="s">
        <v>32</v>
      </c>
      <c r="H2877" t="s">
        <v>87</v>
      </c>
      <c r="I2877" s="1" t="s">
        <v>4324</v>
      </c>
      <c r="T2877" s="15">
        <v>1</v>
      </c>
    </row>
    <row r="2878" spans="1:25" ht="105" x14ac:dyDescent="0.25">
      <c r="A2878" t="s">
        <v>37</v>
      </c>
      <c r="B2878" t="s">
        <v>4273</v>
      </c>
      <c r="C2878" t="s">
        <v>28</v>
      </c>
      <c r="D2878" t="s">
        <v>388</v>
      </c>
      <c r="E2878" t="s">
        <v>30</v>
      </c>
      <c r="F2878" t="s">
        <v>307</v>
      </c>
      <c r="G2878" t="s">
        <v>32</v>
      </c>
      <c r="H2878" t="s">
        <v>87</v>
      </c>
      <c r="I2878" s="1" t="s">
        <v>4325</v>
      </c>
      <c r="W2878" s="15">
        <v>1</v>
      </c>
    </row>
    <row r="2879" spans="1:25" ht="45" x14ac:dyDescent="0.25">
      <c r="A2879" t="s">
        <v>37</v>
      </c>
      <c r="B2879" t="s">
        <v>4273</v>
      </c>
      <c r="C2879" t="s">
        <v>240</v>
      </c>
      <c r="D2879" t="s">
        <v>267</v>
      </c>
      <c r="E2879" t="s">
        <v>30</v>
      </c>
      <c r="F2879" t="s">
        <v>112</v>
      </c>
      <c r="G2879" t="s">
        <v>69</v>
      </c>
      <c r="H2879" t="s">
        <v>173</v>
      </c>
      <c r="I2879" s="1" t="s">
        <v>4326</v>
      </c>
      <c r="Q2879" s="15">
        <v>1</v>
      </c>
    </row>
    <row r="2880" spans="1:25" ht="135" x14ac:dyDescent="0.25">
      <c r="A2880" t="s">
        <v>37</v>
      </c>
      <c r="B2880" t="s">
        <v>4273</v>
      </c>
      <c r="C2880" t="s">
        <v>50</v>
      </c>
      <c r="D2880" t="s">
        <v>60</v>
      </c>
      <c r="E2880" t="s">
        <v>30</v>
      </c>
      <c r="F2880" t="s">
        <v>126</v>
      </c>
      <c r="G2880" t="s">
        <v>32</v>
      </c>
      <c r="H2880" t="s">
        <v>33</v>
      </c>
      <c r="I2880" s="1" t="s">
        <v>4327</v>
      </c>
      <c r="S2880" s="15">
        <v>1</v>
      </c>
    </row>
    <row r="2881" spans="1:25" ht="45" x14ac:dyDescent="0.25">
      <c r="A2881" t="s">
        <v>37</v>
      </c>
      <c r="B2881" t="s">
        <v>4273</v>
      </c>
      <c r="C2881" t="s">
        <v>472</v>
      </c>
      <c r="D2881" t="s">
        <v>473</v>
      </c>
      <c r="E2881" t="s">
        <v>30</v>
      </c>
      <c r="F2881" t="s">
        <v>140</v>
      </c>
      <c r="G2881" t="s">
        <v>32</v>
      </c>
      <c r="H2881" t="s">
        <v>33</v>
      </c>
      <c r="I2881" s="1" t="s">
        <v>4328</v>
      </c>
      <c r="W2881" s="15">
        <v>1</v>
      </c>
    </row>
    <row r="2882" spans="1:25" ht="105" x14ac:dyDescent="0.25">
      <c r="A2882" t="s">
        <v>37</v>
      </c>
      <c r="B2882" t="s">
        <v>4273</v>
      </c>
      <c r="C2882" t="s">
        <v>28</v>
      </c>
      <c r="D2882" t="s">
        <v>129</v>
      </c>
      <c r="E2882" t="s">
        <v>30</v>
      </c>
      <c r="F2882" t="s">
        <v>112</v>
      </c>
      <c r="G2882" t="s">
        <v>32</v>
      </c>
      <c r="H2882" t="s">
        <v>33</v>
      </c>
      <c r="I2882" s="1" t="s">
        <v>4329</v>
      </c>
      <c r="S2882" s="15">
        <v>1</v>
      </c>
      <c r="W2882" s="15">
        <v>1</v>
      </c>
    </row>
    <row r="2883" spans="1:25" ht="120" x14ac:dyDescent="0.25">
      <c r="A2883" t="s">
        <v>37</v>
      </c>
      <c r="B2883" t="s">
        <v>4273</v>
      </c>
      <c r="C2883" t="s">
        <v>240</v>
      </c>
      <c r="D2883" t="s">
        <v>2279</v>
      </c>
      <c r="E2883" t="s">
        <v>30</v>
      </c>
      <c r="F2883" t="s">
        <v>216</v>
      </c>
      <c r="G2883" t="s">
        <v>81</v>
      </c>
      <c r="H2883" t="s">
        <v>87</v>
      </c>
      <c r="I2883" s="1" t="s">
        <v>4330</v>
      </c>
      <c r="Q2883" s="15">
        <v>1</v>
      </c>
      <c r="W2883" s="15">
        <v>1</v>
      </c>
    </row>
    <row r="2884" spans="1:25" ht="105" x14ac:dyDescent="0.25">
      <c r="A2884" t="s">
        <v>37</v>
      </c>
      <c r="B2884" t="s">
        <v>4273</v>
      </c>
      <c r="C2884" t="s">
        <v>69</v>
      </c>
      <c r="D2884" t="s">
        <v>297</v>
      </c>
      <c r="E2884" t="s">
        <v>30</v>
      </c>
      <c r="F2884" t="s">
        <v>61</v>
      </c>
      <c r="G2884" t="s">
        <v>69</v>
      </c>
      <c r="H2884" t="s">
        <v>87</v>
      </c>
      <c r="I2884" s="1" t="s">
        <v>4331</v>
      </c>
      <c r="W2884" s="15">
        <v>1</v>
      </c>
    </row>
    <row r="2885" spans="1:25" ht="60" x14ac:dyDescent="0.25">
      <c r="A2885" t="s">
        <v>64</v>
      </c>
      <c r="B2885" t="s">
        <v>4273</v>
      </c>
      <c r="C2885" t="s">
        <v>106</v>
      </c>
      <c r="D2885" t="s">
        <v>610</v>
      </c>
      <c r="E2885" t="s">
        <v>30</v>
      </c>
      <c r="F2885" t="s">
        <v>52</v>
      </c>
      <c r="G2885" t="s">
        <v>38</v>
      </c>
      <c r="H2885" t="s">
        <v>173</v>
      </c>
      <c r="I2885" s="1" t="s">
        <v>4332</v>
      </c>
      <c r="P2885" s="15">
        <v>1</v>
      </c>
    </row>
    <row r="2886" spans="1:25" ht="60" x14ac:dyDescent="0.25">
      <c r="A2886" t="s">
        <v>64</v>
      </c>
      <c r="B2886" t="s">
        <v>4273</v>
      </c>
      <c r="C2886" t="s">
        <v>235</v>
      </c>
      <c r="D2886" t="s">
        <v>4333</v>
      </c>
      <c r="E2886" t="s">
        <v>30</v>
      </c>
      <c r="F2886" t="s">
        <v>154</v>
      </c>
      <c r="G2886" t="s">
        <v>32</v>
      </c>
      <c r="H2886" t="s">
        <v>33</v>
      </c>
      <c r="I2886" s="1" t="s">
        <v>4334</v>
      </c>
      <c r="S2886" s="15">
        <v>1</v>
      </c>
      <c r="W2886" s="15">
        <v>1</v>
      </c>
    </row>
    <row r="2887" spans="1:25" ht="30" x14ac:dyDescent="0.25">
      <c r="A2887" t="s">
        <v>26</v>
      </c>
      <c r="B2887" t="s">
        <v>4335</v>
      </c>
      <c r="C2887" t="s">
        <v>73</v>
      </c>
      <c r="D2887" t="s">
        <v>157</v>
      </c>
      <c r="E2887" t="s">
        <v>30</v>
      </c>
      <c r="F2887" t="s">
        <v>94</v>
      </c>
      <c r="G2887" t="s">
        <v>32</v>
      </c>
      <c r="H2887" t="s">
        <v>87</v>
      </c>
      <c r="I2887" s="1" t="s">
        <v>4336</v>
      </c>
      <c r="R2887" s="15">
        <v>1</v>
      </c>
      <c r="Y2887">
        <v>1</v>
      </c>
    </row>
    <row r="2888" spans="1:25" ht="105" x14ac:dyDescent="0.25">
      <c r="A2888" t="s">
        <v>91</v>
      </c>
      <c r="B2888" t="s">
        <v>4335</v>
      </c>
      <c r="C2888" t="s">
        <v>240</v>
      </c>
      <c r="D2888" t="s">
        <v>267</v>
      </c>
      <c r="E2888" t="s">
        <v>30</v>
      </c>
      <c r="F2888" t="s">
        <v>492</v>
      </c>
      <c r="G2888" t="s">
        <v>69</v>
      </c>
      <c r="H2888" t="s">
        <v>33</v>
      </c>
      <c r="I2888" s="1" t="s">
        <v>4337</v>
      </c>
      <c r="P2888" s="15">
        <v>1</v>
      </c>
    </row>
    <row r="2889" spans="1:25" ht="90" x14ac:dyDescent="0.25">
      <c r="A2889" t="s">
        <v>26</v>
      </c>
      <c r="B2889" t="s">
        <v>4335</v>
      </c>
      <c r="C2889" t="s">
        <v>96</v>
      </c>
      <c r="D2889" t="s">
        <v>769</v>
      </c>
      <c r="E2889" t="s">
        <v>30</v>
      </c>
      <c r="F2889" t="s">
        <v>112</v>
      </c>
      <c r="G2889" t="s">
        <v>32</v>
      </c>
      <c r="H2889" t="s">
        <v>33</v>
      </c>
      <c r="I2889" s="1" t="s">
        <v>4338</v>
      </c>
      <c r="S2889" s="15">
        <v>1</v>
      </c>
    </row>
    <row r="2890" spans="1:25" ht="105" x14ac:dyDescent="0.25">
      <c r="A2890" t="s">
        <v>26</v>
      </c>
      <c r="B2890" t="s">
        <v>4335</v>
      </c>
      <c r="C2890" t="s">
        <v>249</v>
      </c>
      <c r="D2890" t="s">
        <v>401</v>
      </c>
      <c r="E2890" t="s">
        <v>30</v>
      </c>
      <c r="F2890" t="s">
        <v>40</v>
      </c>
      <c r="G2890" t="s">
        <v>69</v>
      </c>
      <c r="H2890" t="s">
        <v>87</v>
      </c>
      <c r="I2890" s="1" t="s">
        <v>4339</v>
      </c>
      <c r="P2890" s="15">
        <v>1</v>
      </c>
    </row>
    <row r="2891" spans="1:25" ht="105" x14ac:dyDescent="0.25">
      <c r="A2891" t="s">
        <v>37</v>
      </c>
      <c r="B2891" t="s">
        <v>4335</v>
      </c>
      <c r="C2891" t="s">
        <v>92</v>
      </c>
      <c r="D2891" t="s">
        <v>477</v>
      </c>
      <c r="E2891" t="s">
        <v>79</v>
      </c>
      <c r="F2891" t="s">
        <v>154</v>
      </c>
      <c r="G2891" t="s">
        <v>69</v>
      </c>
      <c r="H2891" t="s">
        <v>87</v>
      </c>
      <c r="I2891" s="1" t="s">
        <v>4340</v>
      </c>
      <c r="P2891" s="15">
        <v>1</v>
      </c>
      <c r="S2891" s="15">
        <v>1</v>
      </c>
      <c r="T2891" s="15">
        <v>1</v>
      </c>
    </row>
    <row r="2892" spans="1:25" ht="75" x14ac:dyDescent="0.25">
      <c r="A2892" t="s">
        <v>37</v>
      </c>
      <c r="B2892" t="s">
        <v>4335</v>
      </c>
      <c r="C2892" t="s">
        <v>50</v>
      </c>
      <c r="D2892" t="s">
        <v>122</v>
      </c>
      <c r="E2892" t="s">
        <v>30</v>
      </c>
      <c r="F2892" t="s">
        <v>98</v>
      </c>
      <c r="G2892" t="s">
        <v>32</v>
      </c>
      <c r="H2892" t="s">
        <v>173</v>
      </c>
      <c r="I2892" s="1" t="s">
        <v>4341</v>
      </c>
      <c r="N2892" s="15">
        <v>1</v>
      </c>
    </row>
    <row r="2893" spans="1:25" ht="45" x14ac:dyDescent="0.25">
      <c r="A2893" t="s">
        <v>37</v>
      </c>
      <c r="B2893" t="s">
        <v>4335</v>
      </c>
      <c r="C2893" t="s">
        <v>69</v>
      </c>
      <c r="D2893" t="s">
        <v>4342</v>
      </c>
      <c r="E2893" t="s">
        <v>30</v>
      </c>
      <c r="F2893" t="s">
        <v>719</v>
      </c>
      <c r="G2893" t="s">
        <v>32</v>
      </c>
      <c r="H2893" t="s">
        <v>33</v>
      </c>
      <c r="I2893" s="1" t="s">
        <v>4343</v>
      </c>
      <c r="S2893" s="15">
        <v>1</v>
      </c>
    </row>
    <row r="2894" spans="1:25" ht="105" x14ac:dyDescent="0.25">
      <c r="A2894" t="s">
        <v>64</v>
      </c>
      <c r="B2894" t="s">
        <v>4335</v>
      </c>
      <c r="C2894" t="s">
        <v>240</v>
      </c>
      <c r="D2894" t="s">
        <v>504</v>
      </c>
      <c r="E2894" t="s">
        <v>30</v>
      </c>
      <c r="F2894" t="s">
        <v>287</v>
      </c>
      <c r="G2894" t="s">
        <v>81</v>
      </c>
      <c r="H2894" t="s">
        <v>87</v>
      </c>
      <c r="I2894" s="1" t="s">
        <v>4344</v>
      </c>
      <c r="S2894" s="15">
        <v>1</v>
      </c>
    </row>
    <row r="2895" spans="1:25" ht="30" x14ac:dyDescent="0.25">
      <c r="A2895" t="s">
        <v>26</v>
      </c>
      <c r="B2895" t="s">
        <v>4345</v>
      </c>
      <c r="C2895" t="s">
        <v>92</v>
      </c>
      <c r="D2895" t="s">
        <v>3093</v>
      </c>
      <c r="E2895" t="s">
        <v>79</v>
      </c>
      <c r="F2895" t="s">
        <v>166</v>
      </c>
      <c r="G2895" t="s">
        <v>32</v>
      </c>
      <c r="H2895" t="s">
        <v>33</v>
      </c>
      <c r="I2895" s="1" t="s">
        <v>4346</v>
      </c>
      <c r="S2895" s="15">
        <v>1</v>
      </c>
      <c r="W2895" s="15">
        <v>1</v>
      </c>
    </row>
    <row r="2896" spans="1:25" ht="30" x14ac:dyDescent="0.25">
      <c r="A2896" t="s">
        <v>26</v>
      </c>
      <c r="B2896" t="s">
        <v>4345</v>
      </c>
      <c r="C2896" t="s">
        <v>73</v>
      </c>
      <c r="D2896" t="s">
        <v>1123</v>
      </c>
      <c r="E2896" t="s">
        <v>30</v>
      </c>
      <c r="F2896" t="s">
        <v>161</v>
      </c>
      <c r="G2896" t="s">
        <v>32</v>
      </c>
      <c r="H2896" t="s">
        <v>33</v>
      </c>
      <c r="I2896" s="1" t="s">
        <v>4347</v>
      </c>
      <c r="Q2896" s="15">
        <v>1</v>
      </c>
      <c r="S2896" s="15">
        <v>1</v>
      </c>
    </row>
    <row r="2897" spans="1:25" ht="75" x14ac:dyDescent="0.25">
      <c r="A2897" t="s">
        <v>26</v>
      </c>
      <c r="B2897" t="s">
        <v>4345</v>
      </c>
      <c r="C2897" t="s">
        <v>249</v>
      </c>
      <c r="D2897" t="s">
        <v>306</v>
      </c>
      <c r="E2897" t="s">
        <v>30</v>
      </c>
      <c r="F2897" t="s">
        <v>61</v>
      </c>
      <c r="G2897" t="s">
        <v>32</v>
      </c>
      <c r="H2897" t="s">
        <v>33</v>
      </c>
      <c r="I2897" s="1" t="s">
        <v>4348</v>
      </c>
      <c r="S2897" s="15">
        <v>1</v>
      </c>
    </row>
    <row r="2898" spans="1:25" x14ac:dyDescent="0.25">
      <c r="A2898" t="s">
        <v>26</v>
      </c>
      <c r="B2898" t="s">
        <v>4345</v>
      </c>
      <c r="C2898" t="s">
        <v>44</v>
      </c>
      <c r="D2898" t="s">
        <v>45</v>
      </c>
      <c r="E2898" t="s">
        <v>30</v>
      </c>
      <c r="F2898" t="s">
        <v>140</v>
      </c>
      <c r="G2898" t="s">
        <v>32</v>
      </c>
      <c r="H2898" t="s">
        <v>33</v>
      </c>
      <c r="I2898" s="1" t="s">
        <v>4349</v>
      </c>
      <c r="W2898" s="15">
        <v>1</v>
      </c>
    </row>
    <row r="2899" spans="1:25" ht="105" x14ac:dyDescent="0.25">
      <c r="A2899" t="s">
        <v>26</v>
      </c>
      <c r="B2899" t="s">
        <v>4345</v>
      </c>
      <c r="C2899" t="s">
        <v>55</v>
      </c>
      <c r="D2899" t="s">
        <v>4350</v>
      </c>
      <c r="E2899" t="s">
        <v>30</v>
      </c>
      <c r="F2899" t="s">
        <v>543</v>
      </c>
      <c r="G2899" t="s">
        <v>69</v>
      </c>
      <c r="H2899" t="s">
        <v>87</v>
      </c>
      <c r="I2899" s="1" t="s">
        <v>4351</v>
      </c>
      <c r="W2899" s="15">
        <v>1</v>
      </c>
    </row>
    <row r="2900" spans="1:25" ht="60" x14ac:dyDescent="0.25">
      <c r="A2900" t="s">
        <v>26</v>
      </c>
      <c r="B2900" t="s">
        <v>4345</v>
      </c>
      <c r="C2900" t="s">
        <v>44</v>
      </c>
      <c r="D2900" t="s">
        <v>215</v>
      </c>
      <c r="E2900" t="s">
        <v>30</v>
      </c>
      <c r="F2900" t="s">
        <v>216</v>
      </c>
      <c r="G2900" t="s">
        <v>32</v>
      </c>
      <c r="H2900" t="s">
        <v>173</v>
      </c>
      <c r="I2900" s="1" t="s">
        <v>4352</v>
      </c>
      <c r="N2900" s="15">
        <v>1</v>
      </c>
      <c r="Q2900" s="15">
        <v>1</v>
      </c>
    </row>
    <row r="2901" spans="1:25" ht="30" x14ac:dyDescent="0.25">
      <c r="A2901" t="s">
        <v>26</v>
      </c>
      <c r="B2901" t="s">
        <v>4345</v>
      </c>
      <c r="C2901" t="s">
        <v>249</v>
      </c>
      <c r="D2901" t="s">
        <v>355</v>
      </c>
      <c r="E2901" t="s">
        <v>30</v>
      </c>
      <c r="F2901" t="s">
        <v>189</v>
      </c>
      <c r="G2901" t="s">
        <v>32</v>
      </c>
      <c r="H2901" t="s">
        <v>33</v>
      </c>
      <c r="I2901" s="1" t="s">
        <v>4353</v>
      </c>
      <c r="S2901" s="15">
        <v>1</v>
      </c>
    </row>
    <row r="2902" spans="1:25" ht="120" x14ac:dyDescent="0.25">
      <c r="A2902" t="s">
        <v>26</v>
      </c>
      <c r="B2902" t="s">
        <v>4345</v>
      </c>
      <c r="C2902" t="s">
        <v>28</v>
      </c>
      <c r="D2902" t="s">
        <v>522</v>
      </c>
      <c r="E2902" t="s">
        <v>30</v>
      </c>
      <c r="F2902" t="s">
        <v>389</v>
      </c>
      <c r="G2902" t="s">
        <v>32</v>
      </c>
      <c r="H2902" t="s">
        <v>33</v>
      </c>
      <c r="I2902" s="1" t="s">
        <v>4354</v>
      </c>
      <c r="O2902" s="15">
        <v>1</v>
      </c>
      <c r="W2902" s="15">
        <v>1</v>
      </c>
    </row>
    <row r="2903" spans="1:25" ht="45" x14ac:dyDescent="0.25">
      <c r="A2903" t="s">
        <v>49</v>
      </c>
      <c r="B2903" t="s">
        <v>4345</v>
      </c>
      <c r="C2903" t="s">
        <v>32</v>
      </c>
      <c r="D2903" t="s">
        <v>4355</v>
      </c>
      <c r="E2903" t="s">
        <v>30</v>
      </c>
      <c r="F2903" t="s">
        <v>365</v>
      </c>
      <c r="G2903" t="s">
        <v>32</v>
      </c>
      <c r="H2903" t="s">
        <v>33</v>
      </c>
      <c r="I2903" s="1" t="s">
        <v>4356</v>
      </c>
      <c r="S2903" s="15">
        <v>1</v>
      </c>
    </row>
    <row r="2904" spans="1:25" ht="60" x14ac:dyDescent="0.25">
      <c r="A2904" t="s">
        <v>26</v>
      </c>
      <c r="B2904" t="s">
        <v>4345</v>
      </c>
      <c r="C2904" t="s">
        <v>44</v>
      </c>
      <c r="D2904" t="s">
        <v>502</v>
      </c>
      <c r="E2904" t="s">
        <v>30</v>
      </c>
      <c r="F2904" t="s">
        <v>246</v>
      </c>
      <c r="G2904" t="s">
        <v>38</v>
      </c>
      <c r="H2904" t="s">
        <v>87</v>
      </c>
      <c r="I2904" s="1" t="s">
        <v>4357</v>
      </c>
      <c r="Y2904">
        <v>1</v>
      </c>
    </row>
    <row r="2905" spans="1:25" ht="90" x14ac:dyDescent="0.25">
      <c r="A2905" t="s">
        <v>26</v>
      </c>
      <c r="B2905" t="s">
        <v>4345</v>
      </c>
      <c r="C2905" t="s">
        <v>73</v>
      </c>
      <c r="D2905" t="s">
        <v>157</v>
      </c>
      <c r="E2905" t="s">
        <v>30</v>
      </c>
      <c r="F2905" t="s">
        <v>287</v>
      </c>
      <c r="G2905" t="s">
        <v>69</v>
      </c>
      <c r="H2905" t="s">
        <v>33</v>
      </c>
      <c r="I2905" s="1" t="s">
        <v>4358</v>
      </c>
      <c r="S2905" s="15">
        <v>1</v>
      </c>
    </row>
    <row r="2906" spans="1:25" ht="90" x14ac:dyDescent="0.25">
      <c r="A2906" t="s">
        <v>26</v>
      </c>
      <c r="B2906" t="s">
        <v>4345</v>
      </c>
      <c r="C2906" t="s">
        <v>28</v>
      </c>
      <c r="D2906" t="s">
        <v>153</v>
      </c>
      <c r="E2906" t="s">
        <v>30</v>
      </c>
      <c r="F2906" t="s">
        <v>40</v>
      </c>
      <c r="G2906" t="s">
        <v>32</v>
      </c>
      <c r="H2906" t="s">
        <v>87</v>
      </c>
      <c r="I2906" s="1" t="s">
        <v>4359</v>
      </c>
      <c r="P2906" s="15">
        <v>1</v>
      </c>
      <c r="Q2906" s="15">
        <v>1</v>
      </c>
      <c r="Y2906">
        <v>1</v>
      </c>
    </row>
    <row r="2907" spans="1:25" ht="45" x14ac:dyDescent="0.25">
      <c r="A2907" t="s">
        <v>49</v>
      </c>
      <c r="B2907" t="s">
        <v>4345</v>
      </c>
      <c r="C2907" t="s">
        <v>28</v>
      </c>
      <c r="D2907" t="s">
        <v>528</v>
      </c>
      <c r="E2907" t="s">
        <v>30</v>
      </c>
      <c r="F2907" t="s">
        <v>205</v>
      </c>
      <c r="G2907" t="s">
        <v>32</v>
      </c>
      <c r="H2907" t="s">
        <v>87</v>
      </c>
      <c r="I2907" s="1" t="s">
        <v>4360</v>
      </c>
      <c r="N2907" s="15">
        <v>1</v>
      </c>
      <c r="R2907" s="15">
        <v>1</v>
      </c>
    </row>
    <row r="2908" spans="1:25" ht="105" x14ac:dyDescent="0.25">
      <c r="A2908" t="s">
        <v>49</v>
      </c>
      <c r="B2908" t="s">
        <v>4345</v>
      </c>
      <c r="C2908" t="s">
        <v>73</v>
      </c>
      <c r="D2908" t="s">
        <v>408</v>
      </c>
      <c r="E2908" t="s">
        <v>30</v>
      </c>
      <c r="F2908" t="s">
        <v>189</v>
      </c>
      <c r="G2908" t="s">
        <v>32</v>
      </c>
      <c r="H2908" t="s">
        <v>87</v>
      </c>
      <c r="I2908" s="1" t="s">
        <v>4361</v>
      </c>
      <c r="N2908" s="15">
        <v>1</v>
      </c>
      <c r="Y2908">
        <v>1</v>
      </c>
    </row>
    <row r="2909" spans="1:25" ht="30" x14ac:dyDescent="0.25">
      <c r="A2909" t="s">
        <v>26</v>
      </c>
      <c r="B2909" t="s">
        <v>4345</v>
      </c>
      <c r="C2909" t="s">
        <v>92</v>
      </c>
      <c r="D2909" t="s">
        <v>111</v>
      </c>
      <c r="E2909" t="s">
        <v>79</v>
      </c>
      <c r="F2909" t="s">
        <v>119</v>
      </c>
      <c r="G2909" t="s">
        <v>81</v>
      </c>
      <c r="H2909" t="s">
        <v>87</v>
      </c>
      <c r="I2909" s="1" t="s">
        <v>4362</v>
      </c>
      <c r="N2909" s="15">
        <v>1</v>
      </c>
      <c r="T2909" s="15">
        <v>1</v>
      </c>
    </row>
    <row r="2910" spans="1:25" ht="90" x14ac:dyDescent="0.25">
      <c r="A2910" t="s">
        <v>49</v>
      </c>
      <c r="B2910" t="s">
        <v>4345</v>
      </c>
      <c r="C2910" t="s">
        <v>28</v>
      </c>
      <c r="D2910" t="s">
        <v>763</v>
      </c>
      <c r="E2910" t="s">
        <v>30</v>
      </c>
      <c r="F2910" t="s">
        <v>417</v>
      </c>
      <c r="G2910" t="s">
        <v>69</v>
      </c>
      <c r="H2910" t="s">
        <v>33</v>
      </c>
      <c r="I2910" s="1" t="s">
        <v>4363</v>
      </c>
      <c r="V2910" s="15">
        <v>1</v>
      </c>
    </row>
    <row r="2911" spans="1:25" ht="75" x14ac:dyDescent="0.25">
      <c r="A2911" t="s">
        <v>37</v>
      </c>
      <c r="B2911" t="s">
        <v>4345</v>
      </c>
      <c r="C2911" t="s">
        <v>50</v>
      </c>
      <c r="D2911" t="s">
        <v>4364</v>
      </c>
      <c r="E2911" t="s">
        <v>30</v>
      </c>
      <c r="F2911" t="s">
        <v>223</v>
      </c>
      <c r="G2911" t="s">
        <v>81</v>
      </c>
      <c r="H2911" t="s">
        <v>87</v>
      </c>
      <c r="I2911" s="1" t="s">
        <v>4365</v>
      </c>
      <c r="S2911" s="15">
        <v>1</v>
      </c>
      <c r="T2911" s="15">
        <v>1</v>
      </c>
    </row>
    <row r="2912" spans="1:25" ht="105" x14ac:dyDescent="0.25">
      <c r="A2912" t="s">
        <v>49</v>
      </c>
      <c r="B2912" t="s">
        <v>4345</v>
      </c>
      <c r="C2912" t="s">
        <v>106</v>
      </c>
      <c r="D2912" t="s">
        <v>2018</v>
      </c>
      <c r="E2912" t="s">
        <v>30</v>
      </c>
      <c r="F2912" t="s">
        <v>280</v>
      </c>
      <c r="G2912" t="s">
        <v>81</v>
      </c>
      <c r="H2912" t="s">
        <v>87</v>
      </c>
      <c r="I2912" s="1" t="s">
        <v>4366</v>
      </c>
      <c r="W2912" s="15">
        <v>1</v>
      </c>
    </row>
    <row r="2913" spans="1:25" ht="105" x14ac:dyDescent="0.25">
      <c r="A2913" t="s">
        <v>26</v>
      </c>
      <c r="B2913" t="s">
        <v>4345</v>
      </c>
      <c r="C2913" t="s">
        <v>28</v>
      </c>
      <c r="D2913" t="s">
        <v>388</v>
      </c>
      <c r="E2913" t="s">
        <v>79</v>
      </c>
      <c r="F2913" t="s">
        <v>166</v>
      </c>
      <c r="G2913" t="s">
        <v>81</v>
      </c>
      <c r="H2913" t="s">
        <v>87</v>
      </c>
      <c r="I2913" s="1" t="s">
        <v>4367</v>
      </c>
      <c r="W2913" s="15">
        <v>1</v>
      </c>
    </row>
    <row r="2914" spans="1:25" ht="105" x14ac:dyDescent="0.25">
      <c r="A2914" t="s">
        <v>37</v>
      </c>
      <c r="B2914" t="s">
        <v>4345</v>
      </c>
      <c r="C2914" t="s">
        <v>73</v>
      </c>
      <c r="D2914" t="s">
        <v>1337</v>
      </c>
      <c r="E2914" t="s">
        <v>30</v>
      </c>
      <c r="F2914" t="s">
        <v>189</v>
      </c>
      <c r="G2914" t="s">
        <v>69</v>
      </c>
      <c r="H2914" t="s">
        <v>87</v>
      </c>
      <c r="I2914" s="1" t="s">
        <v>4368</v>
      </c>
      <c r="Y2914">
        <v>1</v>
      </c>
    </row>
    <row r="2915" spans="1:25" ht="75" x14ac:dyDescent="0.25">
      <c r="A2915" t="s">
        <v>37</v>
      </c>
      <c r="B2915" t="s">
        <v>4345</v>
      </c>
      <c r="C2915" t="s">
        <v>44</v>
      </c>
      <c r="D2915" t="s">
        <v>215</v>
      </c>
      <c r="E2915" t="s">
        <v>30</v>
      </c>
      <c r="F2915" t="s">
        <v>189</v>
      </c>
      <c r="G2915" t="s">
        <v>38</v>
      </c>
      <c r="H2915" t="s">
        <v>87</v>
      </c>
      <c r="I2915" s="1" t="s">
        <v>4369</v>
      </c>
      <c r="P2915" s="15">
        <v>1</v>
      </c>
      <c r="W2915" s="15">
        <v>1</v>
      </c>
    </row>
    <row r="2916" spans="1:25" ht="90" x14ac:dyDescent="0.25">
      <c r="A2916" t="s">
        <v>49</v>
      </c>
      <c r="B2916" t="s">
        <v>4345</v>
      </c>
      <c r="C2916" t="s">
        <v>28</v>
      </c>
      <c r="D2916" t="s">
        <v>1391</v>
      </c>
      <c r="E2916" t="s">
        <v>79</v>
      </c>
      <c r="F2916" t="s">
        <v>294</v>
      </c>
      <c r="G2916" t="s">
        <v>32</v>
      </c>
      <c r="H2916" t="s">
        <v>173</v>
      </c>
      <c r="I2916" s="1" t="s">
        <v>4370</v>
      </c>
      <c r="P2916" s="15">
        <v>1</v>
      </c>
      <c r="S2916" s="15">
        <v>1</v>
      </c>
    </row>
    <row r="2917" spans="1:25" ht="45" x14ac:dyDescent="0.25">
      <c r="A2917" t="s">
        <v>26</v>
      </c>
      <c r="B2917" t="s">
        <v>4345</v>
      </c>
      <c r="C2917" t="s">
        <v>28</v>
      </c>
      <c r="D2917" t="s">
        <v>946</v>
      </c>
      <c r="E2917" t="s">
        <v>30</v>
      </c>
      <c r="F2917" t="s">
        <v>112</v>
      </c>
      <c r="G2917" t="s">
        <v>32</v>
      </c>
      <c r="H2917" t="s">
        <v>173</v>
      </c>
      <c r="I2917" s="1" t="s">
        <v>4371</v>
      </c>
      <c r="W2917" s="15">
        <v>1</v>
      </c>
    </row>
    <row r="2918" spans="1:25" ht="30" x14ac:dyDescent="0.25">
      <c r="A2918" t="s">
        <v>37</v>
      </c>
      <c r="B2918" t="s">
        <v>4345</v>
      </c>
      <c r="C2918" t="s">
        <v>240</v>
      </c>
      <c r="D2918" t="s">
        <v>504</v>
      </c>
      <c r="E2918" t="s">
        <v>30</v>
      </c>
      <c r="F2918" t="s">
        <v>189</v>
      </c>
      <c r="G2918" t="s">
        <v>32</v>
      </c>
      <c r="H2918" t="s">
        <v>33</v>
      </c>
      <c r="I2918" s="1" t="s">
        <v>4372</v>
      </c>
      <c r="O2918" s="15">
        <v>1</v>
      </c>
      <c r="S2918" s="15">
        <v>1</v>
      </c>
    </row>
    <row r="2919" spans="1:25" ht="105" x14ac:dyDescent="0.25">
      <c r="A2919" t="s">
        <v>91</v>
      </c>
      <c r="B2919" t="s">
        <v>4345</v>
      </c>
      <c r="C2919" t="s">
        <v>235</v>
      </c>
      <c r="D2919" t="s">
        <v>1285</v>
      </c>
      <c r="E2919" t="s">
        <v>30</v>
      </c>
      <c r="F2919" t="s">
        <v>446</v>
      </c>
      <c r="G2919" t="s">
        <v>81</v>
      </c>
      <c r="H2919" t="s">
        <v>87</v>
      </c>
      <c r="I2919" s="1" t="s">
        <v>4373</v>
      </c>
      <c r="W2919" s="15">
        <v>1</v>
      </c>
    </row>
    <row r="2920" spans="1:25" ht="90" x14ac:dyDescent="0.25">
      <c r="A2920" t="s">
        <v>91</v>
      </c>
      <c r="B2920" t="s">
        <v>4345</v>
      </c>
      <c r="C2920" t="s">
        <v>50</v>
      </c>
      <c r="D2920" t="s">
        <v>1013</v>
      </c>
      <c r="E2920" t="s">
        <v>30</v>
      </c>
      <c r="F2920" t="s">
        <v>126</v>
      </c>
      <c r="G2920" t="s">
        <v>32</v>
      </c>
      <c r="H2920" t="s">
        <v>173</v>
      </c>
      <c r="I2920" s="1" t="s">
        <v>4374</v>
      </c>
      <c r="R2920" s="15">
        <v>1</v>
      </c>
    </row>
    <row r="2921" spans="1:25" ht="60" x14ac:dyDescent="0.25">
      <c r="A2921" t="s">
        <v>91</v>
      </c>
      <c r="B2921" t="s">
        <v>4345</v>
      </c>
      <c r="C2921" t="s">
        <v>44</v>
      </c>
      <c r="D2921" t="s">
        <v>622</v>
      </c>
      <c r="E2921" t="s">
        <v>79</v>
      </c>
      <c r="F2921" t="s">
        <v>543</v>
      </c>
      <c r="G2921" t="s">
        <v>81</v>
      </c>
      <c r="H2921" t="s">
        <v>173</v>
      </c>
      <c r="I2921" s="1" t="s">
        <v>4375</v>
      </c>
      <c r="R2921" s="15">
        <v>1</v>
      </c>
    </row>
    <row r="2922" spans="1:25" ht="120" x14ac:dyDescent="0.25">
      <c r="A2922" t="s">
        <v>37</v>
      </c>
      <c r="B2922" t="s">
        <v>4345</v>
      </c>
      <c r="C2922" t="s">
        <v>180</v>
      </c>
      <c r="D2922" t="s">
        <v>1331</v>
      </c>
      <c r="E2922" t="s">
        <v>30</v>
      </c>
      <c r="F2922" t="s">
        <v>205</v>
      </c>
      <c r="G2922" t="s">
        <v>69</v>
      </c>
      <c r="H2922" t="s">
        <v>87</v>
      </c>
      <c r="I2922" s="1" t="s">
        <v>4376</v>
      </c>
      <c r="N2922" s="15">
        <v>1</v>
      </c>
      <c r="V2922" s="15">
        <v>1</v>
      </c>
    </row>
    <row r="2923" spans="1:25" ht="105" x14ac:dyDescent="0.25">
      <c r="A2923" t="s">
        <v>37</v>
      </c>
      <c r="B2923" t="s">
        <v>4345</v>
      </c>
      <c r="C2923" t="s">
        <v>96</v>
      </c>
      <c r="D2923" t="s">
        <v>97</v>
      </c>
      <c r="E2923" t="s">
        <v>30</v>
      </c>
      <c r="F2923" t="s">
        <v>61</v>
      </c>
      <c r="G2923" t="s">
        <v>81</v>
      </c>
      <c r="H2923" t="s">
        <v>87</v>
      </c>
      <c r="I2923" s="1" t="s">
        <v>4377</v>
      </c>
      <c r="W2923" s="15">
        <v>1</v>
      </c>
    </row>
    <row r="2924" spans="1:25" ht="75" x14ac:dyDescent="0.25">
      <c r="A2924" t="s">
        <v>59</v>
      </c>
      <c r="B2924" t="s">
        <v>4345</v>
      </c>
      <c r="C2924" t="s">
        <v>472</v>
      </c>
      <c r="D2924" t="s">
        <v>473</v>
      </c>
      <c r="E2924" t="s">
        <v>30</v>
      </c>
      <c r="F2924" t="s">
        <v>108</v>
      </c>
      <c r="G2924" t="s">
        <v>81</v>
      </c>
      <c r="H2924" t="s">
        <v>87</v>
      </c>
      <c r="I2924" s="1" t="s">
        <v>4378</v>
      </c>
      <c r="V2924" s="15">
        <v>1</v>
      </c>
      <c r="W2924" s="15">
        <v>1</v>
      </c>
    </row>
    <row r="2925" spans="1:25" ht="60" x14ac:dyDescent="0.25">
      <c r="A2925" t="s">
        <v>37</v>
      </c>
      <c r="B2925" t="s">
        <v>4345</v>
      </c>
      <c r="C2925" t="s">
        <v>263</v>
      </c>
      <c r="D2925" t="s">
        <v>3880</v>
      </c>
      <c r="E2925" t="s">
        <v>30</v>
      </c>
      <c r="F2925" t="s">
        <v>786</v>
      </c>
      <c r="G2925" t="s">
        <v>69</v>
      </c>
      <c r="H2925" t="s">
        <v>173</v>
      </c>
      <c r="I2925" s="1" t="s">
        <v>4379</v>
      </c>
      <c r="T2925" s="15">
        <v>1</v>
      </c>
    </row>
    <row r="2926" spans="1:25" ht="105" x14ac:dyDescent="0.25">
      <c r="A2926" t="s">
        <v>37</v>
      </c>
      <c r="B2926" t="s">
        <v>4345</v>
      </c>
      <c r="C2926" t="s">
        <v>28</v>
      </c>
      <c r="D2926" t="s">
        <v>571</v>
      </c>
      <c r="E2926" t="s">
        <v>30</v>
      </c>
      <c r="F2926" t="s">
        <v>94</v>
      </c>
      <c r="G2926" t="s">
        <v>32</v>
      </c>
      <c r="H2926" t="s">
        <v>173</v>
      </c>
      <c r="I2926" s="1" t="s">
        <v>4380</v>
      </c>
      <c r="Q2926" s="15">
        <v>1</v>
      </c>
      <c r="V2926" s="15">
        <v>1</v>
      </c>
      <c r="W2926" s="15">
        <v>1</v>
      </c>
    </row>
    <row r="2927" spans="1:25" ht="60" x14ac:dyDescent="0.25">
      <c r="A2927" t="s">
        <v>26</v>
      </c>
      <c r="B2927" t="s">
        <v>3890</v>
      </c>
      <c r="C2927" t="s">
        <v>472</v>
      </c>
      <c r="D2927" t="s">
        <v>1668</v>
      </c>
      <c r="E2927" t="s">
        <v>30</v>
      </c>
      <c r="F2927" t="s">
        <v>587</v>
      </c>
      <c r="G2927" t="s">
        <v>32</v>
      </c>
      <c r="H2927" t="s">
        <v>173</v>
      </c>
      <c r="I2927" s="1" t="s">
        <v>4381</v>
      </c>
      <c r="Q2927" s="15">
        <v>1</v>
      </c>
      <c r="V2927" s="15">
        <v>1</v>
      </c>
    </row>
    <row r="2928" spans="1:25" ht="75" x14ac:dyDescent="0.25">
      <c r="A2928" t="s">
        <v>26</v>
      </c>
      <c r="B2928" t="s">
        <v>3890</v>
      </c>
      <c r="C2928" t="s">
        <v>240</v>
      </c>
      <c r="D2928" t="s">
        <v>4382</v>
      </c>
      <c r="E2928" t="s">
        <v>30</v>
      </c>
      <c r="F2928" t="s">
        <v>61</v>
      </c>
      <c r="G2928" t="s">
        <v>32</v>
      </c>
      <c r="H2928" t="s">
        <v>33</v>
      </c>
      <c r="I2928" s="1" t="s">
        <v>4383</v>
      </c>
      <c r="S2928" s="15">
        <v>1</v>
      </c>
    </row>
    <row r="2929" spans="1:24" ht="30" x14ac:dyDescent="0.25">
      <c r="A2929" t="s">
        <v>26</v>
      </c>
      <c r="B2929" t="s">
        <v>3890</v>
      </c>
      <c r="C2929" t="s">
        <v>50</v>
      </c>
      <c r="D2929" t="s">
        <v>817</v>
      </c>
      <c r="E2929" t="s">
        <v>79</v>
      </c>
      <c r="F2929" t="s">
        <v>161</v>
      </c>
      <c r="G2929" t="s">
        <v>32</v>
      </c>
      <c r="H2929" t="s">
        <v>33</v>
      </c>
      <c r="I2929" s="1" t="s">
        <v>4384</v>
      </c>
      <c r="S2929" s="15">
        <v>1</v>
      </c>
    </row>
    <row r="2930" spans="1:24" ht="30" x14ac:dyDescent="0.25">
      <c r="A2930" t="s">
        <v>26</v>
      </c>
      <c r="B2930" t="s">
        <v>3890</v>
      </c>
      <c r="C2930" t="s">
        <v>249</v>
      </c>
      <c r="D2930" t="s">
        <v>776</v>
      </c>
      <c r="E2930" t="s">
        <v>79</v>
      </c>
      <c r="F2930" t="s">
        <v>136</v>
      </c>
      <c r="G2930" t="s">
        <v>32</v>
      </c>
      <c r="H2930" t="s">
        <v>33</v>
      </c>
      <c r="I2930" s="1" t="s">
        <v>4385</v>
      </c>
      <c r="S2930" s="15">
        <v>1</v>
      </c>
    </row>
    <row r="2931" spans="1:24" ht="60" x14ac:dyDescent="0.25">
      <c r="A2931" t="s">
        <v>26</v>
      </c>
      <c r="B2931" t="s">
        <v>3890</v>
      </c>
      <c r="C2931" t="s">
        <v>180</v>
      </c>
      <c r="D2931" t="s">
        <v>1835</v>
      </c>
      <c r="E2931" t="s">
        <v>30</v>
      </c>
      <c r="F2931" t="s">
        <v>136</v>
      </c>
      <c r="G2931" t="s">
        <v>69</v>
      </c>
      <c r="H2931" t="s">
        <v>173</v>
      </c>
      <c r="I2931" s="1" t="s">
        <v>4386</v>
      </c>
      <c r="S2931" s="15">
        <v>1</v>
      </c>
      <c r="W2931" s="15">
        <v>1</v>
      </c>
    </row>
    <row r="2932" spans="1:24" ht="75" x14ac:dyDescent="0.25">
      <c r="A2932" t="s">
        <v>26</v>
      </c>
      <c r="B2932" t="s">
        <v>3890</v>
      </c>
      <c r="C2932" t="s">
        <v>69</v>
      </c>
      <c r="D2932" t="s">
        <v>297</v>
      </c>
      <c r="E2932" t="s">
        <v>30</v>
      </c>
      <c r="F2932" t="s">
        <v>205</v>
      </c>
      <c r="G2932" t="s">
        <v>32</v>
      </c>
      <c r="H2932" t="s">
        <v>33</v>
      </c>
      <c r="I2932" s="1" t="s">
        <v>4387</v>
      </c>
      <c r="S2932" s="15">
        <v>1</v>
      </c>
    </row>
    <row r="2933" spans="1:24" x14ac:dyDescent="0.25">
      <c r="A2933" t="s">
        <v>26</v>
      </c>
      <c r="B2933" t="s">
        <v>3890</v>
      </c>
      <c r="C2933" t="s">
        <v>69</v>
      </c>
      <c r="D2933" t="s">
        <v>664</v>
      </c>
      <c r="E2933" t="s">
        <v>79</v>
      </c>
      <c r="F2933" t="s">
        <v>46</v>
      </c>
      <c r="G2933" t="s">
        <v>32</v>
      </c>
      <c r="H2933" t="s">
        <v>33</v>
      </c>
      <c r="I2933" s="1" t="s">
        <v>4388</v>
      </c>
      <c r="O2933" s="15">
        <v>1</v>
      </c>
      <c r="S2933" s="15">
        <v>1</v>
      </c>
      <c r="X2933" s="15">
        <v>1</v>
      </c>
    </row>
    <row r="2934" spans="1:24" ht="60" x14ac:dyDescent="0.25">
      <c r="A2934" t="s">
        <v>26</v>
      </c>
      <c r="B2934" t="s">
        <v>3890</v>
      </c>
      <c r="C2934" t="s">
        <v>249</v>
      </c>
      <c r="D2934" t="s">
        <v>424</v>
      </c>
      <c r="E2934" t="s">
        <v>30</v>
      </c>
      <c r="F2934" t="s">
        <v>61</v>
      </c>
      <c r="G2934" t="s">
        <v>32</v>
      </c>
      <c r="H2934" t="s">
        <v>33</v>
      </c>
      <c r="I2934" s="1" t="s">
        <v>4389</v>
      </c>
      <c r="P2934" s="15">
        <v>1</v>
      </c>
      <c r="Q2934" s="15">
        <v>1</v>
      </c>
    </row>
    <row r="2935" spans="1:24" ht="30" x14ac:dyDescent="0.25">
      <c r="A2935" t="s">
        <v>26</v>
      </c>
      <c r="B2935" t="s">
        <v>3890</v>
      </c>
      <c r="C2935" t="s">
        <v>28</v>
      </c>
      <c r="D2935" t="s">
        <v>4390</v>
      </c>
      <c r="E2935" t="s">
        <v>30</v>
      </c>
      <c r="F2935" t="s">
        <v>154</v>
      </c>
      <c r="G2935" t="s">
        <v>69</v>
      </c>
      <c r="H2935" t="s">
        <v>87</v>
      </c>
      <c r="I2935" s="1" t="s">
        <v>4391</v>
      </c>
      <c r="P2935" s="15">
        <v>1</v>
      </c>
      <c r="Q2935" s="15">
        <v>1</v>
      </c>
    </row>
    <row r="2936" spans="1:24" ht="75" x14ac:dyDescent="0.25">
      <c r="A2936" t="s">
        <v>49</v>
      </c>
      <c r="B2936" t="s">
        <v>3890</v>
      </c>
      <c r="C2936" t="s">
        <v>96</v>
      </c>
      <c r="D2936" t="s">
        <v>201</v>
      </c>
      <c r="E2936" t="s">
        <v>30</v>
      </c>
      <c r="F2936" t="s">
        <v>102</v>
      </c>
      <c r="G2936" t="s">
        <v>69</v>
      </c>
      <c r="H2936" t="s">
        <v>87</v>
      </c>
      <c r="I2936" s="1" t="s">
        <v>4392</v>
      </c>
      <c r="Q2936" s="15">
        <v>1</v>
      </c>
      <c r="W2936" s="15">
        <v>1</v>
      </c>
    </row>
    <row r="2937" spans="1:24" ht="105" x14ac:dyDescent="0.25">
      <c r="A2937" t="s">
        <v>26</v>
      </c>
      <c r="B2937" t="s">
        <v>3890</v>
      </c>
      <c r="C2937" t="s">
        <v>32</v>
      </c>
      <c r="D2937" t="s">
        <v>376</v>
      </c>
      <c r="E2937" t="s">
        <v>30</v>
      </c>
      <c r="F2937" t="s">
        <v>102</v>
      </c>
      <c r="G2937" t="s">
        <v>32</v>
      </c>
      <c r="H2937" t="s">
        <v>173</v>
      </c>
      <c r="I2937" s="1" t="s">
        <v>4393</v>
      </c>
      <c r="S2937" s="15">
        <v>1</v>
      </c>
    </row>
    <row r="2938" spans="1:24" ht="45" x14ac:dyDescent="0.25">
      <c r="A2938" t="s">
        <v>26</v>
      </c>
      <c r="B2938" t="s">
        <v>3890</v>
      </c>
      <c r="C2938" t="s">
        <v>92</v>
      </c>
      <c r="D2938" t="s">
        <v>477</v>
      </c>
      <c r="E2938" t="s">
        <v>30</v>
      </c>
      <c r="F2938" t="s">
        <v>46</v>
      </c>
      <c r="G2938" t="s">
        <v>32</v>
      </c>
      <c r="H2938" t="s">
        <v>87</v>
      </c>
      <c r="I2938" s="1" t="s">
        <v>4394</v>
      </c>
      <c r="N2938" s="15">
        <v>1</v>
      </c>
      <c r="Q2938" s="15">
        <v>1</v>
      </c>
    </row>
    <row r="2939" spans="1:24" ht="90" x14ac:dyDescent="0.25">
      <c r="A2939" t="s">
        <v>49</v>
      </c>
      <c r="B2939" t="s">
        <v>3890</v>
      </c>
      <c r="C2939" t="s">
        <v>263</v>
      </c>
      <c r="D2939" t="s">
        <v>457</v>
      </c>
      <c r="E2939" t="s">
        <v>79</v>
      </c>
      <c r="F2939" t="s">
        <v>1397</v>
      </c>
      <c r="G2939" t="s">
        <v>69</v>
      </c>
      <c r="H2939" t="s">
        <v>87</v>
      </c>
      <c r="I2939" s="1" t="s">
        <v>4395</v>
      </c>
      <c r="R2939" s="15">
        <v>1</v>
      </c>
      <c r="T2939" s="15">
        <v>1</v>
      </c>
    </row>
    <row r="2940" spans="1:24" ht="105" x14ac:dyDescent="0.25">
      <c r="A2940" t="s">
        <v>91</v>
      </c>
      <c r="B2940" t="s">
        <v>3890</v>
      </c>
      <c r="C2940" t="s">
        <v>38</v>
      </c>
      <c r="D2940" t="s">
        <v>143</v>
      </c>
      <c r="E2940" t="s">
        <v>30</v>
      </c>
      <c r="F2940" t="s">
        <v>492</v>
      </c>
      <c r="G2940" t="s">
        <v>69</v>
      </c>
      <c r="H2940" t="s">
        <v>173</v>
      </c>
      <c r="I2940" s="1" t="s">
        <v>4396</v>
      </c>
      <c r="Q2940" s="15">
        <v>1</v>
      </c>
      <c r="W2940" s="15">
        <v>1</v>
      </c>
    </row>
    <row r="2941" spans="1:24" ht="90" x14ac:dyDescent="0.25">
      <c r="A2941" t="s">
        <v>26</v>
      </c>
      <c r="B2941" t="s">
        <v>3890</v>
      </c>
      <c r="C2941" t="s">
        <v>44</v>
      </c>
      <c r="D2941" t="s">
        <v>146</v>
      </c>
      <c r="E2941" t="s">
        <v>30</v>
      </c>
      <c r="F2941" t="s">
        <v>94</v>
      </c>
      <c r="G2941" t="s">
        <v>32</v>
      </c>
      <c r="H2941" t="s">
        <v>173</v>
      </c>
      <c r="I2941" s="1" t="s">
        <v>4397</v>
      </c>
      <c r="Q2941" s="15">
        <v>1</v>
      </c>
      <c r="V2941" s="15">
        <v>1</v>
      </c>
    </row>
    <row r="2942" spans="1:24" x14ac:dyDescent="0.25">
      <c r="A2942" t="s">
        <v>26</v>
      </c>
      <c r="B2942" t="s">
        <v>3890</v>
      </c>
      <c r="C2942" t="s">
        <v>106</v>
      </c>
      <c r="D2942" t="s">
        <v>539</v>
      </c>
      <c r="E2942" t="s">
        <v>30</v>
      </c>
      <c r="F2942" t="s">
        <v>94</v>
      </c>
      <c r="G2942" t="s">
        <v>32</v>
      </c>
      <c r="H2942" t="s">
        <v>87</v>
      </c>
      <c r="I2942" s="1" t="s">
        <v>4398</v>
      </c>
      <c r="P2942" s="15">
        <v>1</v>
      </c>
    </row>
    <row r="2943" spans="1:24" x14ac:dyDescent="0.25">
      <c r="A2943" t="s">
        <v>49</v>
      </c>
      <c r="B2943" t="s">
        <v>3890</v>
      </c>
      <c r="C2943" t="s">
        <v>249</v>
      </c>
      <c r="D2943" t="s">
        <v>306</v>
      </c>
      <c r="E2943" t="s">
        <v>30</v>
      </c>
      <c r="F2943" t="s">
        <v>94</v>
      </c>
      <c r="G2943" t="s">
        <v>81</v>
      </c>
      <c r="H2943" t="s">
        <v>33</v>
      </c>
      <c r="I2943" s="1" t="s">
        <v>4399</v>
      </c>
      <c r="O2943" s="15">
        <v>1</v>
      </c>
    </row>
    <row r="2944" spans="1:24" ht="45" x14ac:dyDescent="0.25">
      <c r="A2944" t="s">
        <v>91</v>
      </c>
      <c r="B2944" t="s">
        <v>3890</v>
      </c>
      <c r="C2944" t="s">
        <v>50</v>
      </c>
      <c r="D2944" t="s">
        <v>1013</v>
      </c>
      <c r="E2944" t="s">
        <v>30</v>
      </c>
      <c r="F2944" t="s">
        <v>98</v>
      </c>
      <c r="G2944" t="s">
        <v>81</v>
      </c>
      <c r="H2944" t="s">
        <v>173</v>
      </c>
      <c r="I2944" s="1" t="s">
        <v>4400</v>
      </c>
      <c r="P2944" s="15">
        <v>1</v>
      </c>
    </row>
    <row r="2945" spans="1:25" ht="45" x14ac:dyDescent="0.25">
      <c r="A2945" t="s">
        <v>26</v>
      </c>
      <c r="B2945" t="s">
        <v>3890</v>
      </c>
      <c r="C2945" t="s">
        <v>28</v>
      </c>
      <c r="D2945" t="s">
        <v>715</v>
      </c>
      <c r="E2945" t="s">
        <v>30</v>
      </c>
      <c r="F2945" t="s">
        <v>189</v>
      </c>
      <c r="G2945" t="s">
        <v>32</v>
      </c>
      <c r="H2945" t="s">
        <v>33</v>
      </c>
      <c r="I2945" s="1" t="s">
        <v>4401</v>
      </c>
      <c r="S2945" s="15">
        <v>1</v>
      </c>
    </row>
    <row r="2946" spans="1:25" ht="60" x14ac:dyDescent="0.25">
      <c r="A2946" t="s">
        <v>49</v>
      </c>
      <c r="B2946" t="s">
        <v>3890</v>
      </c>
      <c r="C2946" t="s">
        <v>263</v>
      </c>
      <c r="D2946" t="s">
        <v>1128</v>
      </c>
      <c r="E2946" t="s">
        <v>30</v>
      </c>
      <c r="F2946" t="s">
        <v>98</v>
      </c>
      <c r="G2946" t="s">
        <v>32</v>
      </c>
      <c r="H2946" t="s">
        <v>33</v>
      </c>
      <c r="I2946" s="1" t="s">
        <v>4402</v>
      </c>
      <c r="X2946" s="15">
        <v>1</v>
      </c>
    </row>
    <row r="2947" spans="1:25" ht="105" x14ac:dyDescent="0.25">
      <c r="A2947" t="s">
        <v>49</v>
      </c>
      <c r="B2947" t="s">
        <v>3890</v>
      </c>
      <c r="C2947" t="s">
        <v>249</v>
      </c>
      <c r="D2947" t="s">
        <v>306</v>
      </c>
      <c r="E2947" t="s">
        <v>30</v>
      </c>
      <c r="F2947" t="s">
        <v>61</v>
      </c>
      <c r="G2947" t="s">
        <v>32</v>
      </c>
      <c r="H2947" t="s">
        <v>33</v>
      </c>
      <c r="I2947" s="1" t="s">
        <v>4403</v>
      </c>
      <c r="M2947" s="15">
        <v>1</v>
      </c>
      <c r="X2947" s="15">
        <v>1</v>
      </c>
    </row>
    <row r="2948" spans="1:25" x14ac:dyDescent="0.25">
      <c r="A2948" t="s">
        <v>91</v>
      </c>
      <c r="B2948" t="s">
        <v>3890</v>
      </c>
      <c r="C2948" t="s">
        <v>32</v>
      </c>
      <c r="D2948" t="s">
        <v>1564</v>
      </c>
      <c r="E2948" t="s">
        <v>30</v>
      </c>
      <c r="F2948" t="s">
        <v>130</v>
      </c>
      <c r="G2948" t="s">
        <v>32</v>
      </c>
      <c r="H2948" t="s">
        <v>33</v>
      </c>
      <c r="I2948" s="1" t="s">
        <v>4404</v>
      </c>
      <c r="O2948" s="15">
        <v>1</v>
      </c>
    </row>
    <row r="2949" spans="1:25" ht="120" x14ac:dyDescent="0.25">
      <c r="A2949" t="s">
        <v>49</v>
      </c>
      <c r="B2949" t="s">
        <v>3890</v>
      </c>
      <c r="C2949" t="s">
        <v>240</v>
      </c>
      <c r="D2949" t="s">
        <v>1469</v>
      </c>
      <c r="E2949" t="s">
        <v>30</v>
      </c>
      <c r="F2949" t="s">
        <v>209</v>
      </c>
      <c r="G2949" t="s">
        <v>32</v>
      </c>
      <c r="H2949" t="s">
        <v>87</v>
      </c>
      <c r="I2949" s="1" t="s">
        <v>4405</v>
      </c>
      <c r="P2949" s="15">
        <v>1</v>
      </c>
      <c r="Y2949">
        <v>1</v>
      </c>
    </row>
    <row r="2950" spans="1:25" ht="60" x14ac:dyDescent="0.25">
      <c r="A2950" t="s">
        <v>49</v>
      </c>
      <c r="B2950" t="s">
        <v>3890</v>
      </c>
      <c r="C2950" t="s">
        <v>235</v>
      </c>
      <c r="D2950" t="s">
        <v>1158</v>
      </c>
      <c r="E2950" t="s">
        <v>30</v>
      </c>
      <c r="F2950" t="s">
        <v>130</v>
      </c>
      <c r="G2950" t="s">
        <v>32</v>
      </c>
      <c r="H2950" t="s">
        <v>87</v>
      </c>
      <c r="I2950" s="1" t="s">
        <v>4406</v>
      </c>
      <c r="N2950" s="15">
        <v>1</v>
      </c>
    </row>
    <row r="2951" spans="1:25" ht="120" x14ac:dyDescent="0.25">
      <c r="A2951" t="s">
        <v>49</v>
      </c>
      <c r="B2951" t="s">
        <v>3890</v>
      </c>
      <c r="C2951" t="s">
        <v>92</v>
      </c>
      <c r="D2951" t="s">
        <v>452</v>
      </c>
      <c r="E2951" t="s">
        <v>30</v>
      </c>
      <c r="F2951" t="s">
        <v>389</v>
      </c>
      <c r="G2951" t="s">
        <v>32</v>
      </c>
      <c r="H2951" t="s">
        <v>33</v>
      </c>
      <c r="I2951" s="1" t="s">
        <v>4407</v>
      </c>
      <c r="S2951" s="15">
        <v>1</v>
      </c>
      <c r="W2951" s="15">
        <v>1</v>
      </c>
    </row>
    <row r="2952" spans="1:25" ht="60" x14ac:dyDescent="0.25">
      <c r="A2952" t="s">
        <v>37</v>
      </c>
      <c r="B2952" t="s">
        <v>3890</v>
      </c>
      <c r="C2952" t="s">
        <v>472</v>
      </c>
      <c r="D2952" t="s">
        <v>839</v>
      </c>
      <c r="E2952" t="s">
        <v>30</v>
      </c>
      <c r="F2952" t="s">
        <v>112</v>
      </c>
      <c r="G2952" t="s">
        <v>38</v>
      </c>
      <c r="H2952" t="s">
        <v>87</v>
      </c>
      <c r="I2952" s="1" t="s">
        <v>4408</v>
      </c>
      <c r="P2952" s="15">
        <v>1</v>
      </c>
      <c r="R2952" s="15">
        <v>1</v>
      </c>
      <c r="Y2952">
        <v>1</v>
      </c>
    </row>
    <row r="2953" spans="1:25" ht="165" x14ac:dyDescent="0.25">
      <c r="A2953" t="s">
        <v>49</v>
      </c>
      <c r="B2953" t="s">
        <v>3890</v>
      </c>
      <c r="C2953" t="s">
        <v>50</v>
      </c>
      <c r="D2953" t="s">
        <v>1183</v>
      </c>
      <c r="E2953" t="s">
        <v>30</v>
      </c>
      <c r="F2953" t="s">
        <v>136</v>
      </c>
      <c r="G2953" t="s">
        <v>32</v>
      </c>
      <c r="H2953" t="s">
        <v>87</v>
      </c>
      <c r="I2953" s="1" t="s">
        <v>4409</v>
      </c>
      <c r="P2953" s="15">
        <v>1</v>
      </c>
      <c r="Q2953" s="15">
        <v>1</v>
      </c>
      <c r="V2953" s="15">
        <v>1</v>
      </c>
    </row>
    <row r="2954" spans="1:25" ht="45" x14ac:dyDescent="0.25">
      <c r="A2954" t="s">
        <v>49</v>
      </c>
      <c r="B2954" t="s">
        <v>3890</v>
      </c>
      <c r="C2954" t="s">
        <v>50</v>
      </c>
      <c r="D2954" t="s">
        <v>1604</v>
      </c>
      <c r="E2954" t="s">
        <v>30</v>
      </c>
      <c r="F2954" t="s">
        <v>389</v>
      </c>
      <c r="G2954" t="s">
        <v>32</v>
      </c>
      <c r="H2954" t="s">
        <v>87</v>
      </c>
      <c r="I2954" s="1" t="s">
        <v>4410</v>
      </c>
      <c r="T2954" s="15">
        <v>1</v>
      </c>
    </row>
    <row r="2955" spans="1:25" ht="60" x14ac:dyDescent="0.25">
      <c r="A2955" t="s">
        <v>49</v>
      </c>
      <c r="B2955" t="s">
        <v>3890</v>
      </c>
      <c r="C2955" t="s">
        <v>28</v>
      </c>
      <c r="D2955" t="s">
        <v>1340</v>
      </c>
      <c r="E2955" t="s">
        <v>30</v>
      </c>
      <c r="F2955" t="s">
        <v>52</v>
      </c>
      <c r="G2955" t="s">
        <v>32</v>
      </c>
      <c r="H2955" t="s">
        <v>33</v>
      </c>
      <c r="I2955" s="1" t="s">
        <v>4411</v>
      </c>
      <c r="S2955" s="15">
        <v>1</v>
      </c>
    </row>
    <row r="2956" spans="1:25" ht="60" x14ac:dyDescent="0.25">
      <c r="A2956" t="s">
        <v>37</v>
      </c>
      <c r="B2956" t="s">
        <v>3890</v>
      </c>
      <c r="C2956" t="s">
        <v>50</v>
      </c>
      <c r="D2956" t="s">
        <v>3055</v>
      </c>
      <c r="E2956" t="s">
        <v>30</v>
      </c>
      <c r="F2956" t="s">
        <v>177</v>
      </c>
      <c r="G2956" t="s">
        <v>32</v>
      </c>
      <c r="H2956" t="s">
        <v>33</v>
      </c>
      <c r="I2956" s="1" t="s">
        <v>4412</v>
      </c>
      <c r="S2956" s="15">
        <v>1</v>
      </c>
    </row>
    <row r="2957" spans="1:25" ht="45" x14ac:dyDescent="0.25">
      <c r="A2957" t="s">
        <v>49</v>
      </c>
      <c r="B2957" t="s">
        <v>3890</v>
      </c>
      <c r="C2957" t="s">
        <v>69</v>
      </c>
      <c r="D2957" t="s">
        <v>283</v>
      </c>
      <c r="E2957" t="s">
        <v>79</v>
      </c>
      <c r="F2957" t="s">
        <v>186</v>
      </c>
      <c r="G2957" t="s">
        <v>32</v>
      </c>
      <c r="H2957" t="s">
        <v>33</v>
      </c>
      <c r="I2957" s="1" t="s">
        <v>4413</v>
      </c>
      <c r="S2957" s="15">
        <v>1</v>
      </c>
    </row>
    <row r="2958" spans="1:25" ht="105" x14ac:dyDescent="0.25">
      <c r="A2958" t="s">
        <v>49</v>
      </c>
      <c r="B2958" t="s">
        <v>3890</v>
      </c>
      <c r="C2958" t="s">
        <v>85</v>
      </c>
      <c r="D2958" t="s">
        <v>1648</v>
      </c>
      <c r="E2958" t="s">
        <v>79</v>
      </c>
      <c r="F2958" t="s">
        <v>280</v>
      </c>
      <c r="G2958" t="s">
        <v>69</v>
      </c>
      <c r="H2958" t="s">
        <v>87</v>
      </c>
      <c r="I2958" s="1" t="s">
        <v>4414</v>
      </c>
      <c r="S2958" s="15">
        <v>1</v>
      </c>
      <c r="T2958" s="15">
        <v>1</v>
      </c>
    </row>
    <row r="2959" spans="1:25" ht="30" x14ac:dyDescent="0.25">
      <c r="A2959" t="s">
        <v>91</v>
      </c>
      <c r="B2959" t="s">
        <v>3890</v>
      </c>
      <c r="C2959" t="s">
        <v>240</v>
      </c>
      <c r="D2959" t="s">
        <v>882</v>
      </c>
      <c r="E2959" t="s">
        <v>30</v>
      </c>
      <c r="F2959" t="s">
        <v>202</v>
      </c>
      <c r="G2959" t="s">
        <v>32</v>
      </c>
      <c r="H2959" t="s">
        <v>33</v>
      </c>
      <c r="I2959" s="1" t="s">
        <v>4415</v>
      </c>
      <c r="X2959" s="15">
        <v>1</v>
      </c>
    </row>
    <row r="2960" spans="1:25" ht="60" x14ac:dyDescent="0.25">
      <c r="A2960" t="s">
        <v>49</v>
      </c>
      <c r="B2960" t="s">
        <v>3890</v>
      </c>
      <c r="C2960" t="s">
        <v>85</v>
      </c>
      <c r="D2960" t="s">
        <v>667</v>
      </c>
      <c r="E2960" t="s">
        <v>30</v>
      </c>
      <c r="F2960" t="s">
        <v>46</v>
      </c>
      <c r="G2960" t="s">
        <v>32</v>
      </c>
      <c r="H2960" t="s">
        <v>87</v>
      </c>
      <c r="I2960" s="1" t="s">
        <v>4416</v>
      </c>
      <c r="S2960" s="15">
        <v>1</v>
      </c>
    </row>
    <row r="2961" spans="1:25" ht="60" x14ac:dyDescent="0.25">
      <c r="A2961" t="s">
        <v>37</v>
      </c>
      <c r="B2961" t="s">
        <v>3890</v>
      </c>
      <c r="C2961" t="s">
        <v>92</v>
      </c>
      <c r="D2961" t="s">
        <v>477</v>
      </c>
      <c r="E2961" t="s">
        <v>30</v>
      </c>
      <c r="F2961" t="s">
        <v>161</v>
      </c>
      <c r="G2961" t="s">
        <v>69</v>
      </c>
      <c r="H2961" t="s">
        <v>87</v>
      </c>
      <c r="I2961" s="1" t="s">
        <v>4417</v>
      </c>
      <c r="N2961" s="15">
        <v>1</v>
      </c>
    </row>
    <row r="2962" spans="1:25" ht="75" x14ac:dyDescent="0.25">
      <c r="A2962" t="s">
        <v>49</v>
      </c>
      <c r="B2962" t="s">
        <v>3890</v>
      </c>
      <c r="C2962" t="s">
        <v>28</v>
      </c>
      <c r="D2962" t="s">
        <v>955</v>
      </c>
      <c r="E2962" t="s">
        <v>30</v>
      </c>
      <c r="F2962" t="s">
        <v>94</v>
      </c>
      <c r="G2962" t="s">
        <v>81</v>
      </c>
      <c r="H2962" t="s">
        <v>33</v>
      </c>
      <c r="I2962" s="1" t="s">
        <v>4418</v>
      </c>
      <c r="P2962" s="15">
        <v>1</v>
      </c>
    </row>
    <row r="2963" spans="1:25" ht="30" x14ac:dyDescent="0.25">
      <c r="A2963" t="s">
        <v>37</v>
      </c>
      <c r="B2963" t="s">
        <v>3890</v>
      </c>
      <c r="C2963" t="s">
        <v>249</v>
      </c>
      <c r="D2963" t="s">
        <v>1695</v>
      </c>
      <c r="E2963" t="s">
        <v>30</v>
      </c>
      <c r="F2963" t="s">
        <v>290</v>
      </c>
      <c r="G2963" t="s">
        <v>32</v>
      </c>
      <c r="H2963" t="s">
        <v>33</v>
      </c>
      <c r="I2963" s="1" t="s">
        <v>4419</v>
      </c>
      <c r="S2963" s="15">
        <v>1</v>
      </c>
    </row>
    <row r="2964" spans="1:25" ht="45" x14ac:dyDescent="0.25">
      <c r="A2964" t="s">
        <v>37</v>
      </c>
      <c r="B2964" t="s">
        <v>3890</v>
      </c>
      <c r="C2964" t="s">
        <v>44</v>
      </c>
      <c r="D2964" t="s">
        <v>165</v>
      </c>
      <c r="E2964" t="s">
        <v>30</v>
      </c>
      <c r="F2964" t="s">
        <v>189</v>
      </c>
      <c r="G2964" t="s">
        <v>32</v>
      </c>
      <c r="H2964" t="s">
        <v>87</v>
      </c>
      <c r="I2964" s="1" t="s">
        <v>4420</v>
      </c>
      <c r="N2964" s="15">
        <v>1</v>
      </c>
    </row>
    <row r="2965" spans="1:25" ht="105" x14ac:dyDescent="0.25">
      <c r="A2965" t="s">
        <v>37</v>
      </c>
      <c r="B2965" t="s">
        <v>3890</v>
      </c>
      <c r="C2965" t="s">
        <v>28</v>
      </c>
      <c r="D2965" t="s">
        <v>756</v>
      </c>
      <c r="E2965" t="s">
        <v>79</v>
      </c>
      <c r="F2965" t="s">
        <v>1397</v>
      </c>
      <c r="G2965" t="s">
        <v>32</v>
      </c>
      <c r="H2965" t="s">
        <v>173</v>
      </c>
      <c r="I2965" s="1" t="s">
        <v>4421</v>
      </c>
      <c r="S2965" s="15">
        <v>1</v>
      </c>
      <c r="T2965" s="15">
        <v>1</v>
      </c>
    </row>
    <row r="2966" spans="1:25" ht="90" x14ac:dyDescent="0.25">
      <c r="A2966" t="s">
        <v>64</v>
      </c>
      <c r="B2966" t="s">
        <v>3890</v>
      </c>
      <c r="C2966" t="s">
        <v>44</v>
      </c>
      <c r="D2966" t="s">
        <v>146</v>
      </c>
      <c r="E2966" t="s">
        <v>30</v>
      </c>
      <c r="F2966" t="s">
        <v>189</v>
      </c>
      <c r="G2966" t="s">
        <v>32</v>
      </c>
      <c r="H2966" t="s">
        <v>33</v>
      </c>
      <c r="I2966" s="1" t="s">
        <v>4422</v>
      </c>
      <c r="Q2966" s="15">
        <v>1</v>
      </c>
      <c r="V2966" s="15">
        <v>1</v>
      </c>
    </row>
    <row r="2967" spans="1:25" ht="45" x14ac:dyDescent="0.25">
      <c r="A2967" t="s">
        <v>37</v>
      </c>
      <c r="B2967" t="s">
        <v>3890</v>
      </c>
      <c r="C2967" t="s">
        <v>32</v>
      </c>
      <c r="D2967" t="s">
        <v>4423</v>
      </c>
      <c r="E2967" t="s">
        <v>30</v>
      </c>
      <c r="F2967" t="s">
        <v>154</v>
      </c>
      <c r="G2967" t="s">
        <v>32</v>
      </c>
      <c r="H2967" t="s">
        <v>173</v>
      </c>
      <c r="I2967" s="1" t="s">
        <v>4424</v>
      </c>
      <c r="Q2967" s="15">
        <v>1</v>
      </c>
    </row>
    <row r="2968" spans="1:25" ht="120" x14ac:dyDescent="0.25">
      <c r="A2968" t="s">
        <v>37</v>
      </c>
      <c r="B2968" t="s">
        <v>3890</v>
      </c>
      <c r="C2968" t="s">
        <v>28</v>
      </c>
      <c r="D2968" t="s">
        <v>756</v>
      </c>
      <c r="E2968" t="s">
        <v>30</v>
      </c>
      <c r="F2968" t="s">
        <v>543</v>
      </c>
      <c r="G2968" t="s">
        <v>263</v>
      </c>
      <c r="H2968" t="s">
        <v>33</v>
      </c>
      <c r="I2968" s="1" t="s">
        <v>4425</v>
      </c>
      <c r="W2968" s="15">
        <v>1</v>
      </c>
      <c r="Y2968">
        <v>1</v>
      </c>
    </row>
    <row r="2969" spans="1:25" ht="105" x14ac:dyDescent="0.25">
      <c r="A2969" t="s">
        <v>26</v>
      </c>
      <c r="B2969" t="s">
        <v>3419</v>
      </c>
      <c r="C2969" t="s">
        <v>180</v>
      </c>
      <c r="D2969" t="s">
        <v>181</v>
      </c>
      <c r="E2969" t="s">
        <v>30</v>
      </c>
      <c r="F2969" t="s">
        <v>52</v>
      </c>
      <c r="G2969" t="s">
        <v>32</v>
      </c>
      <c r="H2969" t="s">
        <v>87</v>
      </c>
      <c r="I2969" s="1" t="s">
        <v>3422</v>
      </c>
      <c r="N2969" s="15">
        <v>1</v>
      </c>
    </row>
    <row r="2970" spans="1:25" ht="105" x14ac:dyDescent="0.25">
      <c r="A2970" t="s">
        <v>37</v>
      </c>
      <c r="B2970" t="s">
        <v>3419</v>
      </c>
      <c r="C2970" t="s">
        <v>50</v>
      </c>
      <c r="D2970" t="s">
        <v>1013</v>
      </c>
      <c r="E2970" t="s">
        <v>30</v>
      </c>
      <c r="F2970" t="s">
        <v>98</v>
      </c>
      <c r="G2970" t="s">
        <v>81</v>
      </c>
      <c r="H2970" t="s">
        <v>87</v>
      </c>
      <c r="I2970" s="1" t="s">
        <v>3420</v>
      </c>
      <c r="W2970" s="15">
        <v>1</v>
      </c>
    </row>
    <row r="2971" spans="1:25" ht="30" x14ac:dyDescent="0.25">
      <c r="A2971" t="s">
        <v>26</v>
      </c>
      <c r="B2971" t="s">
        <v>3419</v>
      </c>
      <c r="C2971" t="s">
        <v>69</v>
      </c>
      <c r="D2971" t="s">
        <v>160</v>
      </c>
      <c r="E2971" t="s">
        <v>30</v>
      </c>
      <c r="F2971" t="s">
        <v>61</v>
      </c>
      <c r="G2971" t="s">
        <v>32</v>
      </c>
      <c r="H2971" t="s">
        <v>87</v>
      </c>
      <c r="I2971" s="1" t="s">
        <v>3437</v>
      </c>
      <c r="P2971" s="15">
        <v>1</v>
      </c>
      <c r="V2971" s="15">
        <v>1</v>
      </c>
    </row>
    <row r="2972" spans="1:25" ht="45" x14ac:dyDescent="0.25">
      <c r="A2972" t="s">
        <v>49</v>
      </c>
      <c r="B2972" t="s">
        <v>3419</v>
      </c>
      <c r="C2972" t="s">
        <v>235</v>
      </c>
      <c r="D2972" t="s">
        <v>1158</v>
      </c>
      <c r="E2972" t="s">
        <v>30</v>
      </c>
      <c r="F2972" t="s">
        <v>446</v>
      </c>
      <c r="G2972" t="s">
        <v>32</v>
      </c>
      <c r="H2972" t="s">
        <v>87</v>
      </c>
      <c r="I2972" s="1" t="s">
        <v>3443</v>
      </c>
      <c r="W2972" s="15">
        <v>1</v>
      </c>
    </row>
    <row r="2973" spans="1:25" ht="30" x14ac:dyDescent="0.25">
      <c r="A2973" t="s">
        <v>26</v>
      </c>
      <c r="B2973" t="s">
        <v>3419</v>
      </c>
      <c r="C2973" t="s">
        <v>44</v>
      </c>
      <c r="D2973" t="s">
        <v>146</v>
      </c>
      <c r="E2973" t="s">
        <v>30</v>
      </c>
      <c r="F2973" t="s">
        <v>287</v>
      </c>
      <c r="G2973" t="s">
        <v>32</v>
      </c>
      <c r="H2973" t="s">
        <v>173</v>
      </c>
      <c r="I2973" s="1" t="s">
        <v>3441</v>
      </c>
      <c r="T2973" s="15">
        <v>1</v>
      </c>
    </row>
    <row r="2974" spans="1:25" ht="105" x14ac:dyDescent="0.25">
      <c r="A2974" t="s">
        <v>1243</v>
      </c>
      <c r="B2974" t="s">
        <v>3890</v>
      </c>
      <c r="C2974" t="s">
        <v>3892</v>
      </c>
      <c r="D2974" t="s">
        <v>3891</v>
      </c>
      <c r="E2974" t="s">
        <v>30</v>
      </c>
      <c r="F2974" t="s">
        <v>126</v>
      </c>
      <c r="G2974" t="s">
        <v>263</v>
      </c>
      <c r="H2974" t="s">
        <v>87</v>
      </c>
      <c r="I2974" s="1" t="s">
        <v>3893</v>
      </c>
      <c r="M2974" s="15">
        <v>1</v>
      </c>
    </row>
    <row r="2975" spans="1:25" ht="105" x14ac:dyDescent="0.25">
      <c r="A2975" t="s">
        <v>2892</v>
      </c>
      <c r="B2975" t="s">
        <v>3994</v>
      </c>
      <c r="C2975" t="s">
        <v>2901</v>
      </c>
      <c r="D2975" t="s">
        <v>4426</v>
      </c>
      <c r="E2975" t="s">
        <v>30</v>
      </c>
      <c r="F2975" t="s">
        <v>161</v>
      </c>
      <c r="G2975" t="s">
        <v>32</v>
      </c>
      <c r="I2975" s="1" t="s">
        <v>4427</v>
      </c>
      <c r="P2975" s="15">
        <v>1</v>
      </c>
    </row>
    <row r="2976" spans="1:25" ht="45" x14ac:dyDescent="0.25">
      <c r="A2976" t="s">
        <v>2892</v>
      </c>
      <c r="B2976" t="s">
        <v>4043</v>
      </c>
      <c r="C2976" t="s">
        <v>1250</v>
      </c>
      <c r="D2976" t="s">
        <v>4428</v>
      </c>
      <c r="E2976" t="s">
        <v>79</v>
      </c>
      <c r="F2976" t="s">
        <v>216</v>
      </c>
      <c r="G2976" t="s">
        <v>32</v>
      </c>
      <c r="I2976" s="1" t="s">
        <v>4429</v>
      </c>
      <c r="Q2976" s="15">
        <v>1</v>
      </c>
      <c r="V2976" s="15">
        <v>1</v>
      </c>
    </row>
    <row r="2977" spans="2:25" ht="30" x14ac:dyDescent="0.25">
      <c r="B2977" s="1" t="s">
        <v>3894</v>
      </c>
      <c r="J2977" s="15">
        <v>10</v>
      </c>
      <c r="K2977" s="15">
        <v>42</v>
      </c>
      <c r="L2977" s="15">
        <v>29</v>
      </c>
      <c r="M2977" s="15">
        <f t="shared" ref="M2977:Y2977" si="11">SUM(M2500:M2976)</f>
        <v>6</v>
      </c>
      <c r="N2977" s="15">
        <f t="shared" si="11"/>
        <v>45</v>
      </c>
      <c r="O2977" s="15">
        <f t="shared" si="11"/>
        <v>30</v>
      </c>
      <c r="P2977" s="15">
        <f t="shared" si="11"/>
        <v>64</v>
      </c>
      <c r="Q2977" s="15">
        <f t="shared" si="11"/>
        <v>79</v>
      </c>
      <c r="R2977" s="15">
        <f t="shared" si="11"/>
        <v>20</v>
      </c>
      <c r="S2977" s="15">
        <f t="shared" si="11"/>
        <v>181</v>
      </c>
      <c r="T2977" s="15">
        <f t="shared" si="11"/>
        <v>54</v>
      </c>
      <c r="U2977" s="15">
        <f t="shared" si="11"/>
        <v>1</v>
      </c>
      <c r="V2977" s="15">
        <f t="shared" si="11"/>
        <v>39</v>
      </c>
      <c r="W2977" s="15">
        <f t="shared" si="11"/>
        <v>102</v>
      </c>
      <c r="X2977" s="15">
        <f t="shared" si="11"/>
        <v>16</v>
      </c>
      <c r="Y2977" s="15">
        <f t="shared" si="11"/>
        <v>33</v>
      </c>
    </row>
    <row r="2978" spans="2:25" ht="45" x14ac:dyDescent="0.25">
      <c r="B2978" s="1" t="s">
        <v>3895</v>
      </c>
      <c r="I2978" s="1" t="s">
        <v>4430</v>
      </c>
      <c r="J2978" s="15">
        <v>2.178649237472767E-2</v>
      </c>
      <c r="K2978" s="15">
        <v>9.1503267973856203E-2</v>
      </c>
      <c r="L2978" s="15">
        <v>6.3180827886710242E-2</v>
      </c>
      <c r="M2978" s="15">
        <f t="shared" ref="M2978:Y2978" si="12">(M2977/476)*100</f>
        <v>1.2605042016806722</v>
      </c>
      <c r="N2978" s="15">
        <f t="shared" si="12"/>
        <v>9.4537815126050422</v>
      </c>
      <c r="O2978" s="15">
        <f t="shared" si="12"/>
        <v>6.3025210084033612</v>
      </c>
      <c r="P2978" s="15">
        <f t="shared" si="12"/>
        <v>13.445378151260504</v>
      </c>
      <c r="Q2978" s="15">
        <f t="shared" si="12"/>
        <v>16.596638655462183</v>
      </c>
      <c r="R2978" s="15">
        <f t="shared" si="12"/>
        <v>4.2016806722689077</v>
      </c>
      <c r="S2978" s="15">
        <f t="shared" si="12"/>
        <v>38.02521008403361</v>
      </c>
      <c r="T2978" s="15">
        <f t="shared" si="12"/>
        <v>11.344537815126051</v>
      </c>
      <c r="U2978" s="15">
        <f t="shared" si="12"/>
        <v>0.21008403361344538</v>
      </c>
      <c r="V2978" s="15">
        <f t="shared" si="12"/>
        <v>8.1932773109243691</v>
      </c>
      <c r="W2978" s="15">
        <f t="shared" si="12"/>
        <v>21.428571428571427</v>
      </c>
      <c r="X2978" s="15">
        <f t="shared" si="12"/>
        <v>3.3613445378151261</v>
      </c>
      <c r="Y2978" s="15">
        <f t="shared" si="12"/>
        <v>6.9327731092436977</v>
      </c>
    </row>
    <row r="2979" spans="2:25" x14ac:dyDescent="0.25">
      <c r="I2979" s="19">
        <v>44893</v>
      </c>
      <c r="J2979" s="15">
        <v>0</v>
      </c>
      <c r="K2979" s="15">
        <v>1</v>
      </c>
      <c r="L2979" s="15">
        <v>0</v>
      </c>
      <c r="M2979" s="15">
        <f>SUMIF(B2500:B2976, "2022-11-28",M2500:M2976)</f>
        <v>0</v>
      </c>
      <c r="N2979" s="15">
        <f>SUMIF(B2500:B2976, "2022-11-28",N2500:N2976)</f>
        <v>1</v>
      </c>
      <c r="O2979" s="15">
        <f>SUMIF(B2500:B2976, "2022-11-28",O2500:O2976)</f>
        <v>0</v>
      </c>
      <c r="P2979" s="15">
        <f>SUMIF(B2500:B2976, "2022-11-28",P2500:P2976)</f>
        <v>1</v>
      </c>
      <c r="Q2979" s="15">
        <f>SUMIF(B2500:B2976, "2022-11-28",Q2500:Q2976)</f>
        <v>0</v>
      </c>
      <c r="R2979" s="15">
        <f>SUMIF(B2500:B2976, "2022-11-28",R2500:R2976)</f>
        <v>0</v>
      </c>
      <c r="S2979" s="15">
        <f>SUMIF(B2500:B2976, "2022-11-28",S2500:S2976)</f>
        <v>0</v>
      </c>
      <c r="T2979" s="15">
        <f>SUMIF(B2500:B2976, "2022-11-28",T2500:T2976)</f>
        <v>1</v>
      </c>
      <c r="U2979" s="15">
        <f>SUMIF(B2500:B2976, "2022-11-28",U2500:U2976)</f>
        <v>0</v>
      </c>
      <c r="V2979" s="15">
        <f>SUMIF(B2500:B2976, "2022-11-28",V2500:V2976)</f>
        <v>1</v>
      </c>
      <c r="W2979" s="15">
        <f>SUMIF(B2500:B2976, "2022-11-28",W2500:W2976)</f>
        <v>2</v>
      </c>
      <c r="X2979" s="15">
        <f>SUMIF(B2500:B2976, "2022-11-28",X2500:X2976)</f>
        <v>0</v>
      </c>
      <c r="Y2979" s="15">
        <f>SUMIF(B2500:B2976, "2022-11-28",Y2500:Y2976)</f>
        <v>0</v>
      </c>
    </row>
    <row r="2980" spans="2:25" x14ac:dyDescent="0.25">
      <c r="I2980" s="19">
        <v>44894</v>
      </c>
      <c r="J2980" s="15">
        <v>0</v>
      </c>
      <c r="K2980" s="15">
        <v>4</v>
      </c>
      <c r="L2980" s="15">
        <v>0</v>
      </c>
      <c r="M2980" s="15">
        <f>SUMIF(B2500:B2976, "2022-11-29",M2500:M2976)</f>
        <v>2</v>
      </c>
      <c r="N2980" s="15">
        <f>SUMIF(B2500:B2976, "2022-11-29",N2500:N2976)</f>
        <v>4</v>
      </c>
      <c r="O2980" s="15">
        <f>SUMIF(B2500:B2976, "2022-11-29",O2500:O2976)</f>
        <v>3</v>
      </c>
      <c r="P2980" s="15">
        <f>SUMIF(B2500:B2976, "2022-11-29",P2500:P2976)</f>
        <v>8</v>
      </c>
      <c r="Q2980" s="15">
        <f>SUMIF(B2500:B2976, "2022-11-29",Q2500:Q2976)</f>
        <v>10</v>
      </c>
      <c r="R2980" s="15">
        <f>SUMIF(B2500:B2976, "2022-11-29",R2500:R2976)</f>
        <v>2</v>
      </c>
      <c r="S2980" s="15">
        <f>SUMIF(B2500:B2976, "2022-11-29",S2500:S2976)</f>
        <v>16</v>
      </c>
      <c r="T2980" s="15">
        <f>SUMIF(B2500:B2976, "2022-11-29",T2500:T2976)</f>
        <v>4</v>
      </c>
      <c r="U2980" s="15">
        <f>SUMIF(B2500:B2976, "2022-11-29",U2500:U2976)</f>
        <v>0</v>
      </c>
      <c r="V2980" s="15">
        <f>SUMIF(B2500:B2976, "2022-11-29",V2500:V2976)</f>
        <v>4</v>
      </c>
      <c r="W2980" s="15">
        <f>SUMIF(B2500:B2976, "2022-11-29",W2500:W2976)</f>
        <v>5</v>
      </c>
      <c r="X2980" s="15">
        <f>SUMIF(B2500:B2976, "2022-11-29",X2500:X2976)</f>
        <v>4</v>
      </c>
      <c r="Y2980">
        <f>SUMIF(B2500:B2976, "2022-11-29",Y2500:Y2976)</f>
        <v>3</v>
      </c>
    </row>
    <row r="2981" spans="2:25" x14ac:dyDescent="0.25">
      <c r="I2981" s="19">
        <v>44895</v>
      </c>
      <c r="J2981" s="15">
        <v>2</v>
      </c>
      <c r="K2981" s="15">
        <v>0</v>
      </c>
      <c r="L2981" s="15">
        <v>1</v>
      </c>
      <c r="M2981" s="15">
        <f>SUMIF(B2500:B2976, "2022-11-30",M2500:M2976)</f>
        <v>0</v>
      </c>
      <c r="N2981" s="15">
        <f>SUMIF(B2500:B2976, "2022-11-30",N2500:N2976)</f>
        <v>5</v>
      </c>
      <c r="O2981" s="15">
        <f>SUMIF(B2500:B2976, "2022-11-30",O2500:O2976)</f>
        <v>2</v>
      </c>
      <c r="P2981" s="15">
        <f>SUMIF(B2500:B2976, "2022-11-30",P2500:P2976)</f>
        <v>3</v>
      </c>
      <c r="Q2981" s="15">
        <f>SUMIF(B2500:B2976, "2022-11-30",Q2500:Q2976)</f>
        <v>4</v>
      </c>
      <c r="R2981" s="15">
        <f>SUMIF(B2500:B2976, "2022-11-30",R2500:R2976)</f>
        <v>3</v>
      </c>
      <c r="S2981" s="15">
        <f>SUMIF(B2500:B2976, "2022-11-30",S2500:S2976)</f>
        <v>9</v>
      </c>
      <c r="T2981" s="15">
        <f>SUMIF(B2500:B2976, "2022-11-30",T2500:T2976)</f>
        <v>3</v>
      </c>
      <c r="U2981" s="15">
        <f>SUMIF(B2500:B2976, "2022-11-30",U2500:U2976)</f>
        <v>0</v>
      </c>
      <c r="V2981" s="15">
        <f>SUMIF(B2500:B2976, "2022-11-30",V2500:V2976)</f>
        <v>4</v>
      </c>
      <c r="W2981" s="15">
        <f>SUMIF(B2500:B2976, "2022-11-30",W2500:W2976)</f>
        <v>12</v>
      </c>
      <c r="X2981" s="15">
        <f>SUMIF(B2500:B2976, "2022-11-30",X2500:X2976)</f>
        <v>0</v>
      </c>
      <c r="Y2981">
        <f>SUMIF(B2500:B2976, "2022-11-30",Y2500:Y2976)</f>
        <v>4</v>
      </c>
    </row>
    <row r="2982" spans="2:25" x14ac:dyDescent="0.25">
      <c r="I2982" s="19">
        <v>44896</v>
      </c>
      <c r="J2982" s="15">
        <v>0</v>
      </c>
      <c r="K2982" s="15">
        <v>3</v>
      </c>
      <c r="L2982" s="15">
        <v>4</v>
      </c>
      <c r="M2982" s="15">
        <f>SUMIF(B2500:B2976, "2022-12-01",M2500:M2976)</f>
        <v>0</v>
      </c>
      <c r="N2982" s="15">
        <f>SUMIF(B2500:B2976, "2022-12-01",N2500:N2976)</f>
        <v>1</v>
      </c>
      <c r="O2982" s="15">
        <f>SUMIF(B2500:B2976, "2022-12-01",O2500:O2976)</f>
        <v>0</v>
      </c>
      <c r="P2982" s="15">
        <f>SUMIF(B2500:B2976, "2022-12-01",P2500:P2976)</f>
        <v>3</v>
      </c>
      <c r="Q2982" s="15">
        <f>SUMIF(B2500:B2976, "2022-12-01",Q2500:Q2976)</f>
        <v>0</v>
      </c>
      <c r="R2982" s="15">
        <f>SUMIF(B2500:B2976, "2022-12-01",R2500:R2976)</f>
        <v>1</v>
      </c>
      <c r="S2982" s="15">
        <f>SUMIF(B2500:B2976, "2022-12-01",S2500:S2976)</f>
        <v>4</v>
      </c>
      <c r="T2982" s="15">
        <f>SUMIF(B2500:B2976, "2022-12-01",T2500:T2976)</f>
        <v>1</v>
      </c>
      <c r="U2982" s="15">
        <f>SUMIF(B2500:B2976, "2022-12-01",U2500:U2976)</f>
        <v>0</v>
      </c>
      <c r="V2982" s="15">
        <f>SUMIF(B2500:B2976, "2022-12-01",V2500:V2976)</f>
        <v>0</v>
      </c>
      <c r="W2982" s="15">
        <f>SUMIF(B2500:B2976, "2022-12-01",W2500:W2976)</f>
        <v>0</v>
      </c>
      <c r="X2982" s="15">
        <f>SUMIF(B2500:B2976, "2022-12-01",X2500:X2976)</f>
        <v>0</v>
      </c>
      <c r="Y2982">
        <f>SUMIF(B2500:B2976, "2022-12-01",Y2500:Y2976)</f>
        <v>1</v>
      </c>
    </row>
    <row r="2983" spans="2:25" x14ac:dyDescent="0.25">
      <c r="I2983" s="19">
        <v>44897</v>
      </c>
      <c r="J2983" s="15">
        <v>2</v>
      </c>
      <c r="K2983" s="15">
        <v>2</v>
      </c>
      <c r="L2983" s="15">
        <v>1</v>
      </c>
      <c r="M2983" s="15">
        <f>SUMIF(B2500:B2976, "2022-12-02",M2500:M2976)</f>
        <v>0</v>
      </c>
      <c r="N2983" s="15">
        <f>SUMIF(B2500:B2976, "2022-12-02",N2500:N2976)</f>
        <v>2</v>
      </c>
      <c r="O2983" s="15">
        <f>SUMIF(B2500:B2976, "2022-12-02",O2500:O2976)</f>
        <v>5</v>
      </c>
      <c r="P2983" s="15">
        <f>SUMIF(B2500:B2976, "2022-12-02",P2500:P2976)</f>
        <v>8</v>
      </c>
      <c r="Q2983" s="15">
        <f>SUMIF(B2500:B2976, "2022-12-02",Q2500:Q2976)</f>
        <v>9</v>
      </c>
      <c r="R2983" s="15">
        <f>SUMIF(B2500:B2976, "2022-12-02",R2500:R2976)</f>
        <v>3</v>
      </c>
      <c r="S2983" s="15">
        <f>SUMIF(B2500:B2976, "2022-12-02",S2500:S2976)</f>
        <v>18</v>
      </c>
      <c r="T2983" s="15">
        <f>SUMIF(B2500:B2976, "2022-12-02",T2500:T2976)</f>
        <v>5</v>
      </c>
      <c r="U2983" s="15">
        <f>SUMIF(B2500:B2976, "2022-12-02",U2500:U2976)</f>
        <v>0</v>
      </c>
      <c r="V2983" s="15">
        <f>SUMIF(B2500:B2976, "2022-12-02",V2500:V2976)</f>
        <v>4</v>
      </c>
      <c r="W2983" s="15">
        <f>SUMIF(B2500:B2976, "2022-12-02",W2500:W2976)</f>
        <v>18</v>
      </c>
      <c r="X2983" s="15">
        <f>SUMIF(B2500:B2976, "2022-12-02",X2500:X2976)</f>
        <v>2</v>
      </c>
      <c r="Y2983">
        <f>SUMIF(B2500:B2976, "2022-12-02",Y2500:Y2976)</f>
        <v>5</v>
      </c>
    </row>
    <row r="2984" spans="2:25" x14ac:dyDescent="0.25">
      <c r="I2984" s="19">
        <v>44898</v>
      </c>
      <c r="J2984" s="15">
        <v>0</v>
      </c>
      <c r="K2984" s="15">
        <v>1</v>
      </c>
      <c r="L2984" s="15">
        <v>0</v>
      </c>
      <c r="M2984" s="15">
        <f>SUMIF(B2500:B2976, "2022-12-03",M2500:M2976)</f>
        <v>1</v>
      </c>
      <c r="N2984" s="15">
        <f>SUMIF(B2500:B2976, "2022-12-03",N2500:N2976)</f>
        <v>5</v>
      </c>
      <c r="O2984" s="15">
        <f>SUMIF(B2500:B2976, "2022-12-03",O2500:O2976)</f>
        <v>3</v>
      </c>
      <c r="P2984" s="15">
        <f>SUMIF(B2500:B2976, "2022-12-03",P2500:P2976)</f>
        <v>5</v>
      </c>
      <c r="Q2984" s="15">
        <f>SUMIF(B2500:B2976, "2022-12-03",Q2500:Q2976)</f>
        <v>13</v>
      </c>
      <c r="R2984" s="15">
        <f>SUMIF(B2500:B2976, "2022-12-03",R2500:R2976)</f>
        <v>2</v>
      </c>
      <c r="S2984" s="15">
        <f>SUMIF(B2500:B2976, "2022-12-03",S2500:S2976)</f>
        <v>11</v>
      </c>
      <c r="T2984" s="15">
        <f>SUMIF(B2500:B2976, "2022-12-03",T2500:T2976)</f>
        <v>2</v>
      </c>
      <c r="U2984" s="15">
        <f>SUMIF(B2500:B2976, "2022-12-03",U2500:U2976)</f>
        <v>0</v>
      </c>
      <c r="V2984" s="15">
        <f>SUMIF(B2500:B2976, "2022-12-03",V2500:V2976)</f>
        <v>6</v>
      </c>
      <c r="W2984" s="15">
        <f>SUMIF(B2500:B2976, "2022-12-03",W2500:W2976)</f>
        <v>7</v>
      </c>
      <c r="X2984" s="15">
        <f>SUMIF(B2500:B2976, "2022-12-03",X2500:X2976)</f>
        <v>0</v>
      </c>
      <c r="Y2984" s="15">
        <f>SUMIF(B2500:B2976, "2022-12-03",Y2500:Y2976)</f>
        <v>4</v>
      </c>
    </row>
    <row r="2985" spans="2:25" x14ac:dyDescent="0.25">
      <c r="I2985" s="19">
        <v>44899</v>
      </c>
      <c r="J2985" s="15">
        <v>3</v>
      </c>
      <c r="K2985" s="15">
        <v>2</v>
      </c>
      <c r="L2985" s="15">
        <v>5</v>
      </c>
      <c r="M2985" s="15">
        <f>SUMIF(B2500:B2976, "2022-12-04",M2500:M2976)</f>
        <v>0</v>
      </c>
      <c r="N2985" s="15">
        <f>SUMIF(B2500:B2976, "2022-12-04",N2500:N2976)</f>
        <v>2</v>
      </c>
      <c r="O2985" s="15">
        <f>SUMIF(B2500:B2976, "2022-12-04",O2500:O2976)</f>
        <v>1</v>
      </c>
      <c r="P2985" s="15">
        <f>SUMIF(B2500:B2976, "2022-12-04",P2500:P2976)</f>
        <v>2</v>
      </c>
      <c r="Q2985" s="15">
        <f>SUMIF(B2500:B2976, "2022-12-04",Q2500:Q2976)</f>
        <v>4</v>
      </c>
      <c r="R2985" s="15">
        <f>SUMIF(B2500:B2976, "2022-12-04",R2500:R2976)</f>
        <v>0</v>
      </c>
      <c r="S2985" s="15">
        <f>SUMIF(B2500:B2976, "2022-12-04",S2500:S2976)</f>
        <v>2</v>
      </c>
      <c r="T2985" s="15">
        <f>SUMIF(B2500:B2976, "2022-12-04",T2500:T2976)</f>
        <v>1</v>
      </c>
      <c r="U2985" s="15">
        <f>SUMIF(B2500:B2976, "2022-12-04",U2500:U2976)</f>
        <v>0</v>
      </c>
      <c r="V2985" s="15">
        <f>SUMIF(B2500:B2976, "2022-12-04",V2500:V2976)</f>
        <v>2</v>
      </c>
      <c r="W2985" s="15">
        <f>SUMIF(B2500:B2976, "2022-12-04",W2500:W2976)</f>
        <v>4</v>
      </c>
      <c r="X2985" s="15">
        <f>SUMIF(B2500:B2976, "2022-12-04",X2500:X2976)</f>
        <v>0</v>
      </c>
      <c r="Y2985" s="15">
        <f>SUMIF(B2500:B2976, "2022-12-04",Y2500:Y2976)</f>
        <v>0</v>
      </c>
    </row>
    <row r="2986" spans="2:25" x14ac:dyDescent="0.25">
      <c r="I2986" s="19">
        <v>44900</v>
      </c>
      <c r="J2986" s="15">
        <v>1</v>
      </c>
      <c r="K2986" s="15">
        <v>4</v>
      </c>
      <c r="L2986" s="15">
        <v>4</v>
      </c>
      <c r="M2986" s="15">
        <f>SUMIF(B2500:B2976, "2022-12-05",M2500:M2976)</f>
        <v>0</v>
      </c>
      <c r="N2986" s="15">
        <f>SUMIF(B2500:B2976, "2022-12-05",N2500:N2976)</f>
        <v>2</v>
      </c>
      <c r="O2986" s="15">
        <f>SUMIF(B2500:B2976, "2022-12-05",O2500:O2976)</f>
        <v>1</v>
      </c>
      <c r="P2986" s="15">
        <f>SUMIF(B2500:B2976, "2022-12-05",P2500:P2976)</f>
        <v>1</v>
      </c>
      <c r="Q2986" s="15">
        <f>SUMIF(B2500:B2976, "2022-12-05",Q2500:Q2976)</f>
        <v>3</v>
      </c>
      <c r="R2986" s="15">
        <f>SUMIF(B2500:B2976, "2022-12-05",R2500:R2976)</f>
        <v>1</v>
      </c>
      <c r="S2986" s="15">
        <f>SUMIF(B2500:B2976, "2022-12-05",S2500:S2976)</f>
        <v>3</v>
      </c>
      <c r="T2986" s="15">
        <f>SUMIF(B2500:B2976, "2022-12-05",T2500:T2976)</f>
        <v>4</v>
      </c>
      <c r="U2986" s="15">
        <f>SUMIF(B2500:B2976, "2022-12-05",U2500:U2976)</f>
        <v>0</v>
      </c>
      <c r="V2986" s="15">
        <f>SUMIF(B2500:B2976, "2022-12-05",V2500:V2976)</f>
        <v>1</v>
      </c>
      <c r="W2986" s="15">
        <f>SUMIF(B2500:B2976, "2022-12-05",W2500:W2976)</f>
        <v>2</v>
      </c>
      <c r="X2986" s="15">
        <f>SUMIF(B2500:B2976, "2022-12-05",X2500:X2976)</f>
        <v>0</v>
      </c>
      <c r="Y2986" s="15">
        <f>SUMIF(B2500:B2976, "2022-12-05",Y2500:Y2976)</f>
        <v>2</v>
      </c>
    </row>
    <row r="2987" spans="2:25" x14ac:dyDescent="0.25">
      <c r="I2987" s="19">
        <v>44901</v>
      </c>
      <c r="J2987" s="15">
        <v>0</v>
      </c>
      <c r="K2987" s="15">
        <v>1</v>
      </c>
      <c r="L2987" s="15">
        <v>1</v>
      </c>
      <c r="M2987" s="15">
        <f>SUMIF(B2500:B2976, "2022-12-06",M2500:M2976)</f>
        <v>1</v>
      </c>
      <c r="N2987" s="15">
        <f>SUMIF(B2500:B2976, "2022-12-06",N2500:N2976)</f>
        <v>3</v>
      </c>
      <c r="O2987" s="15">
        <f>SUMIF(B2500:B2976, "2022-12-06",O2500:O2976)</f>
        <v>0</v>
      </c>
      <c r="P2987" s="15">
        <f>SUMIF(B2500:B2976, "2022-12-06",P2500:P2976)</f>
        <v>3</v>
      </c>
      <c r="Q2987" s="15">
        <f>SUMIF(B2500:B2976, "2022-12-06",Q2500:Q2976)</f>
        <v>7</v>
      </c>
      <c r="R2987" s="15">
        <f>SUMIF(B2500:B2976, "2022-12-06",R2500:R2976)</f>
        <v>5</v>
      </c>
      <c r="S2987" s="15">
        <f>SUMIF(B2500:B2976, "2022-12-06",S2500:S2976)</f>
        <v>18</v>
      </c>
      <c r="T2987" s="15">
        <f>SUMIF(B2500:B2976, "2022-12-06",T2500:T2976)</f>
        <v>7</v>
      </c>
      <c r="U2987" s="15">
        <f>SUMIF(B2500:B2976, "2022-12-06",U2500:U2976)</f>
        <v>0</v>
      </c>
      <c r="V2987" s="15">
        <f>SUMIF(B2500:B2976, "2022-12-06",V2500:V2976)</f>
        <v>2</v>
      </c>
      <c r="W2987" s="15">
        <f>SUMIF(B2500:B2976, "2022-12-06",W2500:W2976)</f>
        <v>13</v>
      </c>
      <c r="X2987" s="15">
        <f>SUMIF(B2500:B2976, "2022-12-06",X2500:X2976)</f>
        <v>1</v>
      </c>
      <c r="Y2987" s="15">
        <f>SUMIF(B2500:B2976, "2022-12-06",Y2500:Y2976)</f>
        <v>5</v>
      </c>
    </row>
    <row r="2988" spans="2:25" x14ac:dyDescent="0.25">
      <c r="I2988" s="19">
        <v>44902</v>
      </c>
      <c r="J2988" s="15">
        <v>0</v>
      </c>
      <c r="K2988" s="15">
        <v>1</v>
      </c>
      <c r="L2988" s="15">
        <v>2</v>
      </c>
      <c r="M2988" s="15">
        <f>SUMIF(B2500:B2976, "2022-12-07",M2500:M2976)</f>
        <v>0</v>
      </c>
      <c r="N2988" s="15">
        <f>SUMIF(B2500:B2976, "2022-12-07",N2500:N2976)</f>
        <v>2</v>
      </c>
      <c r="O2988" s="15">
        <f>SUMIF(B2500:B2976, "2022-12-07",O2500:O2976)</f>
        <v>6</v>
      </c>
      <c r="P2988" s="15">
        <f>SUMIF(B2500:B2976, "2022-12-07",P2500:P2976)</f>
        <v>3</v>
      </c>
      <c r="Q2988" s="15">
        <f>SUMIF(B2500:B2976, "2022-12-07",Q2500:Q2976)</f>
        <v>5</v>
      </c>
      <c r="R2988" s="15">
        <f>SUMIF(B2500:B2976, "2022-12-07",R2500:R2976)</f>
        <v>1</v>
      </c>
      <c r="S2988" s="15">
        <f>SUMIF(B2500:B2976, "2022-12-07",S2500:S2976)</f>
        <v>20</v>
      </c>
      <c r="T2988" s="15">
        <f>SUMIF(B2500:B2976, "2022-12-07",T2500:T2976)</f>
        <v>6</v>
      </c>
      <c r="U2988" s="15">
        <f>SUMIF(B2500:B2976, "2022-12-07",U2500:U2976)</f>
        <v>0</v>
      </c>
      <c r="V2988" s="15">
        <f>SUMIF(B2500:B2976, "2022-12-07",V2500:V2976)</f>
        <v>3</v>
      </c>
      <c r="W2988" s="15">
        <f>SUMIF(B2500:B2976, "2022-12-07",W2500:W2976)</f>
        <v>6</v>
      </c>
      <c r="X2988" s="15">
        <f>SUMIF(B2500:B2976, "2022-12-07",X2500:X2976)</f>
        <v>2</v>
      </c>
      <c r="Y2988" s="15">
        <f>SUMIF(B2500:B2976, "2022-12-07",Y2500:Y2976)</f>
        <v>0</v>
      </c>
    </row>
    <row r="2989" spans="2:25" x14ac:dyDescent="0.25">
      <c r="I2989" s="19">
        <v>44903</v>
      </c>
      <c r="J2989" s="15">
        <v>0</v>
      </c>
      <c r="K2989" s="15">
        <v>3</v>
      </c>
      <c r="L2989" s="15">
        <v>0</v>
      </c>
      <c r="M2989" s="15">
        <f>SUMIF(B2500:B2976, "2022-12-08",M2500:M2976)</f>
        <v>0</v>
      </c>
      <c r="N2989" s="15">
        <f>SUMIF(B2500:B2976, "2022-12-08",N2500:N2976)</f>
        <v>0</v>
      </c>
      <c r="O2989" s="15">
        <f>SUMIF(B2500:B2976, "2022-12-08",O2500:O2976)</f>
        <v>0</v>
      </c>
      <c r="P2989" s="15">
        <f>SUMIF(B2500:B2976, "2022-12-08",P2500:P2976)</f>
        <v>2</v>
      </c>
      <c r="Q2989" s="15">
        <f>SUMIF(B2500:B2976, "2022-12-08",Q2500:Q2976)</f>
        <v>1</v>
      </c>
      <c r="R2989" s="15">
        <f>SUMIF(B2500:B2976, "2022-12-08",R2500:R2976)</f>
        <v>1</v>
      </c>
      <c r="S2989" s="15">
        <f>SUMIF(B2500:B2976, "2022-12-08",S2500:S2976)</f>
        <v>5</v>
      </c>
      <c r="T2989" s="15">
        <f>SUMIF(B2500:B2976, "2022-12-08",T2500:T2976)</f>
        <v>0</v>
      </c>
      <c r="U2989" s="15">
        <f>SUMIF(B2500:B2976, "2022-12-08",U2500:U2976)</f>
        <v>1</v>
      </c>
      <c r="V2989" s="15">
        <f>SUMIF(B2500:B2976, "2022-12-08",V2500:V2976)</f>
        <v>1</v>
      </c>
      <c r="W2989" s="15">
        <f>SUMIF(B2500:B2976, "2022-12-08",W2500:W2976)</f>
        <v>1</v>
      </c>
      <c r="X2989" s="15">
        <f>SUMIF(B2500:B2976, "2022-12-08",X2500:X2976)</f>
        <v>0</v>
      </c>
      <c r="Y2989" s="15">
        <f>SUMIF(B2500:B2976, "2022-12-08",Y2500:Y2976)</f>
        <v>0</v>
      </c>
    </row>
    <row r="2990" spans="2:25" x14ac:dyDescent="0.25">
      <c r="I2990" s="19">
        <v>44904</v>
      </c>
      <c r="J2990" s="15">
        <v>0</v>
      </c>
      <c r="K2990" s="15">
        <v>3</v>
      </c>
      <c r="L2990" s="15">
        <v>0</v>
      </c>
      <c r="M2990" s="15">
        <f>SUMIF(B2500:B2976, "2022-12-09",M2500:M2976)</f>
        <v>0</v>
      </c>
      <c r="N2990" s="15">
        <f>SUMIF(B2500:B2976, "2022-12-09",N2500:N2976)</f>
        <v>3</v>
      </c>
      <c r="O2990" s="15">
        <f>SUMIF(B2500:B2976, "2022-12-09",O2500:O2976)</f>
        <v>5</v>
      </c>
      <c r="P2990" s="15">
        <f>SUMIF(B2500:B2976, "2022-12-09",P2500:P2976)</f>
        <v>6</v>
      </c>
      <c r="Q2990" s="15">
        <f>SUMIF(B2500:B2976, "2022-12-09",Q2500:Q2976)</f>
        <v>5</v>
      </c>
      <c r="R2990" s="15">
        <f>SUMIF(B2500:B2976, "2022-12-09",R2500:R2976)</f>
        <v>0</v>
      </c>
      <c r="S2990" s="15">
        <f>SUMIF(B2500:B2976, "2022-12-09",S2500:S2976)</f>
        <v>16</v>
      </c>
      <c r="T2990" s="15">
        <f>SUMIF(B2500:B2976, "2022-12-09",T2500:T2976)</f>
        <v>8</v>
      </c>
      <c r="U2990" s="15">
        <f>SUMIF(B2500:B2976, "2022-12-09",U2500:U2976)</f>
        <v>0</v>
      </c>
      <c r="V2990" s="15">
        <f>SUMIF(B2500:B2976, "2022-12-09",V2500:V2976)</f>
        <v>3</v>
      </c>
      <c r="W2990" s="15">
        <f>SUMIF(B2500:B2976, "2022-12-09",W2500:W2976)</f>
        <v>9</v>
      </c>
      <c r="X2990" s="15">
        <f>SUMIF(B2500:B2976, "2022-12-09",X2500:X2976)</f>
        <v>2</v>
      </c>
      <c r="Y2990" s="15">
        <f>SUMIF(B2500:B2976, "2022-12-09",Y2500:Y2976)</f>
        <v>1</v>
      </c>
    </row>
    <row r="2991" spans="2:25" x14ac:dyDescent="0.25">
      <c r="I2991" s="19">
        <v>44905</v>
      </c>
      <c r="J2991" s="15">
        <v>0</v>
      </c>
      <c r="K2991" s="15">
        <v>0</v>
      </c>
      <c r="L2991" s="15">
        <v>0</v>
      </c>
      <c r="M2991" s="15">
        <f>SUMIF(B2500:B2976, "2022-12-10",M2500:M2976)</f>
        <v>1</v>
      </c>
      <c r="N2991" s="15">
        <f>SUMIF(B2500:B2976, "2022-12-10",N2500:N2976)</f>
        <v>8</v>
      </c>
      <c r="O2991" s="15">
        <f>SUMIF(B2500:B2976, "2022-12-10",O2500:O2976)</f>
        <v>0</v>
      </c>
      <c r="P2991" s="15">
        <f>SUMIF(B2500:B2976, "2022-12-10",P2500:P2976)</f>
        <v>6</v>
      </c>
      <c r="Q2991" s="15">
        <f>SUMIF(B2500:B2976, "2022-12-10",Q2500:Q2976)</f>
        <v>10</v>
      </c>
      <c r="R2991" s="15">
        <f>SUMIF(B2500:B2976, "2022-12-10",R2500:R2976)</f>
        <v>1</v>
      </c>
      <c r="S2991" s="15">
        <f>SUMIF(B2500:B2976, "2022-12-10",S2500:S2976)</f>
        <v>22</v>
      </c>
      <c r="T2991" s="15">
        <f>SUMIF(B2500:B2976, "2022-12-10",T2500:T2976)</f>
        <v>3</v>
      </c>
      <c r="U2991" s="15">
        <f>SUMIF(B2500:B2976, "2022-12-10",U2500:U2976)</f>
        <v>0</v>
      </c>
      <c r="V2991" s="15">
        <f>SUMIF(B2500:B2976, "2022-12-10",V2500:V2976)</f>
        <v>2</v>
      </c>
      <c r="W2991" s="15">
        <f>SUMIF(B2500:B2976, "2022-12-10",W2500:W2976)</f>
        <v>9</v>
      </c>
      <c r="X2991" s="15">
        <f>SUMIF(B2500:B2976, "2022-12-10",X2500:X2976)</f>
        <v>1</v>
      </c>
      <c r="Y2991" s="15">
        <f>SUMIF(B2500:B2976, "2022-12-10",Y2500:Y2976)</f>
        <v>3</v>
      </c>
    </row>
    <row r="2992" spans="2:25" x14ac:dyDescent="0.25">
      <c r="I2992" s="19">
        <v>44906</v>
      </c>
      <c r="J2992" s="15">
        <v>1</v>
      </c>
      <c r="K2992" s="15">
        <v>9</v>
      </c>
      <c r="L2992" s="15">
        <v>2</v>
      </c>
      <c r="M2992" s="15">
        <f>SUMIF(B2500:B2976, "2022-12-11",M2500:M2976)</f>
        <v>0</v>
      </c>
      <c r="N2992" s="15">
        <f>SUMIF(B2500:B2976, "2022-12-11",N2500:N2976)</f>
        <v>3</v>
      </c>
      <c r="O2992" s="15">
        <f>SUMIF(B2500:B2976, "2022-12-11",O2500:O2976)</f>
        <v>1</v>
      </c>
      <c r="P2992" s="15">
        <f>SUMIF(B2500:B2976, "2022-12-11",P2500:P2976)</f>
        <v>4</v>
      </c>
      <c r="Q2992" s="15">
        <f>SUMIF(B2500:B2976, "2022-12-11",Q2500:Q2976)</f>
        <v>5</v>
      </c>
      <c r="R2992" s="15">
        <f>SUMIF(B2500:B2976, "2022-12-11",R2500:R2976)</f>
        <v>0</v>
      </c>
      <c r="S2992" s="15">
        <f>SUMIF(B2500:B2976, "2022-12-11",S2500:S2976)</f>
        <v>16</v>
      </c>
      <c r="T2992" s="15">
        <f>SUMIF(B2500:B2976, "2022-12-11",T2500:T2976)</f>
        <v>5</v>
      </c>
      <c r="U2992" s="15">
        <f>SUMIF(B2500:B2976, "2022-12-11",U2500:U2976)</f>
        <v>0</v>
      </c>
      <c r="V2992" s="15">
        <f>SUMIF(B2500:B2976, "2022-12-11",V2500:V2976)</f>
        <v>3</v>
      </c>
      <c r="W2992" s="15">
        <f>SUMIF(B2500:B2976, "2022-12-11",W2500:W2976)</f>
        <v>6</v>
      </c>
      <c r="X2992" s="15">
        <f>SUMIF(B2500:B2976, "2022-12-11",X2500:X2976)</f>
        <v>1</v>
      </c>
      <c r="Y2992" s="15">
        <f>SUMIF(B2500:B2976, "2022-12-11",Y2500:Y2976)</f>
        <v>0</v>
      </c>
    </row>
    <row r="2993" spans="1:25" x14ac:dyDescent="0.25">
      <c r="I2993" s="19">
        <v>44907</v>
      </c>
      <c r="J2993" s="15">
        <v>0</v>
      </c>
      <c r="K2993" s="15">
        <v>7</v>
      </c>
      <c r="L2993" s="15">
        <v>5</v>
      </c>
      <c r="M2993" s="15">
        <f>SUMIF(B2500:B2976, "2022-12-12",M2500:M2976)</f>
        <v>1</v>
      </c>
      <c r="N2993" s="15">
        <f>SUMIF(B2500:B2976, "2022-12-12",N2500:N2976)</f>
        <v>2</v>
      </c>
      <c r="O2993" s="15">
        <f>SUMIF(B2500:B2976, "2022-12-12",O2500:O2976)</f>
        <v>1</v>
      </c>
      <c r="P2993" s="15">
        <f>SUMIF(B2500:B2976, "2022-12-12",P2500:P2976)</f>
        <v>2</v>
      </c>
      <c r="Q2993" s="15">
        <f>SUMIF(B2500:B2976, "2022-12-12",Q2500:Q2976)</f>
        <v>1</v>
      </c>
      <c r="R2993" s="15">
        <f>SUMIF(B2500:B2976, "2022-12-12",R2500:R2976)</f>
        <v>0</v>
      </c>
      <c r="S2993" s="15">
        <f>SUMIF(B2500:B2976, "2022-12-12",S2500:S2976)</f>
        <v>4</v>
      </c>
      <c r="T2993" s="15">
        <f>SUMIF(B2500:B2976, "2022-12-12",T2500:T2976)</f>
        <v>0</v>
      </c>
      <c r="U2993" s="15">
        <f>SUMIF(B2500:B2976, "2022-12-12",U2500:U2976)</f>
        <v>0</v>
      </c>
      <c r="V2993" s="15">
        <f>SUMIF(B2500:B2976, "2022-12-12",V2500:V2976)</f>
        <v>1</v>
      </c>
      <c r="W2993" s="15">
        <f>SUMIF(B2500:B2976, "2022-12-12",W2500:W2976)</f>
        <v>3</v>
      </c>
      <c r="X2993" s="15">
        <f>SUMIF(B2500:B2976, "2022-12-12",X2500:X2976)</f>
        <v>0</v>
      </c>
      <c r="Y2993" s="15">
        <f>SUMIF(B2500:B2976, "2022-12-12",Y2500:Y2976)</f>
        <v>1</v>
      </c>
    </row>
    <row r="2994" spans="1:25" x14ac:dyDescent="0.25">
      <c r="I2994" s="19">
        <v>44908</v>
      </c>
      <c r="J2994" s="15">
        <v>1</v>
      </c>
      <c r="K2994" s="15">
        <v>1</v>
      </c>
      <c r="L2994" s="15">
        <v>4</v>
      </c>
      <c r="M2994" s="15">
        <f>SUMIF(B2500:B2976, "2022-12-13",M2500:M2976)</f>
        <v>0</v>
      </c>
      <c r="N2994" s="15">
        <f>SUMIF(B2500:B2976, "2022-12-13",N2500:N2976)</f>
        <v>2</v>
      </c>
      <c r="O2994" s="15">
        <f>SUMIF(B2500:B2976, "2022-12-13",O2500:O2976)</f>
        <v>2</v>
      </c>
      <c r="P2994" s="15">
        <f>SUMIF(B2500:B2976, "2022-12-13",P2500:P2976)</f>
        <v>7</v>
      </c>
      <c r="Q2994" s="15">
        <f>SUMIF(B2500:B2976, "2022-12-13",Q2500:Q2976)</f>
        <v>2</v>
      </c>
      <c r="R2994" s="15">
        <f>SUMIF(B2500:B2976, "2022-12-13",R2500:R2976)</f>
        <v>0</v>
      </c>
      <c r="S2994" s="15">
        <f>SUMIF(B2500:B2976, "2022-12-13",S2500:S2976)</f>
        <v>17</v>
      </c>
      <c r="T2994" s="15">
        <f>SUMIF(B2500:B2976, "2022-12-13",T2500:T2976)</f>
        <v>4</v>
      </c>
      <c r="U2994" s="15">
        <f>SUMIF(B2500:B2976, "2022-12-13",U2500:U2976)</f>
        <v>0</v>
      </c>
      <c r="V2994" s="15">
        <f>SUMIF(B2500:B2976, "2022-12-13",V2500:V2976)</f>
        <v>2</v>
      </c>
      <c r="W2994" s="15">
        <f>SUMIF(B2500:B2976, "2022-12-13",W2500:W2976)</f>
        <v>5</v>
      </c>
      <c r="X2994" s="15">
        <f>SUMIF(B2500:B2976, "2022-12-13",X2500:X2976)</f>
        <v>3</v>
      </c>
      <c r="Y2994" s="15">
        <f>SUMIF(B2500:B2976, "2022-12-13",Y2500:Y2976)</f>
        <v>4</v>
      </c>
    </row>
    <row r="3000" spans="1:25" ht="105" x14ac:dyDescent="0.25">
      <c r="A3000" t="s">
        <v>26</v>
      </c>
      <c r="B3000" t="s">
        <v>4431</v>
      </c>
      <c r="I3000" s="1" t="s">
        <v>4432</v>
      </c>
      <c r="O3000" s="15">
        <v>1</v>
      </c>
      <c r="S3000" s="15">
        <v>1</v>
      </c>
    </row>
    <row r="3001" spans="1:25" ht="60" x14ac:dyDescent="0.25">
      <c r="A3001" t="s">
        <v>26</v>
      </c>
      <c r="B3001" t="s">
        <v>4431</v>
      </c>
      <c r="I3001" s="1" t="s">
        <v>4433</v>
      </c>
      <c r="T3001" s="15">
        <v>1</v>
      </c>
    </row>
    <row r="3002" spans="1:25" ht="30" x14ac:dyDescent="0.25">
      <c r="A3002" t="s">
        <v>49</v>
      </c>
      <c r="B3002" t="s">
        <v>4431</v>
      </c>
      <c r="I3002" s="1" t="s">
        <v>4434</v>
      </c>
      <c r="S3002" s="15">
        <v>1</v>
      </c>
    </row>
    <row r="3003" spans="1:25" ht="75" x14ac:dyDescent="0.25">
      <c r="A3003" t="s">
        <v>26</v>
      </c>
      <c r="B3003" t="s">
        <v>4431</v>
      </c>
      <c r="I3003" s="1" t="s">
        <v>4435</v>
      </c>
      <c r="S3003" s="15">
        <v>1</v>
      </c>
    </row>
    <row r="3004" spans="1:25" ht="60" x14ac:dyDescent="0.25">
      <c r="A3004" t="s">
        <v>91</v>
      </c>
      <c r="B3004" t="s">
        <v>4431</v>
      </c>
      <c r="I3004" s="1" t="s">
        <v>4436</v>
      </c>
      <c r="P3004" s="15">
        <v>1</v>
      </c>
      <c r="Q3004" s="15">
        <v>1</v>
      </c>
      <c r="Y3004">
        <v>1</v>
      </c>
    </row>
    <row r="3005" spans="1:25" x14ac:dyDescent="0.25">
      <c r="A3005" t="s">
        <v>26</v>
      </c>
      <c r="B3005" t="s">
        <v>4431</v>
      </c>
      <c r="I3005" s="1" t="s">
        <v>4437</v>
      </c>
      <c r="O3005" s="15">
        <v>1</v>
      </c>
      <c r="S3005" s="15">
        <v>1</v>
      </c>
    </row>
    <row r="3006" spans="1:25" ht="105" x14ac:dyDescent="0.25">
      <c r="A3006" t="s">
        <v>64</v>
      </c>
      <c r="B3006" t="s">
        <v>4431</v>
      </c>
      <c r="I3006" s="1" t="s">
        <v>4438</v>
      </c>
      <c r="Q3006" s="15">
        <v>1</v>
      </c>
    </row>
    <row r="3007" spans="1:25" ht="105" x14ac:dyDescent="0.25">
      <c r="A3007" t="s">
        <v>26</v>
      </c>
      <c r="B3007" t="s">
        <v>4431</v>
      </c>
      <c r="I3007" s="1" t="s">
        <v>4439</v>
      </c>
      <c r="W3007" s="15">
        <v>1</v>
      </c>
      <c r="Y3007">
        <v>1</v>
      </c>
    </row>
    <row r="3008" spans="1:25" ht="105" x14ac:dyDescent="0.25">
      <c r="A3008" t="s">
        <v>26</v>
      </c>
      <c r="B3008" t="s">
        <v>4431</v>
      </c>
      <c r="I3008" s="1" t="s">
        <v>4440</v>
      </c>
      <c r="S3008" s="15">
        <v>1</v>
      </c>
    </row>
    <row r="3009" spans="1:25" ht="90" x14ac:dyDescent="0.25">
      <c r="A3009" t="s">
        <v>26</v>
      </c>
      <c r="B3009" t="s">
        <v>4431</v>
      </c>
      <c r="I3009" s="1" t="s">
        <v>4441</v>
      </c>
      <c r="Q3009" s="15">
        <v>1</v>
      </c>
      <c r="V3009" s="15">
        <v>1</v>
      </c>
    </row>
    <row r="3010" spans="1:25" ht="45" x14ac:dyDescent="0.25">
      <c r="A3010" t="s">
        <v>49</v>
      </c>
      <c r="B3010" t="s">
        <v>4431</v>
      </c>
      <c r="I3010" s="1" t="s">
        <v>4442</v>
      </c>
      <c r="S3010" s="15">
        <v>1</v>
      </c>
    </row>
    <row r="3011" spans="1:25" ht="60" x14ac:dyDescent="0.25">
      <c r="A3011" t="s">
        <v>91</v>
      </c>
      <c r="B3011" t="s">
        <v>4431</v>
      </c>
      <c r="I3011" s="1" t="s">
        <v>4443</v>
      </c>
      <c r="Y3011">
        <v>1</v>
      </c>
    </row>
    <row r="3012" spans="1:25" ht="30" x14ac:dyDescent="0.25">
      <c r="A3012" t="s">
        <v>37</v>
      </c>
      <c r="B3012" t="s">
        <v>4431</v>
      </c>
      <c r="I3012" s="1" t="s">
        <v>4444</v>
      </c>
      <c r="Q3012" s="15">
        <v>1</v>
      </c>
      <c r="W3012" s="15">
        <v>1</v>
      </c>
    </row>
    <row r="3013" spans="1:25" ht="120" x14ac:dyDescent="0.25">
      <c r="A3013" t="s">
        <v>26</v>
      </c>
      <c r="B3013" t="s">
        <v>4445</v>
      </c>
      <c r="I3013" s="1" t="s">
        <v>4446</v>
      </c>
      <c r="O3013" s="15">
        <v>1</v>
      </c>
      <c r="S3013" s="15">
        <v>1</v>
      </c>
    </row>
    <row r="3014" spans="1:25" ht="105" x14ac:dyDescent="0.25">
      <c r="A3014" t="s">
        <v>26</v>
      </c>
      <c r="B3014" t="s">
        <v>4445</v>
      </c>
      <c r="I3014" s="1" t="s">
        <v>4447</v>
      </c>
      <c r="P3014" s="15">
        <v>1</v>
      </c>
      <c r="W3014" s="15">
        <v>1</v>
      </c>
    </row>
    <row r="3015" spans="1:25" ht="45" x14ac:dyDescent="0.25">
      <c r="A3015" t="s">
        <v>26</v>
      </c>
      <c r="B3015" t="s">
        <v>4445</v>
      </c>
      <c r="I3015" s="1" t="s">
        <v>4448</v>
      </c>
      <c r="S3015" s="15">
        <v>1</v>
      </c>
    </row>
    <row r="3016" spans="1:25" ht="60" x14ac:dyDescent="0.25">
      <c r="A3016" t="s">
        <v>26</v>
      </c>
      <c r="B3016" t="s">
        <v>4445</v>
      </c>
      <c r="I3016" s="1" t="s">
        <v>4449</v>
      </c>
      <c r="O3016" s="15">
        <v>1</v>
      </c>
      <c r="S3016" s="15">
        <v>1</v>
      </c>
    </row>
    <row r="3017" spans="1:25" ht="30" x14ac:dyDescent="0.25">
      <c r="A3017" t="s">
        <v>26</v>
      </c>
      <c r="B3017" t="s">
        <v>4445</v>
      </c>
      <c r="I3017" s="1" t="s">
        <v>4450</v>
      </c>
      <c r="Q3017" s="15">
        <v>1</v>
      </c>
    </row>
    <row r="3018" spans="1:25" ht="60" x14ac:dyDescent="0.25">
      <c r="A3018" t="s">
        <v>59</v>
      </c>
      <c r="B3018" t="s">
        <v>4445</v>
      </c>
      <c r="I3018" s="1" t="s">
        <v>4451</v>
      </c>
      <c r="R3018" s="15">
        <v>1</v>
      </c>
      <c r="V3018" s="15">
        <v>1</v>
      </c>
    </row>
    <row r="3019" spans="1:25" ht="60" x14ac:dyDescent="0.25">
      <c r="A3019" t="s">
        <v>49</v>
      </c>
      <c r="B3019" t="s">
        <v>4445</v>
      </c>
      <c r="I3019" s="1" t="s">
        <v>4452</v>
      </c>
      <c r="W3019" s="15">
        <v>1</v>
      </c>
    </row>
    <row r="3020" spans="1:25" ht="75" x14ac:dyDescent="0.25">
      <c r="A3020" t="s">
        <v>59</v>
      </c>
      <c r="B3020" t="s">
        <v>4445</v>
      </c>
      <c r="I3020" s="1" t="s">
        <v>4453</v>
      </c>
      <c r="O3020" s="15">
        <v>1</v>
      </c>
    </row>
    <row r="3021" spans="1:25" ht="105" x14ac:dyDescent="0.25">
      <c r="A3021" t="s">
        <v>37</v>
      </c>
      <c r="B3021" t="s">
        <v>4445</v>
      </c>
      <c r="I3021" s="1" t="s">
        <v>4454</v>
      </c>
      <c r="Q3021" s="15">
        <v>1</v>
      </c>
      <c r="T3021" s="15">
        <v>1</v>
      </c>
    </row>
    <row r="3022" spans="1:25" ht="30" x14ac:dyDescent="0.25">
      <c r="A3022" t="s">
        <v>49</v>
      </c>
      <c r="B3022" t="s">
        <v>4455</v>
      </c>
      <c r="I3022" s="1" t="s">
        <v>4456</v>
      </c>
      <c r="P3022" s="15">
        <v>1</v>
      </c>
      <c r="Q3022" s="15">
        <v>1</v>
      </c>
    </row>
    <row r="3023" spans="1:25" ht="105" x14ac:dyDescent="0.25">
      <c r="A3023" t="s">
        <v>49</v>
      </c>
      <c r="B3023" t="s">
        <v>4455</v>
      </c>
      <c r="I3023" s="1" t="s">
        <v>4457</v>
      </c>
      <c r="S3023" s="15">
        <v>1</v>
      </c>
    </row>
    <row r="3024" spans="1:25" ht="45" x14ac:dyDescent="0.25">
      <c r="A3024" t="s">
        <v>49</v>
      </c>
      <c r="B3024" t="s">
        <v>4455</v>
      </c>
      <c r="I3024" s="1" t="s">
        <v>4458</v>
      </c>
      <c r="O3024" s="15">
        <v>1</v>
      </c>
      <c r="S3024" s="15">
        <v>1</v>
      </c>
    </row>
    <row r="3025" spans="1:25" ht="60" x14ac:dyDescent="0.25">
      <c r="A3025" t="s">
        <v>26</v>
      </c>
      <c r="B3025" t="s">
        <v>4455</v>
      </c>
      <c r="I3025" s="1" t="s">
        <v>4459</v>
      </c>
      <c r="S3025" s="15">
        <v>1</v>
      </c>
    </row>
    <row r="3026" spans="1:25" x14ac:dyDescent="0.25">
      <c r="A3026" t="s">
        <v>49</v>
      </c>
      <c r="B3026" t="s">
        <v>4455</v>
      </c>
      <c r="I3026" s="1" t="s">
        <v>4460</v>
      </c>
      <c r="O3026" s="15">
        <v>1</v>
      </c>
    </row>
    <row r="3027" spans="1:25" ht="30" x14ac:dyDescent="0.25">
      <c r="A3027" t="s">
        <v>26</v>
      </c>
      <c r="B3027" t="s">
        <v>4455</v>
      </c>
      <c r="I3027" s="1" t="s">
        <v>4461</v>
      </c>
      <c r="O3027" s="15">
        <v>1</v>
      </c>
      <c r="S3027" s="15">
        <v>1</v>
      </c>
    </row>
    <row r="3028" spans="1:25" ht="90" x14ac:dyDescent="0.25">
      <c r="A3028" t="s">
        <v>26</v>
      </c>
      <c r="B3028" t="s">
        <v>4462</v>
      </c>
      <c r="I3028" s="1" t="s">
        <v>4463</v>
      </c>
      <c r="W3028" s="15">
        <v>1</v>
      </c>
    </row>
    <row r="3029" spans="1:25" ht="105" x14ac:dyDescent="0.25">
      <c r="A3029" t="s">
        <v>26</v>
      </c>
      <c r="B3029" t="s">
        <v>4462</v>
      </c>
      <c r="I3029" s="1" t="s">
        <v>4464</v>
      </c>
      <c r="Q3029" s="15">
        <v>1</v>
      </c>
    </row>
    <row r="3030" spans="1:25" x14ac:dyDescent="0.25">
      <c r="A3030" t="s">
        <v>26</v>
      </c>
      <c r="B3030" t="s">
        <v>4462</v>
      </c>
      <c r="I3030" s="1" t="s">
        <v>4465</v>
      </c>
      <c r="Q3030" s="15">
        <v>1</v>
      </c>
    </row>
    <row r="3031" spans="1:25" x14ac:dyDescent="0.25">
      <c r="A3031" t="s">
        <v>26</v>
      </c>
      <c r="B3031" t="s">
        <v>4462</v>
      </c>
      <c r="I3031" s="1" t="s">
        <v>4466</v>
      </c>
      <c r="Q3031" s="15">
        <v>1</v>
      </c>
    </row>
    <row r="3032" spans="1:25" ht="45" x14ac:dyDescent="0.25">
      <c r="A3032" t="s">
        <v>26</v>
      </c>
      <c r="B3032" t="s">
        <v>4462</v>
      </c>
      <c r="I3032" s="1" t="s">
        <v>4467</v>
      </c>
      <c r="R3032" s="15">
        <v>1</v>
      </c>
      <c r="W3032" s="15">
        <v>1</v>
      </c>
    </row>
    <row r="3033" spans="1:25" ht="45" x14ac:dyDescent="0.25">
      <c r="A3033" t="s">
        <v>49</v>
      </c>
      <c r="B3033" t="s">
        <v>4462</v>
      </c>
      <c r="I3033" s="1" t="s">
        <v>4468</v>
      </c>
      <c r="Q3033" s="15">
        <v>1</v>
      </c>
    </row>
    <row r="3034" spans="1:25" ht="60" x14ac:dyDescent="0.25">
      <c r="A3034" t="s">
        <v>26</v>
      </c>
      <c r="B3034" t="s">
        <v>4462</v>
      </c>
      <c r="I3034" s="1" t="s">
        <v>4469</v>
      </c>
      <c r="O3034" s="15">
        <v>1</v>
      </c>
      <c r="S3034" s="15">
        <v>1</v>
      </c>
    </row>
    <row r="3035" spans="1:25" ht="60" x14ac:dyDescent="0.25">
      <c r="A3035" t="s">
        <v>26</v>
      </c>
      <c r="B3035" t="s">
        <v>4462</v>
      </c>
      <c r="I3035" s="1" t="s">
        <v>4470</v>
      </c>
      <c r="N3035" s="15">
        <v>1</v>
      </c>
      <c r="R3035" s="15">
        <v>1</v>
      </c>
      <c r="V3035" s="15">
        <v>1</v>
      </c>
    </row>
    <row r="3036" spans="1:25" ht="105" x14ac:dyDescent="0.25">
      <c r="A3036" t="s">
        <v>26</v>
      </c>
      <c r="B3036" t="s">
        <v>4462</v>
      </c>
      <c r="I3036" s="1" t="s">
        <v>4471</v>
      </c>
      <c r="S3036" s="15">
        <v>1</v>
      </c>
      <c r="Y3036">
        <v>1</v>
      </c>
    </row>
    <row r="3037" spans="1:25" ht="105" x14ac:dyDescent="0.25">
      <c r="A3037" t="s">
        <v>37</v>
      </c>
      <c r="B3037" t="s">
        <v>4462</v>
      </c>
      <c r="I3037" s="1" t="s">
        <v>4472</v>
      </c>
      <c r="W3037" s="15">
        <v>1</v>
      </c>
    </row>
    <row r="3038" spans="1:25" ht="45" x14ac:dyDescent="0.25">
      <c r="A3038" t="s">
        <v>26</v>
      </c>
      <c r="B3038" t="s">
        <v>4462</v>
      </c>
      <c r="I3038" s="1" t="s">
        <v>4473</v>
      </c>
      <c r="Q3038" s="15">
        <v>1</v>
      </c>
      <c r="V3038" s="15">
        <v>1</v>
      </c>
    </row>
    <row r="3039" spans="1:25" ht="90" x14ac:dyDescent="0.25">
      <c r="A3039" t="s">
        <v>26</v>
      </c>
      <c r="B3039" t="s">
        <v>4462</v>
      </c>
      <c r="I3039" s="1" t="s">
        <v>4474</v>
      </c>
      <c r="W3039" s="15">
        <v>1</v>
      </c>
    </row>
    <row r="3040" spans="1:25" ht="60" x14ac:dyDescent="0.25">
      <c r="A3040" t="s">
        <v>26</v>
      </c>
      <c r="B3040" t="s">
        <v>4462</v>
      </c>
      <c r="I3040" s="1" t="s">
        <v>4475</v>
      </c>
      <c r="S3040" s="15">
        <v>1</v>
      </c>
    </row>
    <row r="3041" spans="1:25" ht="105" x14ac:dyDescent="0.25">
      <c r="A3041" t="s">
        <v>26</v>
      </c>
      <c r="B3041" t="s">
        <v>4462</v>
      </c>
      <c r="I3041" s="1" t="s">
        <v>4476</v>
      </c>
      <c r="O3041" s="15">
        <v>1</v>
      </c>
    </row>
    <row r="3042" spans="1:25" ht="60" x14ac:dyDescent="0.25">
      <c r="A3042" t="s">
        <v>26</v>
      </c>
      <c r="B3042" t="s">
        <v>4462</v>
      </c>
      <c r="I3042" s="1" t="s">
        <v>4477</v>
      </c>
      <c r="N3042" s="15">
        <v>1</v>
      </c>
    </row>
    <row r="3043" spans="1:25" ht="30" x14ac:dyDescent="0.25">
      <c r="A3043" t="s">
        <v>26</v>
      </c>
      <c r="B3043" t="s">
        <v>4462</v>
      </c>
      <c r="I3043" s="1" t="s">
        <v>4478</v>
      </c>
      <c r="T3043" s="15">
        <v>1</v>
      </c>
    </row>
    <row r="3044" spans="1:25" ht="105" x14ac:dyDescent="0.25">
      <c r="A3044" t="s">
        <v>26</v>
      </c>
      <c r="B3044" t="s">
        <v>4462</v>
      </c>
      <c r="I3044" s="1" t="s">
        <v>4479</v>
      </c>
      <c r="Q3044" s="15">
        <v>1</v>
      </c>
      <c r="W3044" s="15">
        <v>1</v>
      </c>
    </row>
    <row r="3045" spans="1:25" ht="75" x14ac:dyDescent="0.25">
      <c r="A3045" t="s">
        <v>49</v>
      </c>
      <c r="B3045" t="s">
        <v>4462</v>
      </c>
      <c r="I3045" s="1" t="s">
        <v>4480</v>
      </c>
      <c r="S3045" s="15">
        <v>1</v>
      </c>
      <c r="X3045" s="15">
        <v>1</v>
      </c>
    </row>
    <row r="3046" spans="1:25" ht="75" x14ac:dyDescent="0.25">
      <c r="A3046" t="s">
        <v>26</v>
      </c>
      <c r="B3046" t="s">
        <v>4462</v>
      </c>
      <c r="I3046" s="1" t="s">
        <v>4481</v>
      </c>
      <c r="O3046" s="15">
        <v>1</v>
      </c>
    </row>
    <row r="3047" spans="1:25" ht="90" x14ac:dyDescent="0.25">
      <c r="A3047" t="s">
        <v>49</v>
      </c>
      <c r="B3047" t="s">
        <v>4462</v>
      </c>
      <c r="I3047" s="1" t="s">
        <v>4482</v>
      </c>
      <c r="T3047" s="15">
        <v>1</v>
      </c>
      <c r="Y3047">
        <v>1</v>
      </c>
    </row>
    <row r="3048" spans="1:25" ht="90" x14ac:dyDescent="0.25">
      <c r="A3048" t="s">
        <v>26</v>
      </c>
      <c r="B3048" t="s">
        <v>4462</v>
      </c>
      <c r="I3048" s="1" t="s">
        <v>4483</v>
      </c>
      <c r="Q3048" s="15">
        <v>1</v>
      </c>
    </row>
    <row r="3049" spans="1:25" ht="105" x14ac:dyDescent="0.25">
      <c r="A3049" t="s">
        <v>49</v>
      </c>
      <c r="B3049" t="s">
        <v>4462</v>
      </c>
      <c r="I3049" s="1" t="s">
        <v>4484</v>
      </c>
    </row>
    <row r="3050" spans="1:25" ht="90" x14ac:dyDescent="0.25">
      <c r="A3050" t="s">
        <v>26</v>
      </c>
      <c r="B3050" t="s">
        <v>4462</v>
      </c>
      <c r="I3050" s="1" t="s">
        <v>4485</v>
      </c>
      <c r="P3050" s="15">
        <v>1</v>
      </c>
    </row>
    <row r="3051" spans="1:25" ht="105" x14ac:dyDescent="0.25">
      <c r="A3051" t="s">
        <v>49</v>
      </c>
      <c r="B3051" t="s">
        <v>4462</v>
      </c>
      <c r="I3051" s="1" t="s">
        <v>4486</v>
      </c>
      <c r="T3051" s="15">
        <v>1</v>
      </c>
      <c r="Y3051">
        <v>1</v>
      </c>
    </row>
    <row r="3052" spans="1:25" ht="45" x14ac:dyDescent="0.25">
      <c r="A3052" t="s">
        <v>49</v>
      </c>
      <c r="B3052" t="s">
        <v>4462</v>
      </c>
      <c r="I3052" s="1" t="s">
        <v>4487</v>
      </c>
      <c r="S3052" s="15">
        <v>1</v>
      </c>
    </row>
    <row r="3053" spans="1:25" ht="105" x14ac:dyDescent="0.25">
      <c r="A3053" t="s">
        <v>37</v>
      </c>
      <c r="B3053" t="s">
        <v>4462</v>
      </c>
      <c r="I3053" s="1" t="s">
        <v>4488</v>
      </c>
      <c r="P3053" s="15">
        <v>1</v>
      </c>
    </row>
    <row r="3054" spans="1:25" ht="105" x14ac:dyDescent="0.25">
      <c r="A3054" t="s">
        <v>49</v>
      </c>
      <c r="B3054" t="s">
        <v>4462</v>
      </c>
      <c r="I3054" s="1" t="s">
        <v>4489</v>
      </c>
      <c r="S3054" s="15">
        <v>1</v>
      </c>
    </row>
    <row r="3055" spans="1:25" ht="60" x14ac:dyDescent="0.25">
      <c r="A3055" t="s">
        <v>37</v>
      </c>
      <c r="B3055" t="s">
        <v>4462</v>
      </c>
      <c r="I3055" s="1" t="s">
        <v>4490</v>
      </c>
      <c r="W3055" s="15">
        <v>1</v>
      </c>
    </row>
    <row r="3056" spans="1:25" x14ac:dyDescent="0.25">
      <c r="A3056" t="s">
        <v>49</v>
      </c>
      <c r="B3056" t="s">
        <v>4462</v>
      </c>
      <c r="I3056" s="1" t="s">
        <v>4491</v>
      </c>
      <c r="Q3056" s="15">
        <v>1</v>
      </c>
    </row>
    <row r="3057" spans="1:25" ht="105" x14ac:dyDescent="0.25">
      <c r="A3057" t="s">
        <v>91</v>
      </c>
      <c r="B3057" t="s">
        <v>4462</v>
      </c>
      <c r="I3057" s="1" t="s">
        <v>4492</v>
      </c>
      <c r="Y3057">
        <v>1</v>
      </c>
    </row>
    <row r="3058" spans="1:25" ht="45" x14ac:dyDescent="0.25">
      <c r="A3058" t="s">
        <v>49</v>
      </c>
      <c r="B3058" t="s">
        <v>4462</v>
      </c>
      <c r="I3058" s="1" t="s">
        <v>4493</v>
      </c>
      <c r="X3058" s="15">
        <v>1</v>
      </c>
    </row>
    <row r="3059" spans="1:25" x14ac:dyDescent="0.25">
      <c r="A3059" t="s">
        <v>49</v>
      </c>
      <c r="B3059" t="s">
        <v>4462</v>
      </c>
      <c r="I3059" s="1" t="s">
        <v>4494</v>
      </c>
      <c r="O3059" s="15">
        <v>1</v>
      </c>
    </row>
    <row r="3060" spans="1:25" x14ac:dyDescent="0.25">
      <c r="A3060" t="s">
        <v>49</v>
      </c>
      <c r="B3060" t="s">
        <v>4462</v>
      </c>
      <c r="I3060" s="1" t="s">
        <v>4495</v>
      </c>
      <c r="X3060" s="15">
        <v>1</v>
      </c>
    </row>
    <row r="3061" spans="1:25" ht="75" x14ac:dyDescent="0.25">
      <c r="A3061" t="s">
        <v>26</v>
      </c>
      <c r="B3061" t="s">
        <v>4496</v>
      </c>
      <c r="I3061" s="1" t="s">
        <v>4497</v>
      </c>
      <c r="W3061" s="15">
        <v>1</v>
      </c>
    </row>
    <row r="3062" spans="1:25" ht="105" x14ac:dyDescent="0.25">
      <c r="A3062" t="s">
        <v>26</v>
      </c>
      <c r="B3062" t="s">
        <v>4496</v>
      </c>
      <c r="I3062" s="1" t="s">
        <v>4498</v>
      </c>
      <c r="S3062" s="15">
        <v>1</v>
      </c>
    </row>
    <row r="3063" spans="1:25" ht="60" x14ac:dyDescent="0.25">
      <c r="A3063" t="s">
        <v>26</v>
      </c>
      <c r="B3063" t="s">
        <v>4496</v>
      </c>
      <c r="I3063" s="1" t="s">
        <v>4499</v>
      </c>
      <c r="O3063" s="15">
        <v>1</v>
      </c>
      <c r="S3063" s="15">
        <v>1</v>
      </c>
    </row>
    <row r="3064" spans="1:25" ht="30" x14ac:dyDescent="0.25">
      <c r="A3064" t="s">
        <v>26</v>
      </c>
      <c r="B3064" t="s">
        <v>4496</v>
      </c>
      <c r="I3064" s="1" t="s">
        <v>4500</v>
      </c>
      <c r="Q3064" s="15">
        <v>1</v>
      </c>
    </row>
    <row r="3065" spans="1:25" ht="30" x14ac:dyDescent="0.25">
      <c r="A3065" t="s">
        <v>26</v>
      </c>
      <c r="B3065" t="s">
        <v>4496</v>
      </c>
      <c r="I3065" s="1" t="s">
        <v>4501</v>
      </c>
      <c r="S3065" s="15">
        <v>1</v>
      </c>
    </row>
    <row r="3066" spans="1:25" ht="60" x14ac:dyDescent="0.25">
      <c r="A3066" t="s">
        <v>26</v>
      </c>
      <c r="B3066" t="s">
        <v>4496</v>
      </c>
      <c r="I3066" s="1" t="s">
        <v>4502</v>
      </c>
      <c r="N3066" s="15">
        <v>1</v>
      </c>
    </row>
    <row r="3067" spans="1:25" ht="45" x14ac:dyDescent="0.25">
      <c r="A3067" t="s">
        <v>26</v>
      </c>
      <c r="B3067" t="s">
        <v>4496</v>
      </c>
      <c r="I3067" s="1" t="s">
        <v>4503</v>
      </c>
      <c r="S3067" s="15">
        <v>1</v>
      </c>
    </row>
    <row r="3068" spans="1:25" ht="45" x14ac:dyDescent="0.25">
      <c r="A3068" t="s">
        <v>26</v>
      </c>
      <c r="B3068" t="s">
        <v>4496</v>
      </c>
      <c r="I3068" s="1" t="s">
        <v>4504</v>
      </c>
    </row>
    <row r="3069" spans="1:25" ht="105" x14ac:dyDescent="0.25">
      <c r="A3069" t="s">
        <v>26</v>
      </c>
      <c r="B3069" t="s">
        <v>4496</v>
      </c>
      <c r="I3069" s="1" t="s">
        <v>4505</v>
      </c>
      <c r="T3069" s="15">
        <v>1</v>
      </c>
      <c r="W3069" s="15">
        <v>1</v>
      </c>
      <c r="Y3069">
        <v>1</v>
      </c>
    </row>
    <row r="3070" spans="1:25" ht="105" x14ac:dyDescent="0.25">
      <c r="A3070" t="s">
        <v>26</v>
      </c>
      <c r="B3070" t="s">
        <v>4496</v>
      </c>
      <c r="I3070" s="1" t="s">
        <v>4506</v>
      </c>
      <c r="T3070" s="15">
        <v>1</v>
      </c>
    </row>
    <row r="3071" spans="1:25" ht="90" x14ac:dyDescent="0.25">
      <c r="A3071" t="s">
        <v>26</v>
      </c>
      <c r="B3071" t="s">
        <v>4496</v>
      </c>
      <c r="I3071" s="1" t="s">
        <v>4507</v>
      </c>
      <c r="P3071" s="15">
        <v>1</v>
      </c>
      <c r="T3071" s="15">
        <v>1</v>
      </c>
    </row>
    <row r="3072" spans="1:25" x14ac:dyDescent="0.25">
      <c r="A3072" t="s">
        <v>26</v>
      </c>
      <c r="B3072" t="s">
        <v>4496</v>
      </c>
      <c r="I3072" s="1" t="s">
        <v>4508</v>
      </c>
      <c r="S3072" s="15">
        <v>1</v>
      </c>
    </row>
    <row r="3073" spans="1:25" ht="105" x14ac:dyDescent="0.25">
      <c r="A3073" t="s">
        <v>26</v>
      </c>
      <c r="B3073" t="s">
        <v>4496</v>
      </c>
      <c r="I3073" s="1" t="s">
        <v>4509</v>
      </c>
      <c r="X3073" s="15">
        <v>1</v>
      </c>
    </row>
    <row r="3074" spans="1:25" ht="30" x14ac:dyDescent="0.25">
      <c r="A3074" t="s">
        <v>26</v>
      </c>
      <c r="B3074" t="s">
        <v>4496</v>
      </c>
      <c r="I3074" s="1" t="s">
        <v>4510</v>
      </c>
      <c r="P3074" s="15">
        <v>1</v>
      </c>
    </row>
    <row r="3075" spans="1:25" ht="75" x14ac:dyDescent="0.25">
      <c r="A3075" t="s">
        <v>26</v>
      </c>
      <c r="B3075" t="s">
        <v>4496</v>
      </c>
      <c r="I3075" s="1" t="s">
        <v>4511</v>
      </c>
      <c r="N3075" s="15">
        <v>1</v>
      </c>
      <c r="Y3075">
        <v>1</v>
      </c>
    </row>
    <row r="3076" spans="1:25" ht="105" x14ac:dyDescent="0.25">
      <c r="A3076" t="s">
        <v>26</v>
      </c>
      <c r="B3076" t="s">
        <v>4496</v>
      </c>
      <c r="I3076" s="1" t="s">
        <v>4512</v>
      </c>
      <c r="P3076" s="15">
        <v>1</v>
      </c>
    </row>
    <row r="3077" spans="1:25" ht="45" x14ac:dyDescent="0.25">
      <c r="A3077" t="s">
        <v>26</v>
      </c>
      <c r="B3077" t="s">
        <v>4496</v>
      </c>
      <c r="I3077" s="1" t="s">
        <v>4513</v>
      </c>
      <c r="W3077" s="15">
        <v>1</v>
      </c>
    </row>
    <row r="3078" spans="1:25" ht="105" x14ac:dyDescent="0.25">
      <c r="A3078" t="s">
        <v>26</v>
      </c>
      <c r="B3078" t="s">
        <v>4496</v>
      </c>
      <c r="I3078" s="1" t="s">
        <v>4514</v>
      </c>
      <c r="P3078" s="15">
        <v>1</v>
      </c>
      <c r="Q3078" s="15">
        <v>1</v>
      </c>
    </row>
    <row r="3079" spans="1:25" ht="45" x14ac:dyDescent="0.25">
      <c r="A3079" t="s">
        <v>26</v>
      </c>
      <c r="B3079" t="s">
        <v>4496</v>
      </c>
      <c r="I3079" s="1" t="s">
        <v>4515</v>
      </c>
      <c r="S3079" s="15">
        <v>1</v>
      </c>
    </row>
    <row r="3080" spans="1:25" x14ac:dyDescent="0.25">
      <c r="A3080" t="s">
        <v>26</v>
      </c>
      <c r="B3080" t="s">
        <v>4496</v>
      </c>
      <c r="I3080" s="1" t="s">
        <v>4516</v>
      </c>
      <c r="O3080" s="15">
        <v>1</v>
      </c>
      <c r="S3080" s="15">
        <v>1</v>
      </c>
    </row>
    <row r="3081" spans="1:25" ht="105" x14ac:dyDescent="0.25">
      <c r="A3081" t="s">
        <v>26</v>
      </c>
      <c r="B3081" t="s">
        <v>4496</v>
      </c>
      <c r="I3081" s="1" t="s">
        <v>4517</v>
      </c>
      <c r="W3081" s="15">
        <v>1</v>
      </c>
    </row>
    <row r="3082" spans="1:25" ht="75" x14ac:dyDescent="0.25">
      <c r="A3082" t="s">
        <v>49</v>
      </c>
      <c r="B3082" t="s">
        <v>4496</v>
      </c>
      <c r="I3082" s="1" t="s">
        <v>4518</v>
      </c>
      <c r="O3082" s="15">
        <v>1</v>
      </c>
      <c r="S3082" s="15">
        <v>1</v>
      </c>
    </row>
    <row r="3083" spans="1:25" ht="30" x14ac:dyDescent="0.25">
      <c r="A3083" t="s">
        <v>49</v>
      </c>
      <c r="B3083" t="s">
        <v>4496</v>
      </c>
      <c r="I3083" s="1" t="s">
        <v>4519</v>
      </c>
    </row>
    <row r="3084" spans="1:25" ht="105" x14ac:dyDescent="0.25">
      <c r="A3084" t="s">
        <v>26</v>
      </c>
      <c r="B3084" t="s">
        <v>4496</v>
      </c>
      <c r="I3084" s="1" t="s">
        <v>4520</v>
      </c>
      <c r="T3084" s="15">
        <v>1</v>
      </c>
    </row>
    <row r="3085" spans="1:25" ht="45" x14ac:dyDescent="0.25">
      <c r="A3085" t="s">
        <v>49</v>
      </c>
      <c r="B3085" t="s">
        <v>4496</v>
      </c>
      <c r="I3085" s="1" t="s">
        <v>4521</v>
      </c>
      <c r="S3085" s="15">
        <v>1</v>
      </c>
    </row>
    <row r="3086" spans="1:25" ht="105" x14ac:dyDescent="0.25">
      <c r="A3086" t="s">
        <v>49</v>
      </c>
      <c r="B3086" t="s">
        <v>4496</v>
      </c>
      <c r="I3086" s="1" t="s">
        <v>4522</v>
      </c>
      <c r="R3086" s="15">
        <v>1</v>
      </c>
      <c r="Y3086">
        <v>1</v>
      </c>
    </row>
    <row r="3087" spans="1:25" ht="30" x14ac:dyDescent="0.25">
      <c r="A3087" t="s">
        <v>49</v>
      </c>
      <c r="B3087" t="s">
        <v>4496</v>
      </c>
      <c r="I3087" s="1" t="s">
        <v>4523</v>
      </c>
      <c r="S3087" s="15">
        <v>1</v>
      </c>
    </row>
    <row r="3088" spans="1:25" ht="60" x14ac:dyDescent="0.25">
      <c r="A3088" t="s">
        <v>26</v>
      </c>
      <c r="B3088" t="s">
        <v>4496</v>
      </c>
      <c r="I3088" s="1" t="s">
        <v>4524</v>
      </c>
      <c r="S3088" s="15">
        <v>1</v>
      </c>
    </row>
    <row r="3089" spans="1:25" ht="90" x14ac:dyDescent="0.25">
      <c r="A3089" t="s">
        <v>49</v>
      </c>
      <c r="B3089" t="s">
        <v>4496</v>
      </c>
      <c r="I3089" s="1" t="s">
        <v>4525</v>
      </c>
      <c r="T3089" s="15">
        <v>1</v>
      </c>
    </row>
    <row r="3090" spans="1:25" ht="30" x14ac:dyDescent="0.25">
      <c r="A3090" t="s">
        <v>49</v>
      </c>
      <c r="B3090" t="s">
        <v>4496</v>
      </c>
      <c r="I3090" s="1" t="s">
        <v>4526</v>
      </c>
      <c r="O3090" s="15">
        <v>1</v>
      </c>
    </row>
    <row r="3091" spans="1:25" ht="90" x14ac:dyDescent="0.25">
      <c r="A3091" t="s">
        <v>49</v>
      </c>
      <c r="B3091" t="s">
        <v>4496</v>
      </c>
      <c r="I3091" s="1" t="s">
        <v>4527</v>
      </c>
      <c r="R3091" s="15">
        <v>1</v>
      </c>
      <c r="Y3091">
        <v>1</v>
      </c>
    </row>
    <row r="3092" spans="1:25" ht="30" x14ac:dyDescent="0.25">
      <c r="A3092" t="s">
        <v>26</v>
      </c>
      <c r="B3092" t="s">
        <v>4496</v>
      </c>
      <c r="I3092" s="1" t="s">
        <v>4528</v>
      </c>
      <c r="O3092" s="15">
        <v>1</v>
      </c>
    </row>
    <row r="3093" spans="1:25" ht="120" x14ac:dyDescent="0.25">
      <c r="A3093" t="s">
        <v>91</v>
      </c>
      <c r="B3093" t="s">
        <v>4496</v>
      </c>
      <c r="I3093" s="1" t="s">
        <v>4529</v>
      </c>
      <c r="O3093" s="15">
        <v>1</v>
      </c>
      <c r="S3093" s="15">
        <v>1</v>
      </c>
    </row>
    <row r="3094" spans="1:25" x14ac:dyDescent="0.25">
      <c r="A3094" t="s">
        <v>49</v>
      </c>
      <c r="B3094" t="s">
        <v>4496</v>
      </c>
      <c r="I3094" s="1" t="s">
        <v>4530</v>
      </c>
      <c r="T3094" s="15">
        <v>1</v>
      </c>
    </row>
    <row r="3095" spans="1:25" ht="30" x14ac:dyDescent="0.25">
      <c r="A3095" t="s">
        <v>49</v>
      </c>
      <c r="B3095" t="s">
        <v>4496</v>
      </c>
      <c r="I3095" s="1" t="s">
        <v>4531</v>
      </c>
      <c r="S3095" s="15">
        <v>1</v>
      </c>
    </row>
    <row r="3096" spans="1:25" ht="75" x14ac:dyDescent="0.25">
      <c r="A3096" t="s">
        <v>26</v>
      </c>
      <c r="B3096" t="s">
        <v>4496</v>
      </c>
      <c r="I3096" s="1" t="s">
        <v>4532</v>
      </c>
      <c r="S3096" s="15">
        <v>1</v>
      </c>
      <c r="V3096" s="15">
        <v>1</v>
      </c>
    </row>
    <row r="3097" spans="1:25" ht="90" x14ac:dyDescent="0.25">
      <c r="A3097" t="s">
        <v>37</v>
      </c>
      <c r="B3097" t="s">
        <v>4496</v>
      </c>
      <c r="I3097" s="1" t="s">
        <v>4533</v>
      </c>
      <c r="S3097" s="15">
        <v>1</v>
      </c>
    </row>
    <row r="3098" spans="1:25" ht="120" x14ac:dyDescent="0.25">
      <c r="A3098" t="s">
        <v>59</v>
      </c>
      <c r="B3098" t="s">
        <v>4496</v>
      </c>
      <c r="I3098" s="1" t="s">
        <v>4534</v>
      </c>
      <c r="W3098" s="15">
        <v>1</v>
      </c>
    </row>
    <row r="3099" spans="1:25" ht="135" x14ac:dyDescent="0.25">
      <c r="A3099" t="s">
        <v>91</v>
      </c>
      <c r="B3099" t="s">
        <v>4496</v>
      </c>
      <c r="I3099" s="1" t="s">
        <v>4535</v>
      </c>
      <c r="T3099" s="15">
        <v>1</v>
      </c>
      <c r="W3099" s="15">
        <v>1</v>
      </c>
    </row>
    <row r="3100" spans="1:25" ht="60" x14ac:dyDescent="0.25">
      <c r="A3100" t="s">
        <v>49</v>
      </c>
      <c r="B3100" t="s">
        <v>4496</v>
      </c>
      <c r="I3100" s="1" t="s">
        <v>4536</v>
      </c>
      <c r="S3100" s="15">
        <v>1</v>
      </c>
    </row>
    <row r="3101" spans="1:25" ht="45" x14ac:dyDescent="0.25">
      <c r="A3101" t="s">
        <v>37</v>
      </c>
      <c r="B3101" t="s">
        <v>4496</v>
      </c>
      <c r="I3101" s="1" t="s">
        <v>4537</v>
      </c>
      <c r="X3101" s="15">
        <v>1</v>
      </c>
    </row>
    <row r="3102" spans="1:25" ht="75" x14ac:dyDescent="0.25">
      <c r="A3102" t="s">
        <v>59</v>
      </c>
      <c r="B3102" t="s">
        <v>4496</v>
      </c>
      <c r="I3102" s="1" t="s">
        <v>4538</v>
      </c>
    </row>
    <row r="3103" spans="1:25" ht="60" x14ac:dyDescent="0.25">
      <c r="A3103" t="s">
        <v>37</v>
      </c>
      <c r="B3103" t="s">
        <v>4496</v>
      </c>
      <c r="I3103" s="1" t="s">
        <v>4539</v>
      </c>
    </row>
    <row r="3104" spans="1:25" ht="105" x14ac:dyDescent="0.25">
      <c r="A3104" t="s">
        <v>49</v>
      </c>
      <c r="B3104" t="s">
        <v>4496</v>
      </c>
      <c r="I3104" s="1" t="s">
        <v>4540</v>
      </c>
      <c r="P3104" s="15">
        <v>1</v>
      </c>
    </row>
    <row r="3105" spans="1:25" ht="60" x14ac:dyDescent="0.25">
      <c r="A3105" t="s">
        <v>64</v>
      </c>
      <c r="B3105" t="s">
        <v>4496</v>
      </c>
      <c r="I3105" s="1" t="s">
        <v>4541</v>
      </c>
      <c r="O3105" s="15">
        <v>1</v>
      </c>
    </row>
    <row r="3106" spans="1:25" ht="90" x14ac:dyDescent="0.25">
      <c r="A3106" t="s">
        <v>49</v>
      </c>
      <c r="B3106" t="s">
        <v>4496</v>
      </c>
      <c r="I3106" s="1" t="s">
        <v>4542</v>
      </c>
    </row>
    <row r="3107" spans="1:25" x14ac:dyDescent="0.25">
      <c r="A3107" t="s">
        <v>37</v>
      </c>
      <c r="B3107" t="s">
        <v>4496</v>
      </c>
      <c r="I3107" s="1" t="s">
        <v>4543</v>
      </c>
      <c r="Q3107" s="15">
        <v>1</v>
      </c>
      <c r="X3107" s="15">
        <v>1</v>
      </c>
    </row>
    <row r="3108" spans="1:25" ht="90" x14ac:dyDescent="0.25">
      <c r="A3108" t="s">
        <v>49</v>
      </c>
      <c r="B3108" t="s">
        <v>4496</v>
      </c>
      <c r="I3108" s="1" t="s">
        <v>4544</v>
      </c>
      <c r="O3108" s="15">
        <v>1</v>
      </c>
      <c r="S3108" s="15">
        <v>1</v>
      </c>
    </row>
    <row r="3109" spans="1:25" ht="30" x14ac:dyDescent="0.25">
      <c r="A3109" t="s">
        <v>37</v>
      </c>
      <c r="B3109" t="s">
        <v>4496</v>
      </c>
      <c r="I3109" s="1" t="s">
        <v>4545</v>
      </c>
      <c r="O3109" s="15">
        <v>1</v>
      </c>
    </row>
    <row r="3110" spans="1:25" ht="45" x14ac:dyDescent="0.25">
      <c r="A3110" t="s">
        <v>49</v>
      </c>
      <c r="B3110" t="s">
        <v>4496</v>
      </c>
      <c r="I3110" s="1" t="s">
        <v>4546</v>
      </c>
      <c r="O3110" s="15">
        <v>1</v>
      </c>
      <c r="S3110" s="15">
        <v>1</v>
      </c>
    </row>
    <row r="3111" spans="1:25" ht="60" x14ac:dyDescent="0.25">
      <c r="A3111" t="s">
        <v>64</v>
      </c>
      <c r="B3111" t="s">
        <v>4496</v>
      </c>
      <c r="I3111" s="1" t="s">
        <v>4547</v>
      </c>
      <c r="O3111" s="15">
        <v>1</v>
      </c>
      <c r="S3111" s="15">
        <v>1</v>
      </c>
      <c r="X3111" s="15">
        <v>1</v>
      </c>
    </row>
    <row r="3112" spans="1:25" ht="30" x14ac:dyDescent="0.25">
      <c r="A3112" t="s">
        <v>91</v>
      </c>
      <c r="B3112" t="s">
        <v>4496</v>
      </c>
      <c r="I3112" s="1" t="s">
        <v>4548</v>
      </c>
      <c r="T3112" s="15">
        <v>1</v>
      </c>
    </row>
    <row r="3113" spans="1:25" ht="60" x14ac:dyDescent="0.25">
      <c r="A3113" t="s">
        <v>64</v>
      </c>
      <c r="B3113" t="s">
        <v>4496</v>
      </c>
      <c r="I3113" s="1" t="s">
        <v>4549</v>
      </c>
      <c r="O3113" s="15">
        <v>1</v>
      </c>
      <c r="S3113" s="15">
        <v>1</v>
      </c>
    </row>
    <row r="3114" spans="1:25" x14ac:dyDescent="0.25">
      <c r="A3114" t="s">
        <v>64</v>
      </c>
      <c r="B3114" t="s">
        <v>4496</v>
      </c>
      <c r="I3114" s="1" t="s">
        <v>4550</v>
      </c>
      <c r="O3114" s="15">
        <v>1</v>
      </c>
      <c r="S3114" s="15">
        <v>1</v>
      </c>
      <c r="X3114" s="15">
        <v>1</v>
      </c>
    </row>
    <row r="3115" spans="1:25" ht="75" x14ac:dyDescent="0.25">
      <c r="A3115" t="s">
        <v>26</v>
      </c>
      <c r="B3115" t="s">
        <v>4551</v>
      </c>
      <c r="I3115" s="1" t="s">
        <v>4552</v>
      </c>
      <c r="S3115" s="15">
        <v>1</v>
      </c>
    </row>
    <row r="3116" spans="1:25" ht="45" x14ac:dyDescent="0.25">
      <c r="A3116" t="s">
        <v>26</v>
      </c>
      <c r="B3116" t="s">
        <v>4551</v>
      </c>
      <c r="I3116" s="1" t="s">
        <v>4553</v>
      </c>
      <c r="S3116" s="15">
        <v>1</v>
      </c>
    </row>
    <row r="3117" spans="1:25" ht="75" x14ac:dyDescent="0.25">
      <c r="A3117" t="s">
        <v>26</v>
      </c>
      <c r="B3117" t="s">
        <v>4551</v>
      </c>
      <c r="I3117" s="1" t="s">
        <v>4554</v>
      </c>
      <c r="S3117" s="15">
        <v>1</v>
      </c>
    </row>
    <row r="3118" spans="1:25" x14ac:dyDescent="0.25">
      <c r="A3118" t="s">
        <v>26</v>
      </c>
      <c r="B3118" t="s">
        <v>4551</v>
      </c>
      <c r="I3118" s="1" t="s">
        <v>4555</v>
      </c>
      <c r="R3118" s="15">
        <v>1</v>
      </c>
    </row>
    <row r="3119" spans="1:25" ht="60" x14ac:dyDescent="0.25">
      <c r="A3119" t="s">
        <v>26</v>
      </c>
      <c r="B3119" t="s">
        <v>4551</v>
      </c>
      <c r="I3119" s="1" t="s">
        <v>4556</v>
      </c>
      <c r="S3119" s="15">
        <v>1</v>
      </c>
      <c r="X3119" s="15">
        <v>1</v>
      </c>
    </row>
    <row r="3120" spans="1:25" ht="60" x14ac:dyDescent="0.25">
      <c r="A3120" t="s">
        <v>26</v>
      </c>
      <c r="B3120" t="s">
        <v>4551</v>
      </c>
      <c r="I3120" s="1" t="s">
        <v>4557</v>
      </c>
      <c r="Y3120">
        <v>1</v>
      </c>
    </row>
    <row r="3121" spans="1:25" ht="45" x14ac:dyDescent="0.25">
      <c r="A3121" t="s">
        <v>26</v>
      </c>
      <c r="B3121" t="s">
        <v>4551</v>
      </c>
      <c r="I3121" s="1" t="s">
        <v>4558</v>
      </c>
      <c r="O3121" s="15">
        <v>1</v>
      </c>
      <c r="X3121" s="15">
        <v>1</v>
      </c>
    </row>
    <row r="3122" spans="1:25" ht="45" x14ac:dyDescent="0.25">
      <c r="A3122" t="s">
        <v>26</v>
      </c>
      <c r="B3122" t="s">
        <v>4551</v>
      </c>
      <c r="I3122" s="1" t="s">
        <v>4559</v>
      </c>
      <c r="S3122" s="15">
        <v>1</v>
      </c>
    </row>
    <row r="3123" spans="1:25" ht="105" x14ac:dyDescent="0.25">
      <c r="A3123" t="s">
        <v>26</v>
      </c>
      <c r="B3123" t="s">
        <v>4551</v>
      </c>
      <c r="I3123" s="1" t="s">
        <v>4560</v>
      </c>
      <c r="W3123" s="15">
        <v>1</v>
      </c>
    </row>
    <row r="3124" spans="1:25" x14ac:dyDescent="0.25">
      <c r="A3124" t="s">
        <v>49</v>
      </c>
      <c r="B3124" t="s">
        <v>4551</v>
      </c>
      <c r="I3124" s="1" t="s">
        <v>4561</v>
      </c>
      <c r="T3124" s="15">
        <v>1</v>
      </c>
    </row>
    <row r="3125" spans="1:25" x14ac:dyDescent="0.25">
      <c r="A3125" t="s">
        <v>26</v>
      </c>
      <c r="B3125" t="s">
        <v>4551</v>
      </c>
      <c r="I3125" s="1" t="s">
        <v>4562</v>
      </c>
      <c r="O3125" s="15">
        <v>1</v>
      </c>
    </row>
    <row r="3126" spans="1:25" ht="75" x14ac:dyDescent="0.25">
      <c r="A3126" t="s">
        <v>26</v>
      </c>
      <c r="B3126" t="s">
        <v>4551</v>
      </c>
      <c r="I3126" s="1" t="s">
        <v>4563</v>
      </c>
      <c r="Q3126" s="15">
        <v>1</v>
      </c>
      <c r="V3126" s="15">
        <v>1</v>
      </c>
    </row>
    <row r="3127" spans="1:25" ht="105" x14ac:dyDescent="0.25">
      <c r="A3127" t="s">
        <v>91</v>
      </c>
      <c r="B3127" t="s">
        <v>4551</v>
      </c>
      <c r="I3127" s="1" t="s">
        <v>4564</v>
      </c>
      <c r="P3127" s="15">
        <v>1</v>
      </c>
      <c r="R3127" s="15">
        <v>1</v>
      </c>
    </row>
    <row r="3128" spans="1:25" ht="30" x14ac:dyDescent="0.25">
      <c r="A3128" t="s">
        <v>49</v>
      </c>
      <c r="B3128" t="s">
        <v>4551</v>
      </c>
      <c r="I3128" s="1" t="s">
        <v>4565</v>
      </c>
      <c r="S3128" s="15">
        <v>1</v>
      </c>
    </row>
    <row r="3129" spans="1:25" ht="105" x14ac:dyDescent="0.25">
      <c r="A3129" t="s">
        <v>26</v>
      </c>
      <c r="B3129" t="s">
        <v>4551</v>
      </c>
      <c r="I3129" s="1" t="s">
        <v>4566</v>
      </c>
      <c r="T3129" s="15">
        <v>1</v>
      </c>
    </row>
    <row r="3130" spans="1:25" ht="105" x14ac:dyDescent="0.25">
      <c r="A3130" t="s">
        <v>49</v>
      </c>
      <c r="B3130" t="s">
        <v>4551</v>
      </c>
      <c r="I3130" s="1" t="s">
        <v>4567</v>
      </c>
      <c r="W3130" s="15">
        <v>1</v>
      </c>
    </row>
    <row r="3131" spans="1:25" ht="105" x14ac:dyDescent="0.25">
      <c r="A3131" t="s">
        <v>59</v>
      </c>
      <c r="B3131" t="s">
        <v>4551</v>
      </c>
      <c r="I3131" s="1" t="s">
        <v>4568</v>
      </c>
    </row>
    <row r="3132" spans="1:25" ht="30" x14ac:dyDescent="0.25">
      <c r="A3132" t="s">
        <v>49</v>
      </c>
      <c r="B3132" t="s">
        <v>4551</v>
      </c>
      <c r="I3132" s="1" t="s">
        <v>4569</v>
      </c>
      <c r="O3132" s="15">
        <v>1</v>
      </c>
      <c r="S3132" s="15">
        <v>1</v>
      </c>
    </row>
    <row r="3133" spans="1:25" ht="45" x14ac:dyDescent="0.25">
      <c r="A3133" t="s">
        <v>26</v>
      </c>
      <c r="B3133" t="s">
        <v>4551</v>
      </c>
      <c r="I3133" s="1" t="s">
        <v>4570</v>
      </c>
      <c r="S3133" s="15">
        <v>1</v>
      </c>
    </row>
    <row r="3134" spans="1:25" ht="30" x14ac:dyDescent="0.25">
      <c r="A3134" t="s">
        <v>37</v>
      </c>
      <c r="B3134" t="s">
        <v>4551</v>
      </c>
      <c r="I3134" s="1" t="s">
        <v>4571</v>
      </c>
      <c r="O3134" s="15">
        <v>1</v>
      </c>
      <c r="S3134" s="15">
        <v>1</v>
      </c>
    </row>
    <row r="3135" spans="1:25" ht="45" x14ac:dyDescent="0.25">
      <c r="A3135" t="s">
        <v>64</v>
      </c>
      <c r="B3135" t="s">
        <v>4551</v>
      </c>
      <c r="I3135" s="1" t="s">
        <v>4572</v>
      </c>
      <c r="S3135" s="15">
        <v>1</v>
      </c>
    </row>
    <row r="3136" spans="1:25" ht="90" x14ac:dyDescent="0.25">
      <c r="A3136" t="s">
        <v>26</v>
      </c>
      <c r="B3136" t="s">
        <v>4551</v>
      </c>
      <c r="I3136" s="1" t="s">
        <v>4573</v>
      </c>
      <c r="Y3136">
        <v>1</v>
      </c>
    </row>
    <row r="3137" spans="1:25" ht="45" x14ac:dyDescent="0.25">
      <c r="A3137" t="s">
        <v>49</v>
      </c>
      <c r="B3137" t="s">
        <v>4551</v>
      </c>
      <c r="I3137" s="1" t="s">
        <v>4574</v>
      </c>
      <c r="S3137" s="15">
        <v>1</v>
      </c>
    </row>
    <row r="3138" spans="1:25" ht="45" x14ac:dyDescent="0.25">
      <c r="A3138" t="s">
        <v>49</v>
      </c>
      <c r="B3138" t="s">
        <v>4551</v>
      </c>
      <c r="I3138" s="1" t="s">
        <v>4575</v>
      </c>
      <c r="P3138" s="15">
        <v>1</v>
      </c>
    </row>
    <row r="3139" spans="1:25" ht="90" x14ac:dyDescent="0.25">
      <c r="A3139" t="s">
        <v>49</v>
      </c>
      <c r="B3139" t="s">
        <v>4551</v>
      </c>
      <c r="I3139" s="1" t="s">
        <v>4576</v>
      </c>
      <c r="R3139" s="15">
        <v>1</v>
      </c>
      <c r="T3139" s="15">
        <v>1</v>
      </c>
      <c r="Y3139">
        <v>1</v>
      </c>
    </row>
    <row r="3140" spans="1:25" ht="120" x14ac:dyDescent="0.25">
      <c r="A3140" t="s">
        <v>37</v>
      </c>
      <c r="B3140" t="s">
        <v>4551</v>
      </c>
      <c r="I3140" s="1" t="s">
        <v>4577</v>
      </c>
      <c r="P3140" s="15">
        <v>1</v>
      </c>
    </row>
    <row r="3141" spans="1:25" ht="45" x14ac:dyDescent="0.25">
      <c r="A3141" t="s">
        <v>26</v>
      </c>
      <c r="B3141" t="s">
        <v>4578</v>
      </c>
      <c r="I3141" s="1" t="s">
        <v>4579</v>
      </c>
      <c r="R3141" s="15">
        <v>1</v>
      </c>
    </row>
    <row r="3142" spans="1:25" ht="30" x14ac:dyDescent="0.25">
      <c r="A3142" t="s">
        <v>26</v>
      </c>
      <c r="B3142" t="s">
        <v>4578</v>
      </c>
      <c r="I3142" s="1" t="s">
        <v>4580</v>
      </c>
      <c r="P3142" s="15">
        <v>1</v>
      </c>
      <c r="V3142" s="15">
        <v>1</v>
      </c>
    </row>
    <row r="3143" spans="1:25" ht="30" x14ac:dyDescent="0.25">
      <c r="A3143" t="s">
        <v>26</v>
      </c>
      <c r="B3143" t="s">
        <v>4578</v>
      </c>
      <c r="I3143" s="1" t="s">
        <v>4581</v>
      </c>
      <c r="S3143" s="15">
        <v>1</v>
      </c>
    </row>
    <row r="3144" spans="1:25" ht="45" x14ac:dyDescent="0.25">
      <c r="A3144" t="s">
        <v>26</v>
      </c>
      <c r="B3144" t="s">
        <v>4578</v>
      </c>
      <c r="I3144" s="1" t="s">
        <v>4582</v>
      </c>
      <c r="N3144" s="15">
        <v>1</v>
      </c>
    </row>
    <row r="3145" spans="1:25" ht="90" x14ac:dyDescent="0.25">
      <c r="A3145" t="s">
        <v>26</v>
      </c>
      <c r="B3145" t="s">
        <v>4578</v>
      </c>
      <c r="I3145" s="1" t="s">
        <v>4583</v>
      </c>
      <c r="P3145" s="15">
        <v>1</v>
      </c>
      <c r="W3145" s="15">
        <v>1</v>
      </c>
    </row>
    <row r="3146" spans="1:25" ht="60" x14ac:dyDescent="0.25">
      <c r="A3146" t="s">
        <v>26</v>
      </c>
      <c r="B3146" t="s">
        <v>4578</v>
      </c>
      <c r="I3146" s="1" t="s">
        <v>4584</v>
      </c>
    </row>
    <row r="3147" spans="1:25" ht="105" x14ac:dyDescent="0.25">
      <c r="A3147" t="s">
        <v>26</v>
      </c>
      <c r="B3147" t="s">
        <v>4578</v>
      </c>
      <c r="I3147" s="1" t="s">
        <v>4585</v>
      </c>
      <c r="P3147" s="15">
        <v>1</v>
      </c>
    </row>
    <row r="3148" spans="1:25" ht="30" x14ac:dyDescent="0.25">
      <c r="A3148" t="s">
        <v>26</v>
      </c>
      <c r="B3148" t="s">
        <v>4578</v>
      </c>
      <c r="I3148" s="1" t="s">
        <v>4586</v>
      </c>
      <c r="Q3148" s="15">
        <v>1</v>
      </c>
    </row>
    <row r="3149" spans="1:25" ht="90" x14ac:dyDescent="0.25">
      <c r="A3149" t="s">
        <v>26</v>
      </c>
      <c r="B3149" t="s">
        <v>4578</v>
      </c>
      <c r="I3149" s="1" t="s">
        <v>4587</v>
      </c>
      <c r="P3149" s="15">
        <v>1</v>
      </c>
      <c r="Y3149">
        <v>1</v>
      </c>
    </row>
    <row r="3150" spans="1:25" ht="90" x14ac:dyDescent="0.25">
      <c r="A3150" t="s">
        <v>26</v>
      </c>
      <c r="B3150" t="s">
        <v>4578</v>
      </c>
      <c r="I3150" s="1" t="s">
        <v>4588</v>
      </c>
      <c r="Q3150" s="15">
        <v>1</v>
      </c>
    </row>
    <row r="3151" spans="1:25" ht="60" x14ac:dyDescent="0.25">
      <c r="A3151" t="s">
        <v>26</v>
      </c>
      <c r="B3151" t="s">
        <v>4578</v>
      </c>
      <c r="I3151" s="1" t="s">
        <v>4589</v>
      </c>
      <c r="O3151" s="15">
        <v>1</v>
      </c>
    </row>
    <row r="3152" spans="1:25" ht="75" x14ac:dyDescent="0.25">
      <c r="A3152" t="s">
        <v>26</v>
      </c>
      <c r="B3152" t="s">
        <v>4578</v>
      </c>
      <c r="I3152" s="1" t="s">
        <v>4590</v>
      </c>
      <c r="R3152" s="15">
        <v>1</v>
      </c>
      <c r="Y3152">
        <v>1</v>
      </c>
    </row>
    <row r="3153" spans="1:25" ht="60" x14ac:dyDescent="0.25">
      <c r="A3153" t="s">
        <v>26</v>
      </c>
      <c r="B3153" t="s">
        <v>4578</v>
      </c>
      <c r="I3153" s="1" t="s">
        <v>4591</v>
      </c>
      <c r="S3153" s="15">
        <v>1</v>
      </c>
    </row>
    <row r="3154" spans="1:25" ht="105" x14ac:dyDescent="0.25">
      <c r="A3154" t="s">
        <v>26</v>
      </c>
      <c r="B3154" t="s">
        <v>4578</v>
      </c>
      <c r="I3154" s="1" t="s">
        <v>4592</v>
      </c>
      <c r="T3154" s="15">
        <v>1</v>
      </c>
      <c r="Y3154">
        <v>1</v>
      </c>
    </row>
    <row r="3155" spans="1:25" ht="45" x14ac:dyDescent="0.25">
      <c r="A3155" t="s">
        <v>26</v>
      </c>
      <c r="B3155" t="s">
        <v>4578</v>
      </c>
      <c r="I3155" s="1" t="s">
        <v>4593</v>
      </c>
      <c r="T3155" s="15">
        <v>1</v>
      </c>
    </row>
    <row r="3156" spans="1:25" x14ac:dyDescent="0.25">
      <c r="A3156" t="s">
        <v>26</v>
      </c>
      <c r="B3156" t="s">
        <v>4578</v>
      </c>
      <c r="I3156" s="1" t="s">
        <v>4594</v>
      </c>
      <c r="Q3156" s="15">
        <v>1</v>
      </c>
    </row>
    <row r="3157" spans="1:25" x14ac:dyDescent="0.25">
      <c r="A3157" t="s">
        <v>26</v>
      </c>
      <c r="B3157" t="s">
        <v>4578</v>
      </c>
      <c r="I3157" s="1" t="s">
        <v>4595</v>
      </c>
      <c r="S3157" s="15">
        <v>1</v>
      </c>
    </row>
    <row r="3158" spans="1:25" ht="30" x14ac:dyDescent="0.25">
      <c r="A3158" t="s">
        <v>26</v>
      </c>
      <c r="B3158" t="s">
        <v>4578</v>
      </c>
      <c r="I3158" s="1" t="s">
        <v>4596</v>
      </c>
      <c r="T3158" s="15">
        <v>1</v>
      </c>
    </row>
    <row r="3159" spans="1:25" ht="105" x14ac:dyDescent="0.25">
      <c r="A3159" t="s">
        <v>26</v>
      </c>
      <c r="B3159" t="s">
        <v>4578</v>
      </c>
      <c r="I3159" s="1" t="s">
        <v>4597</v>
      </c>
      <c r="T3159" s="15">
        <v>1</v>
      </c>
    </row>
    <row r="3160" spans="1:25" ht="90" x14ac:dyDescent="0.25">
      <c r="A3160" t="s">
        <v>26</v>
      </c>
      <c r="B3160" t="s">
        <v>4578</v>
      </c>
      <c r="I3160" s="1" t="s">
        <v>4598</v>
      </c>
      <c r="V3160" s="15">
        <v>1</v>
      </c>
    </row>
    <row r="3161" spans="1:25" ht="75" x14ac:dyDescent="0.25">
      <c r="A3161" t="s">
        <v>26</v>
      </c>
      <c r="B3161" t="s">
        <v>4578</v>
      </c>
      <c r="I3161" s="1" t="s">
        <v>4599</v>
      </c>
      <c r="O3161" s="15">
        <v>1</v>
      </c>
      <c r="S3161" s="15">
        <v>1</v>
      </c>
    </row>
    <row r="3162" spans="1:25" ht="75" x14ac:dyDescent="0.25">
      <c r="A3162" t="s">
        <v>49</v>
      </c>
      <c r="B3162" t="s">
        <v>4578</v>
      </c>
      <c r="I3162" s="1" t="s">
        <v>4600</v>
      </c>
      <c r="Y3162">
        <v>1</v>
      </c>
    </row>
    <row r="3163" spans="1:25" ht="45" x14ac:dyDescent="0.25">
      <c r="A3163" t="s">
        <v>26</v>
      </c>
      <c r="B3163" t="s">
        <v>4578</v>
      </c>
      <c r="I3163" s="1" t="s">
        <v>4601</v>
      </c>
      <c r="Q3163" s="15">
        <v>1</v>
      </c>
    </row>
    <row r="3164" spans="1:25" ht="90" x14ac:dyDescent="0.25">
      <c r="A3164" t="s">
        <v>26</v>
      </c>
      <c r="B3164" t="s">
        <v>4578</v>
      </c>
      <c r="I3164" s="1" t="s">
        <v>4602</v>
      </c>
      <c r="Q3164" s="15">
        <v>1</v>
      </c>
    </row>
    <row r="3165" spans="1:25" ht="30" x14ac:dyDescent="0.25">
      <c r="A3165" t="s">
        <v>26</v>
      </c>
      <c r="B3165" t="s">
        <v>4578</v>
      </c>
      <c r="I3165" s="1" t="s">
        <v>4603</v>
      </c>
      <c r="S3165" s="15">
        <v>1</v>
      </c>
    </row>
    <row r="3166" spans="1:25" ht="75" x14ac:dyDescent="0.25">
      <c r="A3166" t="s">
        <v>49</v>
      </c>
      <c r="B3166" t="s">
        <v>4578</v>
      </c>
      <c r="I3166" s="1" t="s">
        <v>4604</v>
      </c>
      <c r="S3166" s="15">
        <v>1</v>
      </c>
    </row>
    <row r="3167" spans="1:25" ht="30" x14ac:dyDescent="0.25">
      <c r="A3167" t="s">
        <v>26</v>
      </c>
      <c r="B3167" t="s">
        <v>4578</v>
      </c>
      <c r="I3167" s="1" t="s">
        <v>4605</v>
      </c>
      <c r="T3167" s="15">
        <v>1</v>
      </c>
    </row>
    <row r="3168" spans="1:25" ht="60" x14ac:dyDescent="0.25">
      <c r="A3168" t="s">
        <v>49</v>
      </c>
      <c r="B3168" t="s">
        <v>4578</v>
      </c>
      <c r="I3168" s="1" t="s">
        <v>4606</v>
      </c>
      <c r="S3168" s="15">
        <v>1</v>
      </c>
    </row>
    <row r="3169" spans="1:24" ht="30" x14ac:dyDescent="0.25">
      <c r="A3169" t="s">
        <v>26</v>
      </c>
      <c r="B3169" t="s">
        <v>4578</v>
      </c>
      <c r="I3169" s="1" t="s">
        <v>4607</v>
      </c>
      <c r="W3169" s="15">
        <v>1</v>
      </c>
    </row>
    <row r="3170" spans="1:24" ht="120" x14ac:dyDescent="0.25">
      <c r="A3170" t="s">
        <v>49</v>
      </c>
      <c r="B3170" t="s">
        <v>4578</v>
      </c>
      <c r="I3170" s="1" t="s">
        <v>4608</v>
      </c>
      <c r="Q3170" s="15">
        <v>1</v>
      </c>
      <c r="S3170" s="15">
        <v>1</v>
      </c>
    </row>
    <row r="3171" spans="1:24" ht="60" x14ac:dyDescent="0.25">
      <c r="A3171" t="s">
        <v>26</v>
      </c>
      <c r="B3171" t="s">
        <v>4578</v>
      </c>
      <c r="I3171" s="1" t="s">
        <v>4609</v>
      </c>
      <c r="O3171" s="15">
        <v>1</v>
      </c>
      <c r="S3171" s="15">
        <v>1</v>
      </c>
    </row>
    <row r="3172" spans="1:24" ht="60" x14ac:dyDescent="0.25">
      <c r="A3172" t="s">
        <v>49</v>
      </c>
      <c r="B3172" t="s">
        <v>4578</v>
      </c>
      <c r="I3172" s="1" t="s">
        <v>4610</v>
      </c>
      <c r="X3172" s="15">
        <v>1</v>
      </c>
    </row>
    <row r="3173" spans="1:24" ht="45" x14ac:dyDescent="0.25">
      <c r="A3173" t="s">
        <v>26</v>
      </c>
      <c r="B3173" t="s">
        <v>4578</v>
      </c>
      <c r="I3173" s="1" t="s">
        <v>4611</v>
      </c>
      <c r="M3173" s="15">
        <v>1</v>
      </c>
    </row>
    <row r="3174" spans="1:24" ht="105" x14ac:dyDescent="0.25">
      <c r="A3174" t="s">
        <v>59</v>
      </c>
      <c r="B3174" t="s">
        <v>4578</v>
      </c>
      <c r="I3174" s="1" t="s">
        <v>4612</v>
      </c>
      <c r="N3174" s="15">
        <v>1</v>
      </c>
      <c r="W3174" s="15">
        <v>1</v>
      </c>
    </row>
    <row r="3175" spans="1:24" ht="90" x14ac:dyDescent="0.25">
      <c r="A3175" t="s">
        <v>26</v>
      </c>
      <c r="B3175" t="s">
        <v>4578</v>
      </c>
      <c r="I3175" s="1" t="s">
        <v>4613</v>
      </c>
      <c r="Q3175" s="15">
        <v>1</v>
      </c>
      <c r="S3175" s="15">
        <v>1</v>
      </c>
    </row>
    <row r="3176" spans="1:24" ht="30" x14ac:dyDescent="0.25">
      <c r="A3176" t="s">
        <v>59</v>
      </c>
      <c r="B3176" t="s">
        <v>4578</v>
      </c>
      <c r="I3176" s="1" t="s">
        <v>4614</v>
      </c>
    </row>
    <row r="3177" spans="1:24" ht="105" x14ac:dyDescent="0.25">
      <c r="A3177" t="s">
        <v>49</v>
      </c>
      <c r="B3177" t="s">
        <v>4578</v>
      </c>
      <c r="I3177" s="1" t="s">
        <v>4615</v>
      </c>
      <c r="P3177" s="15">
        <v>1</v>
      </c>
    </row>
    <row r="3178" spans="1:24" ht="45" x14ac:dyDescent="0.25">
      <c r="A3178" t="s">
        <v>37</v>
      </c>
      <c r="B3178" t="s">
        <v>4578</v>
      </c>
      <c r="I3178" s="1" t="s">
        <v>4616</v>
      </c>
      <c r="T3178" s="15">
        <v>1</v>
      </c>
    </row>
    <row r="3179" spans="1:24" ht="60" x14ac:dyDescent="0.25">
      <c r="A3179" t="s">
        <v>26</v>
      </c>
      <c r="B3179" t="s">
        <v>4578</v>
      </c>
      <c r="I3179" s="1" t="s">
        <v>4617</v>
      </c>
      <c r="T3179" s="15">
        <v>1</v>
      </c>
    </row>
    <row r="3180" spans="1:24" ht="105" x14ac:dyDescent="0.25">
      <c r="A3180" t="s">
        <v>37</v>
      </c>
      <c r="B3180" t="s">
        <v>4578</v>
      </c>
      <c r="I3180" s="1" t="s">
        <v>4618</v>
      </c>
      <c r="W3180" s="15">
        <v>1</v>
      </c>
    </row>
    <row r="3181" spans="1:24" ht="60" x14ac:dyDescent="0.25">
      <c r="A3181" t="s">
        <v>49</v>
      </c>
      <c r="B3181" t="s">
        <v>4578</v>
      </c>
      <c r="I3181" s="1" t="s">
        <v>4619</v>
      </c>
      <c r="S3181" s="15">
        <v>1</v>
      </c>
    </row>
    <row r="3182" spans="1:24" ht="105" x14ac:dyDescent="0.25">
      <c r="A3182" t="s">
        <v>37</v>
      </c>
      <c r="B3182" t="s">
        <v>4578</v>
      </c>
      <c r="I3182" s="1" t="s">
        <v>4620</v>
      </c>
      <c r="S3182" s="15">
        <v>1</v>
      </c>
    </row>
    <row r="3183" spans="1:24" ht="30" x14ac:dyDescent="0.25">
      <c r="A3183" t="s">
        <v>49</v>
      </c>
      <c r="B3183" t="s">
        <v>4578</v>
      </c>
      <c r="I3183" s="1" t="s">
        <v>4621</v>
      </c>
      <c r="T3183" s="15">
        <v>1</v>
      </c>
    </row>
    <row r="3184" spans="1:24" ht="105" x14ac:dyDescent="0.25">
      <c r="A3184" t="s">
        <v>91</v>
      </c>
      <c r="B3184" t="s">
        <v>4578</v>
      </c>
      <c r="I3184" s="1" t="s">
        <v>4622</v>
      </c>
      <c r="R3184" s="15">
        <v>1</v>
      </c>
      <c r="W3184" s="15">
        <v>1</v>
      </c>
    </row>
    <row r="3185" spans="1:23" ht="45" x14ac:dyDescent="0.25">
      <c r="A3185" t="s">
        <v>49</v>
      </c>
      <c r="B3185" t="s">
        <v>4578</v>
      </c>
      <c r="I3185" s="1" t="s">
        <v>4623</v>
      </c>
      <c r="T3185" s="15">
        <v>1</v>
      </c>
    </row>
    <row r="3186" spans="1:23" ht="45" x14ac:dyDescent="0.25">
      <c r="A3186" t="s">
        <v>91</v>
      </c>
      <c r="B3186" t="s">
        <v>4578</v>
      </c>
      <c r="I3186" s="1" t="s">
        <v>4624</v>
      </c>
      <c r="O3186" s="15">
        <v>1</v>
      </c>
      <c r="T3186" s="15">
        <v>1</v>
      </c>
    </row>
    <row r="3187" spans="1:23" ht="60" x14ac:dyDescent="0.25">
      <c r="A3187" t="s">
        <v>59</v>
      </c>
      <c r="B3187" t="s">
        <v>4578</v>
      </c>
      <c r="I3187" s="1" t="s">
        <v>4625</v>
      </c>
      <c r="S3187" s="15">
        <v>1</v>
      </c>
    </row>
    <row r="3188" spans="1:23" ht="105" x14ac:dyDescent="0.25">
      <c r="A3188" t="s">
        <v>37</v>
      </c>
      <c r="B3188" t="s">
        <v>4578</v>
      </c>
      <c r="I3188" s="1" t="s">
        <v>4626</v>
      </c>
      <c r="W3188" s="15">
        <v>1</v>
      </c>
    </row>
    <row r="3189" spans="1:23" x14ac:dyDescent="0.25">
      <c r="A3189" t="s">
        <v>37</v>
      </c>
      <c r="B3189" t="s">
        <v>4578</v>
      </c>
      <c r="I3189" s="1" t="s">
        <v>4627</v>
      </c>
      <c r="O3189" s="15">
        <v>1</v>
      </c>
    </row>
    <row r="3190" spans="1:23" ht="30" x14ac:dyDescent="0.25">
      <c r="A3190" t="s">
        <v>26</v>
      </c>
      <c r="B3190" t="s">
        <v>4628</v>
      </c>
      <c r="I3190" s="1" t="s">
        <v>4629</v>
      </c>
      <c r="O3190" s="15">
        <v>1</v>
      </c>
    </row>
    <row r="3191" spans="1:23" ht="60" x14ac:dyDescent="0.25">
      <c r="A3191" t="s">
        <v>26</v>
      </c>
      <c r="B3191" t="s">
        <v>4628</v>
      </c>
      <c r="I3191" s="1" t="s">
        <v>4630</v>
      </c>
      <c r="W3191" s="15">
        <v>1</v>
      </c>
    </row>
    <row r="3192" spans="1:23" ht="90" x14ac:dyDescent="0.25">
      <c r="A3192" t="s">
        <v>26</v>
      </c>
      <c r="B3192" t="s">
        <v>4628</v>
      </c>
      <c r="I3192" s="1" t="s">
        <v>4631</v>
      </c>
      <c r="O3192" s="15">
        <v>1</v>
      </c>
    </row>
    <row r="3193" spans="1:23" ht="45" x14ac:dyDescent="0.25">
      <c r="A3193" t="s">
        <v>26</v>
      </c>
      <c r="B3193" t="s">
        <v>4628</v>
      </c>
      <c r="I3193" s="1" t="s">
        <v>4632</v>
      </c>
      <c r="P3193" s="15">
        <v>1</v>
      </c>
    </row>
    <row r="3194" spans="1:23" ht="30" x14ac:dyDescent="0.25">
      <c r="A3194" t="s">
        <v>26</v>
      </c>
      <c r="B3194" t="s">
        <v>4628</v>
      </c>
      <c r="I3194" s="1" t="s">
        <v>4633</v>
      </c>
      <c r="T3194" s="15">
        <v>1</v>
      </c>
    </row>
    <row r="3195" spans="1:23" x14ac:dyDescent="0.25">
      <c r="A3195" t="s">
        <v>26</v>
      </c>
      <c r="B3195" t="s">
        <v>4628</v>
      </c>
      <c r="I3195" s="1" t="s">
        <v>4634</v>
      </c>
      <c r="O3195" s="15">
        <v>1</v>
      </c>
    </row>
    <row r="3196" spans="1:23" ht="30" x14ac:dyDescent="0.25">
      <c r="A3196" t="s">
        <v>26</v>
      </c>
      <c r="B3196" t="s">
        <v>4628</v>
      </c>
      <c r="I3196" s="1" t="s">
        <v>4635</v>
      </c>
      <c r="Q3196" s="15">
        <v>1</v>
      </c>
    </row>
    <row r="3197" spans="1:23" ht="60" x14ac:dyDescent="0.25">
      <c r="A3197" t="s">
        <v>26</v>
      </c>
      <c r="B3197" t="s">
        <v>4628</v>
      </c>
      <c r="I3197" s="1" t="s">
        <v>4636</v>
      </c>
      <c r="O3197" s="15">
        <v>1</v>
      </c>
      <c r="Q3197" s="15">
        <v>1</v>
      </c>
    </row>
    <row r="3198" spans="1:23" ht="45" x14ac:dyDescent="0.25">
      <c r="A3198" t="s">
        <v>49</v>
      </c>
      <c r="B3198" t="s">
        <v>4628</v>
      </c>
      <c r="I3198" s="1" t="s">
        <v>4637</v>
      </c>
      <c r="P3198" s="15">
        <v>1</v>
      </c>
    </row>
    <row r="3199" spans="1:23" ht="45" x14ac:dyDescent="0.25">
      <c r="A3199" t="s">
        <v>26</v>
      </c>
      <c r="B3199" t="s">
        <v>4628</v>
      </c>
      <c r="I3199" s="1" t="s">
        <v>4638</v>
      </c>
      <c r="S3199" s="15">
        <v>1</v>
      </c>
    </row>
    <row r="3200" spans="1:23" ht="45" x14ac:dyDescent="0.25">
      <c r="A3200" t="s">
        <v>26</v>
      </c>
      <c r="B3200" t="s">
        <v>4628</v>
      </c>
      <c r="I3200" s="1" t="s">
        <v>4639</v>
      </c>
      <c r="S3200" s="15">
        <v>1</v>
      </c>
    </row>
    <row r="3201" spans="1:25" ht="30" x14ac:dyDescent="0.25">
      <c r="A3201" t="s">
        <v>26</v>
      </c>
      <c r="B3201" t="s">
        <v>4628</v>
      </c>
      <c r="I3201" s="1" t="s">
        <v>4640</v>
      </c>
      <c r="S3201" s="15">
        <v>1</v>
      </c>
    </row>
    <row r="3202" spans="1:25" ht="90" x14ac:dyDescent="0.25">
      <c r="A3202" t="s">
        <v>49</v>
      </c>
      <c r="B3202" t="s">
        <v>4628</v>
      </c>
      <c r="I3202" s="1" t="s">
        <v>4641</v>
      </c>
      <c r="Y3202">
        <v>1</v>
      </c>
    </row>
    <row r="3203" spans="1:25" ht="45" x14ac:dyDescent="0.25">
      <c r="A3203" t="s">
        <v>49</v>
      </c>
      <c r="B3203" t="s">
        <v>4628</v>
      </c>
      <c r="I3203" s="1" t="s">
        <v>4642</v>
      </c>
      <c r="O3203" s="15">
        <v>1</v>
      </c>
      <c r="S3203" s="15">
        <v>1</v>
      </c>
    </row>
    <row r="3204" spans="1:25" ht="30" x14ac:dyDescent="0.25">
      <c r="A3204" t="s">
        <v>26</v>
      </c>
      <c r="B3204" t="s">
        <v>4628</v>
      </c>
      <c r="I3204" s="1" t="s">
        <v>4643</v>
      </c>
      <c r="S3204" s="15">
        <v>1</v>
      </c>
    </row>
    <row r="3205" spans="1:25" ht="45" x14ac:dyDescent="0.25">
      <c r="A3205" t="s">
        <v>26</v>
      </c>
      <c r="B3205" t="s">
        <v>4628</v>
      </c>
      <c r="I3205" s="1" t="s">
        <v>4644</v>
      </c>
      <c r="O3205" s="15">
        <v>1</v>
      </c>
      <c r="S3205" s="15">
        <v>1</v>
      </c>
    </row>
    <row r="3206" spans="1:25" ht="30" x14ac:dyDescent="0.25">
      <c r="A3206" t="s">
        <v>49</v>
      </c>
      <c r="B3206" t="s">
        <v>4628</v>
      </c>
      <c r="I3206" s="1" t="s">
        <v>4645</v>
      </c>
    </row>
    <row r="3207" spans="1:25" ht="30" x14ac:dyDescent="0.25">
      <c r="A3207" t="s">
        <v>49</v>
      </c>
      <c r="B3207" t="s">
        <v>4628</v>
      </c>
      <c r="I3207" s="1" t="s">
        <v>4646</v>
      </c>
      <c r="Q3207" s="15">
        <v>1</v>
      </c>
    </row>
    <row r="3208" spans="1:25" ht="120" x14ac:dyDescent="0.25">
      <c r="A3208" t="s">
        <v>26</v>
      </c>
      <c r="B3208" t="s">
        <v>4628</v>
      </c>
      <c r="I3208" s="1" t="s">
        <v>4647</v>
      </c>
      <c r="Y3208">
        <v>1</v>
      </c>
    </row>
    <row r="3209" spans="1:25" ht="105" x14ac:dyDescent="0.25">
      <c r="A3209" t="s">
        <v>26</v>
      </c>
      <c r="B3209" t="s">
        <v>4628</v>
      </c>
      <c r="I3209" s="1" t="s">
        <v>4648</v>
      </c>
      <c r="Y3209">
        <v>1</v>
      </c>
    </row>
    <row r="3210" spans="1:25" ht="60" x14ac:dyDescent="0.25">
      <c r="A3210" t="s">
        <v>64</v>
      </c>
      <c r="B3210" t="s">
        <v>4628</v>
      </c>
      <c r="I3210" s="1" t="s">
        <v>4649</v>
      </c>
      <c r="S3210" s="15">
        <v>1</v>
      </c>
    </row>
    <row r="3211" spans="1:25" ht="135" x14ac:dyDescent="0.25">
      <c r="A3211" t="s">
        <v>91</v>
      </c>
      <c r="B3211" t="s">
        <v>4628</v>
      </c>
      <c r="I3211" s="1" t="s">
        <v>4650</v>
      </c>
      <c r="R3211" s="15">
        <v>1</v>
      </c>
    </row>
    <row r="3212" spans="1:25" ht="30" x14ac:dyDescent="0.25">
      <c r="A3212" t="s">
        <v>26</v>
      </c>
      <c r="B3212" t="s">
        <v>4628</v>
      </c>
      <c r="I3212" s="1" t="s">
        <v>4651</v>
      </c>
      <c r="S3212" s="15">
        <v>1</v>
      </c>
    </row>
    <row r="3213" spans="1:25" ht="75" x14ac:dyDescent="0.25">
      <c r="A3213" t="s">
        <v>26</v>
      </c>
      <c r="B3213" t="s">
        <v>4628</v>
      </c>
      <c r="I3213" s="1" t="s">
        <v>4652</v>
      </c>
      <c r="P3213" s="15">
        <v>1</v>
      </c>
      <c r="R3213" s="15">
        <v>1</v>
      </c>
      <c r="T3213" s="15">
        <v>1</v>
      </c>
    </row>
    <row r="3214" spans="1:25" ht="105" x14ac:dyDescent="0.25">
      <c r="A3214" t="s">
        <v>26</v>
      </c>
      <c r="B3214" t="s">
        <v>4628</v>
      </c>
      <c r="I3214" s="1" t="s">
        <v>4653</v>
      </c>
      <c r="S3214" s="15">
        <v>1</v>
      </c>
      <c r="X3214" s="15">
        <v>1</v>
      </c>
    </row>
    <row r="3215" spans="1:25" ht="105" x14ac:dyDescent="0.25">
      <c r="A3215" t="s">
        <v>91</v>
      </c>
      <c r="B3215" t="s">
        <v>4628</v>
      </c>
      <c r="I3215" s="1" t="s">
        <v>4654</v>
      </c>
      <c r="Y3215">
        <v>1</v>
      </c>
    </row>
    <row r="3216" spans="1:25" ht="30" x14ac:dyDescent="0.25">
      <c r="A3216" t="s">
        <v>26</v>
      </c>
      <c r="B3216" t="s">
        <v>4628</v>
      </c>
      <c r="I3216" s="1" t="s">
        <v>4655</v>
      </c>
      <c r="Q3216" s="15">
        <v>1</v>
      </c>
    </row>
    <row r="3217" spans="1:25" ht="105" x14ac:dyDescent="0.25">
      <c r="A3217" t="s">
        <v>26</v>
      </c>
      <c r="B3217" t="s">
        <v>4628</v>
      </c>
      <c r="I3217" s="1" t="s">
        <v>4656</v>
      </c>
      <c r="Q3217" s="15">
        <v>1</v>
      </c>
      <c r="W3217" s="15">
        <v>1</v>
      </c>
      <c r="Y3217">
        <v>1</v>
      </c>
    </row>
    <row r="3218" spans="1:25" ht="45" x14ac:dyDescent="0.25">
      <c r="A3218" t="s">
        <v>49</v>
      </c>
      <c r="B3218" t="s">
        <v>4628</v>
      </c>
      <c r="I3218" s="1" t="s">
        <v>4657</v>
      </c>
      <c r="S3218" s="15">
        <v>1</v>
      </c>
      <c r="Y3218">
        <v>1</v>
      </c>
    </row>
    <row r="3219" spans="1:25" ht="60" x14ac:dyDescent="0.25">
      <c r="A3219" t="s">
        <v>64</v>
      </c>
      <c r="B3219" t="s">
        <v>4628</v>
      </c>
      <c r="I3219" s="1" t="s">
        <v>4658</v>
      </c>
      <c r="Q3219" s="15">
        <v>1</v>
      </c>
      <c r="V3219" s="15">
        <v>1</v>
      </c>
    </row>
    <row r="3220" spans="1:25" ht="30" x14ac:dyDescent="0.25">
      <c r="A3220" t="s">
        <v>49</v>
      </c>
      <c r="B3220" t="s">
        <v>4628</v>
      </c>
      <c r="I3220" s="1" t="s">
        <v>4659</v>
      </c>
      <c r="S3220" s="15">
        <v>1</v>
      </c>
    </row>
    <row r="3221" spans="1:25" ht="30" x14ac:dyDescent="0.25">
      <c r="A3221" t="s">
        <v>49</v>
      </c>
      <c r="B3221" t="s">
        <v>4628</v>
      </c>
      <c r="I3221" s="1" t="s">
        <v>4660</v>
      </c>
      <c r="S3221" s="15">
        <v>1</v>
      </c>
    </row>
    <row r="3222" spans="1:25" ht="45" x14ac:dyDescent="0.25">
      <c r="A3222" t="s">
        <v>59</v>
      </c>
      <c r="B3222" t="s">
        <v>4628</v>
      </c>
      <c r="I3222" s="1" t="s">
        <v>4661</v>
      </c>
      <c r="S3222" s="15">
        <v>1</v>
      </c>
    </row>
    <row r="3223" spans="1:25" ht="30" x14ac:dyDescent="0.25">
      <c r="A3223" t="s">
        <v>37</v>
      </c>
      <c r="B3223" t="s">
        <v>4628</v>
      </c>
      <c r="I3223" s="1" t="s">
        <v>4662</v>
      </c>
      <c r="P3223" s="15">
        <v>1</v>
      </c>
      <c r="T3223" s="15">
        <v>1</v>
      </c>
      <c r="V3223" s="15">
        <v>1</v>
      </c>
    </row>
    <row r="3224" spans="1:25" ht="105" x14ac:dyDescent="0.25">
      <c r="A3224" t="s">
        <v>59</v>
      </c>
      <c r="B3224" t="s">
        <v>4628</v>
      </c>
      <c r="I3224" s="1" t="s">
        <v>4663</v>
      </c>
      <c r="Q3224" s="15">
        <v>1</v>
      </c>
      <c r="V3224" s="15">
        <v>1</v>
      </c>
    </row>
    <row r="3225" spans="1:25" ht="90" x14ac:dyDescent="0.25">
      <c r="A3225" t="s">
        <v>64</v>
      </c>
      <c r="B3225" t="s">
        <v>4628</v>
      </c>
      <c r="I3225" s="1" t="s">
        <v>4664</v>
      </c>
      <c r="T3225" s="15">
        <v>1</v>
      </c>
      <c r="Y3225">
        <v>1</v>
      </c>
    </row>
    <row r="3226" spans="1:25" ht="105" x14ac:dyDescent="0.25">
      <c r="A3226" t="s">
        <v>37</v>
      </c>
      <c r="B3226" t="s">
        <v>4628</v>
      </c>
      <c r="I3226" s="1" t="s">
        <v>4665</v>
      </c>
      <c r="W3226" s="15">
        <v>1</v>
      </c>
      <c r="Y3226">
        <v>1</v>
      </c>
    </row>
    <row r="3227" spans="1:25" ht="45" x14ac:dyDescent="0.25">
      <c r="A3227" t="s">
        <v>26</v>
      </c>
      <c r="B3227" t="s">
        <v>4666</v>
      </c>
      <c r="I3227" s="1" t="s">
        <v>4667</v>
      </c>
      <c r="N3227" s="15">
        <v>1</v>
      </c>
    </row>
    <row r="3228" spans="1:25" ht="105" x14ac:dyDescent="0.25">
      <c r="A3228" t="s">
        <v>91</v>
      </c>
      <c r="B3228" t="s">
        <v>4666</v>
      </c>
      <c r="I3228" s="1" t="s">
        <v>4668</v>
      </c>
      <c r="S3228" s="15">
        <v>1</v>
      </c>
    </row>
    <row r="3229" spans="1:25" ht="45" x14ac:dyDescent="0.25">
      <c r="A3229" t="s">
        <v>26</v>
      </c>
      <c r="B3229" t="s">
        <v>4666</v>
      </c>
      <c r="I3229" s="1" t="s">
        <v>4669</v>
      </c>
      <c r="N3229" s="15">
        <v>1</v>
      </c>
      <c r="Y3229">
        <v>1</v>
      </c>
    </row>
    <row r="3230" spans="1:25" ht="45" x14ac:dyDescent="0.25">
      <c r="A3230" t="s">
        <v>26</v>
      </c>
      <c r="B3230" t="s">
        <v>4666</v>
      </c>
      <c r="I3230" s="1" t="s">
        <v>4670</v>
      </c>
      <c r="T3230" s="15">
        <v>1</v>
      </c>
    </row>
    <row r="3231" spans="1:25" ht="45" x14ac:dyDescent="0.25">
      <c r="A3231" t="s">
        <v>49</v>
      </c>
      <c r="B3231" t="s">
        <v>4666</v>
      </c>
      <c r="I3231" s="1" t="s">
        <v>4671</v>
      </c>
      <c r="S3231" s="15">
        <v>1</v>
      </c>
    </row>
    <row r="3232" spans="1:25" ht="30" x14ac:dyDescent="0.25">
      <c r="A3232" t="s">
        <v>37</v>
      </c>
      <c r="B3232" t="s">
        <v>4666</v>
      </c>
      <c r="I3232" s="1" t="s">
        <v>4672</v>
      </c>
      <c r="Q3232" s="15">
        <v>1</v>
      </c>
    </row>
    <row r="3233" spans="1:25" ht="45" x14ac:dyDescent="0.25">
      <c r="A3233" t="s">
        <v>26</v>
      </c>
      <c r="B3233" t="s">
        <v>4666</v>
      </c>
      <c r="I3233" s="1" t="s">
        <v>4673</v>
      </c>
      <c r="Q3233" s="15">
        <v>1</v>
      </c>
      <c r="V3233" s="15">
        <v>1</v>
      </c>
    </row>
    <row r="3234" spans="1:25" ht="45" x14ac:dyDescent="0.25">
      <c r="A3234" t="s">
        <v>49</v>
      </c>
      <c r="B3234" t="s">
        <v>4666</v>
      </c>
      <c r="I3234" s="1" t="s">
        <v>4674</v>
      </c>
      <c r="T3234" s="15">
        <v>1</v>
      </c>
    </row>
    <row r="3235" spans="1:25" ht="45" x14ac:dyDescent="0.25">
      <c r="A3235" t="s">
        <v>59</v>
      </c>
      <c r="B3235" t="s">
        <v>4666</v>
      </c>
      <c r="I3235" s="1" t="s">
        <v>4675</v>
      </c>
      <c r="P3235" s="15">
        <v>1</v>
      </c>
      <c r="Q3235" s="15">
        <v>1</v>
      </c>
      <c r="V3235" s="15">
        <v>1</v>
      </c>
    </row>
    <row r="3236" spans="1:25" ht="30" x14ac:dyDescent="0.25">
      <c r="A3236" t="s">
        <v>37</v>
      </c>
      <c r="B3236" t="s">
        <v>4666</v>
      </c>
      <c r="I3236" s="1" t="s">
        <v>4676</v>
      </c>
      <c r="P3236" s="15">
        <v>1</v>
      </c>
      <c r="W3236" s="15">
        <v>1</v>
      </c>
    </row>
    <row r="3237" spans="1:25" ht="30" x14ac:dyDescent="0.25">
      <c r="A3237" t="s">
        <v>26</v>
      </c>
      <c r="B3237" t="s">
        <v>4677</v>
      </c>
      <c r="I3237" s="1" t="s">
        <v>4678</v>
      </c>
      <c r="W3237" s="15">
        <v>1</v>
      </c>
    </row>
    <row r="3238" spans="1:25" ht="105" x14ac:dyDescent="0.25">
      <c r="A3238" t="s">
        <v>26</v>
      </c>
      <c r="B3238" t="s">
        <v>4677</v>
      </c>
      <c r="I3238" s="1" t="s">
        <v>4679</v>
      </c>
      <c r="Q3238" s="15">
        <v>1</v>
      </c>
      <c r="V3238" s="15">
        <v>1</v>
      </c>
    </row>
    <row r="3239" spans="1:25" ht="105" x14ac:dyDescent="0.25">
      <c r="A3239" t="s">
        <v>26</v>
      </c>
      <c r="B3239" t="s">
        <v>4677</v>
      </c>
      <c r="I3239" s="1" t="s">
        <v>4680</v>
      </c>
      <c r="T3239" s="15">
        <v>1</v>
      </c>
    </row>
    <row r="3240" spans="1:25" x14ac:dyDescent="0.25">
      <c r="A3240" t="s">
        <v>26</v>
      </c>
      <c r="B3240" t="s">
        <v>4677</v>
      </c>
      <c r="I3240" s="1" t="s">
        <v>4681</v>
      </c>
      <c r="Q3240" s="15">
        <v>1</v>
      </c>
    </row>
    <row r="3241" spans="1:25" ht="45" x14ac:dyDescent="0.25">
      <c r="A3241" t="s">
        <v>26</v>
      </c>
      <c r="B3241" t="s">
        <v>4677</v>
      </c>
      <c r="I3241" s="1" t="s">
        <v>4682</v>
      </c>
      <c r="W3241" s="15">
        <v>1</v>
      </c>
      <c r="Y3241">
        <v>1</v>
      </c>
    </row>
    <row r="3242" spans="1:25" x14ac:dyDescent="0.25">
      <c r="A3242" t="s">
        <v>26</v>
      </c>
      <c r="B3242" t="s">
        <v>4677</v>
      </c>
      <c r="I3242" s="1" t="s">
        <v>4683</v>
      </c>
      <c r="W3242" s="15">
        <v>1</v>
      </c>
    </row>
    <row r="3243" spans="1:25" ht="30" x14ac:dyDescent="0.25">
      <c r="A3243" t="s">
        <v>26</v>
      </c>
      <c r="B3243" t="s">
        <v>4677</v>
      </c>
      <c r="I3243" s="1" t="s">
        <v>4684</v>
      </c>
      <c r="R3243" s="15">
        <v>1</v>
      </c>
      <c r="V3243" s="15">
        <v>1</v>
      </c>
      <c r="W3243" s="15">
        <v>1</v>
      </c>
    </row>
    <row r="3244" spans="1:25" x14ac:dyDescent="0.25">
      <c r="A3244" t="s">
        <v>26</v>
      </c>
      <c r="B3244" t="s">
        <v>4677</v>
      </c>
      <c r="I3244" s="1" t="s">
        <v>4685</v>
      </c>
    </row>
    <row r="3245" spans="1:25" ht="105" x14ac:dyDescent="0.25">
      <c r="A3245" t="s">
        <v>49</v>
      </c>
      <c r="B3245" t="s">
        <v>4677</v>
      </c>
      <c r="I3245" s="1" t="s">
        <v>4686</v>
      </c>
      <c r="P3245" s="15">
        <v>1</v>
      </c>
    </row>
    <row r="3246" spans="1:25" ht="45" x14ac:dyDescent="0.25">
      <c r="A3246" t="s">
        <v>26</v>
      </c>
      <c r="B3246" t="s">
        <v>4677</v>
      </c>
      <c r="I3246" s="1" t="s">
        <v>4687</v>
      </c>
      <c r="T3246" s="15">
        <v>1</v>
      </c>
    </row>
    <row r="3247" spans="1:25" ht="90" x14ac:dyDescent="0.25">
      <c r="A3247" t="s">
        <v>49</v>
      </c>
      <c r="B3247" t="s">
        <v>4677</v>
      </c>
      <c r="I3247" s="1" t="s">
        <v>4688</v>
      </c>
      <c r="P3247" s="15">
        <v>1</v>
      </c>
      <c r="R3247" s="15">
        <v>1</v>
      </c>
      <c r="Y3247">
        <v>1</v>
      </c>
    </row>
    <row r="3248" spans="1:25" ht="45" x14ac:dyDescent="0.25">
      <c r="A3248" t="s">
        <v>26</v>
      </c>
      <c r="B3248" t="s">
        <v>4677</v>
      </c>
      <c r="I3248" s="1" t="s">
        <v>4689</v>
      </c>
      <c r="Q3248" s="15">
        <v>1</v>
      </c>
    </row>
    <row r="3249" spans="1:24" ht="105" x14ac:dyDescent="0.25">
      <c r="A3249" t="s">
        <v>37</v>
      </c>
      <c r="B3249" t="s">
        <v>4677</v>
      </c>
      <c r="I3249" s="1" t="s">
        <v>4690</v>
      </c>
      <c r="V3249" s="15">
        <v>1</v>
      </c>
    </row>
    <row r="3250" spans="1:24" ht="60" x14ac:dyDescent="0.25">
      <c r="A3250" t="s">
        <v>49</v>
      </c>
      <c r="B3250" t="s">
        <v>4677</v>
      </c>
      <c r="I3250" s="1" t="s">
        <v>4691</v>
      </c>
      <c r="S3250" s="15">
        <v>1</v>
      </c>
    </row>
    <row r="3251" spans="1:24" ht="105" x14ac:dyDescent="0.25">
      <c r="A3251" t="s">
        <v>49</v>
      </c>
      <c r="B3251" t="s">
        <v>4677</v>
      </c>
      <c r="I3251" s="1" t="s">
        <v>4692</v>
      </c>
      <c r="O3251" s="15">
        <v>1</v>
      </c>
      <c r="S3251" s="15">
        <v>1</v>
      </c>
    </row>
    <row r="3252" spans="1:24" ht="30" x14ac:dyDescent="0.25">
      <c r="A3252" t="s">
        <v>26</v>
      </c>
      <c r="B3252" t="s">
        <v>4677</v>
      </c>
      <c r="I3252" s="1" t="s">
        <v>4693</v>
      </c>
      <c r="O3252" s="15">
        <v>1</v>
      </c>
      <c r="X3252" s="15">
        <v>1</v>
      </c>
    </row>
    <row r="3253" spans="1:24" ht="105" x14ac:dyDescent="0.25">
      <c r="A3253" t="s">
        <v>37</v>
      </c>
      <c r="B3253" t="s">
        <v>4677</v>
      </c>
      <c r="I3253" s="1" t="s">
        <v>4694</v>
      </c>
      <c r="T3253" s="15">
        <v>1</v>
      </c>
    </row>
    <row r="3254" spans="1:24" ht="90" x14ac:dyDescent="0.25">
      <c r="A3254" t="s">
        <v>49</v>
      </c>
      <c r="B3254" t="s">
        <v>4677</v>
      </c>
      <c r="I3254" s="1" t="s">
        <v>4695</v>
      </c>
      <c r="Q3254" s="15">
        <v>1</v>
      </c>
      <c r="V3254" s="15">
        <v>1</v>
      </c>
    </row>
    <row r="3255" spans="1:24" ht="75" x14ac:dyDescent="0.25">
      <c r="A3255" t="s">
        <v>37</v>
      </c>
      <c r="B3255" t="s">
        <v>4677</v>
      </c>
      <c r="I3255" s="1" t="s">
        <v>4696</v>
      </c>
      <c r="N3255" s="15">
        <v>1</v>
      </c>
      <c r="P3255" s="15">
        <v>1</v>
      </c>
    </row>
    <row r="3256" spans="1:24" ht="75" x14ac:dyDescent="0.25">
      <c r="A3256" t="s">
        <v>26</v>
      </c>
      <c r="B3256" t="s">
        <v>4677</v>
      </c>
      <c r="I3256" s="1" t="s">
        <v>4697</v>
      </c>
      <c r="S3256" s="15">
        <v>1</v>
      </c>
    </row>
    <row r="3257" spans="1:24" ht="75" x14ac:dyDescent="0.25">
      <c r="A3257" t="s">
        <v>37</v>
      </c>
      <c r="B3257" t="s">
        <v>4677</v>
      </c>
      <c r="I3257" s="1" t="s">
        <v>4698</v>
      </c>
      <c r="R3257" s="15">
        <v>1</v>
      </c>
      <c r="S3257" s="15">
        <v>1</v>
      </c>
    </row>
    <row r="3258" spans="1:24" ht="75" x14ac:dyDescent="0.25">
      <c r="A3258" t="s">
        <v>59</v>
      </c>
      <c r="B3258" t="s">
        <v>4677</v>
      </c>
      <c r="I3258" s="1" t="s">
        <v>4699</v>
      </c>
      <c r="Q3258" s="15">
        <v>1</v>
      </c>
      <c r="S3258" s="15">
        <v>1</v>
      </c>
      <c r="V3258" s="15">
        <v>1</v>
      </c>
    </row>
    <row r="3259" spans="1:24" ht="75" x14ac:dyDescent="0.25">
      <c r="A3259" t="s">
        <v>37</v>
      </c>
      <c r="B3259" t="s">
        <v>4677</v>
      </c>
      <c r="I3259" s="1" t="s">
        <v>4700</v>
      </c>
      <c r="P3259" s="15">
        <v>1</v>
      </c>
      <c r="W3259" s="15">
        <v>1</v>
      </c>
    </row>
    <row r="3260" spans="1:24" ht="30" x14ac:dyDescent="0.25">
      <c r="A3260" t="s">
        <v>26</v>
      </c>
      <c r="B3260" t="s">
        <v>4701</v>
      </c>
      <c r="I3260" s="1" t="s">
        <v>4702</v>
      </c>
      <c r="S3260" s="15">
        <v>1</v>
      </c>
    </row>
    <row r="3261" spans="1:24" ht="45" x14ac:dyDescent="0.25">
      <c r="A3261" t="s">
        <v>26</v>
      </c>
      <c r="B3261" t="s">
        <v>4701</v>
      </c>
      <c r="I3261" s="1" t="s">
        <v>4703</v>
      </c>
      <c r="N3261" s="15">
        <v>1</v>
      </c>
      <c r="Q3261" s="15">
        <v>1</v>
      </c>
    </row>
    <row r="3262" spans="1:24" ht="45" x14ac:dyDescent="0.25">
      <c r="A3262" t="s">
        <v>26</v>
      </c>
      <c r="B3262" t="s">
        <v>4701</v>
      </c>
      <c r="I3262" s="1" t="s">
        <v>4704</v>
      </c>
      <c r="S3262" s="15">
        <v>1</v>
      </c>
    </row>
    <row r="3263" spans="1:24" ht="45" x14ac:dyDescent="0.25">
      <c r="A3263" t="s">
        <v>26</v>
      </c>
      <c r="B3263" t="s">
        <v>4701</v>
      </c>
      <c r="I3263" s="1" t="s">
        <v>4705</v>
      </c>
      <c r="S3263" s="15">
        <v>1</v>
      </c>
    </row>
    <row r="3264" spans="1:24" ht="105" x14ac:dyDescent="0.25">
      <c r="A3264" t="s">
        <v>26</v>
      </c>
      <c r="B3264" t="s">
        <v>4701</v>
      </c>
      <c r="I3264" s="1" t="s">
        <v>4706</v>
      </c>
      <c r="O3264" s="15">
        <v>1</v>
      </c>
      <c r="S3264" s="15">
        <v>1</v>
      </c>
      <c r="X3264" s="15">
        <v>1</v>
      </c>
    </row>
    <row r="3265" spans="1:25" ht="105" x14ac:dyDescent="0.25">
      <c r="A3265" t="s">
        <v>26</v>
      </c>
      <c r="B3265" t="s">
        <v>4701</v>
      </c>
      <c r="I3265" s="1" t="s">
        <v>4707</v>
      </c>
      <c r="N3265" s="15">
        <v>1</v>
      </c>
      <c r="Q3265" s="15">
        <v>1</v>
      </c>
    </row>
    <row r="3266" spans="1:25" ht="30" x14ac:dyDescent="0.25">
      <c r="A3266" t="s">
        <v>26</v>
      </c>
      <c r="B3266" t="s">
        <v>4701</v>
      </c>
      <c r="I3266" s="1" t="s">
        <v>4708</v>
      </c>
      <c r="Q3266" s="15">
        <v>1</v>
      </c>
      <c r="V3266" s="15">
        <v>1</v>
      </c>
    </row>
    <row r="3267" spans="1:25" ht="60" x14ac:dyDescent="0.25">
      <c r="A3267" t="s">
        <v>26</v>
      </c>
      <c r="B3267" t="s">
        <v>4701</v>
      </c>
      <c r="I3267" s="1" t="s">
        <v>4709</v>
      </c>
      <c r="P3267" s="15">
        <v>1</v>
      </c>
    </row>
    <row r="3268" spans="1:25" ht="105" x14ac:dyDescent="0.25">
      <c r="A3268" t="s">
        <v>26</v>
      </c>
      <c r="B3268" t="s">
        <v>4701</v>
      </c>
      <c r="I3268" s="1" t="s">
        <v>4710</v>
      </c>
    </row>
    <row r="3269" spans="1:25" ht="120" x14ac:dyDescent="0.25">
      <c r="A3269" t="s">
        <v>26</v>
      </c>
      <c r="B3269" t="s">
        <v>4701</v>
      </c>
      <c r="I3269" s="1" t="s">
        <v>4711</v>
      </c>
      <c r="T3269" s="15">
        <v>1</v>
      </c>
      <c r="Y3269">
        <v>1</v>
      </c>
    </row>
    <row r="3270" spans="1:25" ht="30" x14ac:dyDescent="0.25">
      <c r="A3270" t="s">
        <v>26</v>
      </c>
      <c r="B3270" t="s">
        <v>4701</v>
      </c>
      <c r="I3270" s="1" t="s">
        <v>4712</v>
      </c>
      <c r="N3270" s="15">
        <v>1</v>
      </c>
      <c r="Q3270" s="15">
        <v>1</v>
      </c>
    </row>
    <row r="3271" spans="1:25" ht="30" x14ac:dyDescent="0.25">
      <c r="A3271" t="s">
        <v>26</v>
      </c>
      <c r="B3271" t="s">
        <v>4701</v>
      </c>
      <c r="I3271" s="1" t="s">
        <v>4713</v>
      </c>
      <c r="P3271" s="15">
        <v>1</v>
      </c>
    </row>
    <row r="3272" spans="1:25" ht="75" x14ac:dyDescent="0.25">
      <c r="A3272" t="s">
        <v>26</v>
      </c>
      <c r="B3272" t="s">
        <v>4701</v>
      </c>
      <c r="I3272" s="1" t="s">
        <v>4714</v>
      </c>
      <c r="S3272" s="15">
        <v>1</v>
      </c>
      <c r="W3272" s="15">
        <v>1</v>
      </c>
    </row>
    <row r="3273" spans="1:25" ht="30" x14ac:dyDescent="0.25">
      <c r="A3273" t="s">
        <v>49</v>
      </c>
      <c r="B3273" t="s">
        <v>4701</v>
      </c>
      <c r="I3273" s="1" t="s">
        <v>4715</v>
      </c>
      <c r="W3273" s="15">
        <v>1</v>
      </c>
    </row>
    <row r="3274" spans="1:25" ht="45" x14ac:dyDescent="0.25">
      <c r="A3274" t="s">
        <v>26</v>
      </c>
      <c r="B3274" t="s">
        <v>4701</v>
      </c>
      <c r="I3274" s="1" t="s">
        <v>4716</v>
      </c>
      <c r="N3274" s="15">
        <v>1</v>
      </c>
    </row>
    <row r="3275" spans="1:25" ht="105" x14ac:dyDescent="0.25">
      <c r="A3275" t="s">
        <v>26</v>
      </c>
      <c r="B3275" t="s">
        <v>4701</v>
      </c>
      <c r="I3275" s="1" t="s">
        <v>4717</v>
      </c>
      <c r="T3275" s="15">
        <v>1</v>
      </c>
    </row>
    <row r="3276" spans="1:25" ht="45" x14ac:dyDescent="0.25">
      <c r="A3276" t="s">
        <v>26</v>
      </c>
      <c r="B3276" t="s">
        <v>4701</v>
      </c>
      <c r="I3276" s="1" t="s">
        <v>4718</v>
      </c>
      <c r="N3276" s="15">
        <v>1</v>
      </c>
      <c r="Q3276" s="15">
        <v>1</v>
      </c>
      <c r="V3276" s="15">
        <v>1</v>
      </c>
    </row>
    <row r="3277" spans="1:25" ht="30" x14ac:dyDescent="0.25">
      <c r="A3277" t="s">
        <v>49</v>
      </c>
      <c r="B3277" t="s">
        <v>4701</v>
      </c>
      <c r="I3277" s="1" t="s">
        <v>4719</v>
      </c>
      <c r="T3277" s="15">
        <v>1</v>
      </c>
      <c r="Y3277">
        <v>1</v>
      </c>
    </row>
    <row r="3278" spans="1:25" ht="30" x14ac:dyDescent="0.25">
      <c r="A3278" t="s">
        <v>26</v>
      </c>
      <c r="B3278" t="s">
        <v>4701</v>
      </c>
      <c r="I3278" s="1" t="s">
        <v>4720</v>
      </c>
      <c r="P3278" s="15">
        <v>1</v>
      </c>
    </row>
    <row r="3279" spans="1:25" ht="105" x14ac:dyDescent="0.25">
      <c r="A3279" t="s">
        <v>26</v>
      </c>
      <c r="B3279" t="s">
        <v>4701</v>
      </c>
      <c r="I3279" s="1" t="s">
        <v>4721</v>
      </c>
      <c r="S3279" s="15">
        <v>1</v>
      </c>
    </row>
    <row r="3280" spans="1:25" ht="105" x14ac:dyDescent="0.25">
      <c r="A3280" t="s">
        <v>26</v>
      </c>
      <c r="B3280" t="s">
        <v>4701</v>
      </c>
      <c r="I3280" s="1" t="s">
        <v>4722</v>
      </c>
      <c r="Y3280">
        <v>1</v>
      </c>
    </row>
    <row r="3281" spans="1:25" ht="105" x14ac:dyDescent="0.25">
      <c r="A3281" t="s">
        <v>37</v>
      </c>
      <c r="B3281" t="s">
        <v>4701</v>
      </c>
      <c r="I3281" s="1" t="s">
        <v>4723</v>
      </c>
      <c r="Y3281">
        <v>1</v>
      </c>
    </row>
    <row r="3282" spans="1:25" ht="75" x14ac:dyDescent="0.25">
      <c r="A3282" t="s">
        <v>26</v>
      </c>
      <c r="B3282" t="s">
        <v>4701</v>
      </c>
      <c r="I3282" s="1" t="s">
        <v>4724</v>
      </c>
      <c r="Q3282" s="15">
        <v>1</v>
      </c>
      <c r="V3282" s="15">
        <v>1</v>
      </c>
    </row>
    <row r="3283" spans="1:25" ht="105" x14ac:dyDescent="0.25">
      <c r="A3283" t="s">
        <v>26</v>
      </c>
      <c r="B3283" t="s">
        <v>4701</v>
      </c>
      <c r="I3283" s="1" t="s">
        <v>4725</v>
      </c>
      <c r="S3283" s="15">
        <v>1</v>
      </c>
      <c r="W3283" s="15">
        <v>1</v>
      </c>
    </row>
    <row r="3284" spans="1:25" ht="60" x14ac:dyDescent="0.25">
      <c r="A3284" t="s">
        <v>26</v>
      </c>
      <c r="B3284" t="s">
        <v>4701</v>
      </c>
      <c r="I3284" s="1" t="s">
        <v>4726</v>
      </c>
      <c r="R3284" s="15">
        <v>1</v>
      </c>
    </row>
    <row r="3285" spans="1:25" ht="90" x14ac:dyDescent="0.25">
      <c r="A3285" t="s">
        <v>37</v>
      </c>
      <c r="B3285" t="s">
        <v>4701</v>
      </c>
      <c r="I3285" s="1" t="s">
        <v>4727</v>
      </c>
      <c r="Q3285" s="15">
        <v>1</v>
      </c>
    </row>
    <row r="3286" spans="1:25" ht="45" x14ac:dyDescent="0.25">
      <c r="A3286" t="s">
        <v>26</v>
      </c>
      <c r="B3286" t="s">
        <v>4701</v>
      </c>
      <c r="I3286" s="1" t="s">
        <v>4728</v>
      </c>
      <c r="S3286" s="15">
        <v>1</v>
      </c>
    </row>
    <row r="3287" spans="1:25" ht="30" x14ac:dyDescent="0.25">
      <c r="A3287" t="s">
        <v>26</v>
      </c>
      <c r="B3287" t="s">
        <v>4701</v>
      </c>
      <c r="I3287" s="1" t="s">
        <v>4729</v>
      </c>
      <c r="O3287" s="15">
        <v>1</v>
      </c>
      <c r="S3287" s="15">
        <v>1</v>
      </c>
    </row>
    <row r="3288" spans="1:25" ht="45" x14ac:dyDescent="0.25">
      <c r="A3288" t="s">
        <v>49</v>
      </c>
      <c r="B3288" t="s">
        <v>4701</v>
      </c>
      <c r="I3288" s="1" t="s">
        <v>4730</v>
      </c>
      <c r="S3288" s="15">
        <v>1</v>
      </c>
    </row>
    <row r="3289" spans="1:25" ht="30" x14ac:dyDescent="0.25">
      <c r="A3289" t="s">
        <v>49</v>
      </c>
      <c r="B3289" t="s">
        <v>4701</v>
      </c>
      <c r="I3289" s="1" t="s">
        <v>4731</v>
      </c>
      <c r="T3289" s="15">
        <v>1</v>
      </c>
    </row>
    <row r="3290" spans="1:25" ht="90" x14ac:dyDescent="0.25">
      <c r="A3290" t="s">
        <v>26</v>
      </c>
      <c r="B3290" t="s">
        <v>4701</v>
      </c>
      <c r="I3290" s="1" t="s">
        <v>4732</v>
      </c>
      <c r="T3290" s="15">
        <v>1</v>
      </c>
    </row>
    <row r="3291" spans="1:25" ht="30" x14ac:dyDescent="0.25">
      <c r="A3291" t="s">
        <v>49</v>
      </c>
      <c r="B3291" t="s">
        <v>4701</v>
      </c>
      <c r="I3291" s="1" t="s">
        <v>4733</v>
      </c>
      <c r="P3291" s="15">
        <v>1</v>
      </c>
    </row>
    <row r="3292" spans="1:25" ht="105" x14ac:dyDescent="0.25">
      <c r="A3292" t="s">
        <v>49</v>
      </c>
      <c r="B3292" t="s">
        <v>4701</v>
      </c>
      <c r="I3292" s="1" t="s">
        <v>4734</v>
      </c>
      <c r="S3292" s="15">
        <v>1</v>
      </c>
    </row>
    <row r="3293" spans="1:25" ht="45" x14ac:dyDescent="0.25">
      <c r="A3293" t="s">
        <v>49</v>
      </c>
      <c r="B3293" t="s">
        <v>4701</v>
      </c>
      <c r="I3293" s="1" t="s">
        <v>4735</v>
      </c>
      <c r="N3293" s="15">
        <v>1</v>
      </c>
      <c r="Q3293" s="15">
        <v>1</v>
      </c>
    </row>
    <row r="3294" spans="1:25" ht="30" x14ac:dyDescent="0.25">
      <c r="A3294" t="s">
        <v>26</v>
      </c>
      <c r="B3294" t="s">
        <v>4701</v>
      </c>
      <c r="I3294" s="1" t="s">
        <v>4736</v>
      </c>
      <c r="O3294" s="15">
        <v>1</v>
      </c>
      <c r="S3294" s="15">
        <v>1</v>
      </c>
    </row>
    <row r="3295" spans="1:25" ht="45" x14ac:dyDescent="0.25">
      <c r="A3295" t="s">
        <v>49</v>
      </c>
      <c r="B3295" t="s">
        <v>4701</v>
      </c>
      <c r="I3295" s="1" t="s">
        <v>4737</v>
      </c>
    </row>
    <row r="3296" spans="1:25" ht="105" x14ac:dyDescent="0.25">
      <c r="A3296" t="s">
        <v>49</v>
      </c>
      <c r="B3296" t="s">
        <v>4701</v>
      </c>
      <c r="I3296" s="1" t="s">
        <v>4738</v>
      </c>
      <c r="T3296" s="15">
        <v>1</v>
      </c>
    </row>
    <row r="3297" spans="1:23" ht="30" x14ac:dyDescent="0.25">
      <c r="A3297" t="s">
        <v>49</v>
      </c>
      <c r="B3297" t="s">
        <v>4701</v>
      </c>
      <c r="I3297" s="1" t="s">
        <v>4739</v>
      </c>
      <c r="P3297" s="15">
        <v>1</v>
      </c>
    </row>
    <row r="3298" spans="1:23" ht="105" x14ac:dyDescent="0.25">
      <c r="A3298" t="s">
        <v>26</v>
      </c>
      <c r="B3298" t="s">
        <v>4701</v>
      </c>
      <c r="I3298" s="1" t="s">
        <v>4740</v>
      </c>
      <c r="P3298" s="15">
        <v>1</v>
      </c>
    </row>
    <row r="3299" spans="1:23" x14ac:dyDescent="0.25">
      <c r="A3299" t="s">
        <v>37</v>
      </c>
      <c r="B3299" t="s">
        <v>4701</v>
      </c>
      <c r="I3299" s="1" t="s">
        <v>4741</v>
      </c>
      <c r="T3299" s="15">
        <v>1</v>
      </c>
    </row>
    <row r="3300" spans="1:23" ht="30" x14ac:dyDescent="0.25">
      <c r="A3300" t="s">
        <v>37</v>
      </c>
      <c r="B3300" t="s">
        <v>4701</v>
      </c>
      <c r="I3300" s="1" t="s">
        <v>4742</v>
      </c>
      <c r="S3300" s="15">
        <v>1</v>
      </c>
    </row>
    <row r="3301" spans="1:23" ht="60" x14ac:dyDescent="0.25">
      <c r="A3301" t="s">
        <v>37</v>
      </c>
      <c r="B3301" t="s">
        <v>4701</v>
      </c>
      <c r="I3301" s="1" t="s">
        <v>4743</v>
      </c>
      <c r="O3301" s="15">
        <v>1</v>
      </c>
      <c r="S3301" s="15">
        <v>1</v>
      </c>
    </row>
    <row r="3302" spans="1:23" ht="30" x14ac:dyDescent="0.25">
      <c r="A3302" t="s">
        <v>26</v>
      </c>
      <c r="B3302" t="s">
        <v>4701</v>
      </c>
      <c r="I3302" s="1" t="s">
        <v>4744</v>
      </c>
      <c r="T3302" s="15">
        <v>1</v>
      </c>
    </row>
    <row r="3303" spans="1:23" ht="45" x14ac:dyDescent="0.25">
      <c r="A3303" t="s">
        <v>26</v>
      </c>
      <c r="B3303" t="s">
        <v>4701</v>
      </c>
      <c r="I3303" s="1" t="s">
        <v>4745</v>
      </c>
      <c r="S3303" s="15">
        <v>1</v>
      </c>
    </row>
    <row r="3304" spans="1:23" ht="30" x14ac:dyDescent="0.25">
      <c r="A3304" t="s">
        <v>26</v>
      </c>
      <c r="B3304" t="s">
        <v>4701</v>
      </c>
      <c r="I3304" s="1" t="s">
        <v>4746</v>
      </c>
      <c r="Q3304" s="15">
        <v>1</v>
      </c>
      <c r="V3304" s="15">
        <v>1</v>
      </c>
    </row>
    <row r="3305" spans="1:23" x14ac:dyDescent="0.25">
      <c r="A3305" t="s">
        <v>26</v>
      </c>
      <c r="B3305" t="s">
        <v>4701</v>
      </c>
      <c r="I3305" s="1" t="s">
        <v>4747</v>
      </c>
      <c r="O3305" s="15">
        <v>1</v>
      </c>
      <c r="S3305" s="15">
        <v>1</v>
      </c>
    </row>
    <row r="3306" spans="1:23" ht="60" x14ac:dyDescent="0.25">
      <c r="A3306" t="s">
        <v>26</v>
      </c>
      <c r="B3306" t="s">
        <v>4701</v>
      </c>
      <c r="I3306" s="1" t="s">
        <v>4748</v>
      </c>
      <c r="S3306" s="15">
        <v>1</v>
      </c>
    </row>
    <row r="3307" spans="1:23" ht="105" x14ac:dyDescent="0.25">
      <c r="A3307" t="s">
        <v>49</v>
      </c>
      <c r="B3307" t="s">
        <v>4701</v>
      </c>
      <c r="I3307" s="1" t="s">
        <v>4749</v>
      </c>
      <c r="O3307" s="15">
        <v>1</v>
      </c>
      <c r="W3307" s="15">
        <v>1</v>
      </c>
    </row>
    <row r="3308" spans="1:23" ht="105" x14ac:dyDescent="0.25">
      <c r="A3308" t="s">
        <v>59</v>
      </c>
      <c r="B3308" t="s">
        <v>4701</v>
      </c>
      <c r="I3308" s="1" t="s">
        <v>4750</v>
      </c>
      <c r="S3308" s="15">
        <v>1</v>
      </c>
    </row>
    <row r="3309" spans="1:23" ht="30" x14ac:dyDescent="0.25">
      <c r="A3309" t="s">
        <v>37</v>
      </c>
      <c r="B3309" t="s">
        <v>4701</v>
      </c>
      <c r="I3309" s="1" t="s">
        <v>4751</v>
      </c>
      <c r="Q3309" s="15">
        <v>1</v>
      </c>
      <c r="V3309" s="15">
        <v>1</v>
      </c>
    </row>
    <row r="3310" spans="1:23" ht="45" x14ac:dyDescent="0.25">
      <c r="A3310" t="s">
        <v>37</v>
      </c>
      <c r="B3310" t="s">
        <v>4701</v>
      </c>
      <c r="I3310" s="1" t="s">
        <v>4752</v>
      </c>
      <c r="R3310" s="15">
        <v>1</v>
      </c>
    </row>
    <row r="3311" spans="1:23" ht="105" x14ac:dyDescent="0.25">
      <c r="A3311" t="s">
        <v>37</v>
      </c>
      <c r="B3311" t="s">
        <v>4701</v>
      </c>
      <c r="I3311" s="1" t="s">
        <v>4753</v>
      </c>
      <c r="P3311" s="15">
        <v>1</v>
      </c>
      <c r="T3311" s="15">
        <v>1</v>
      </c>
    </row>
    <row r="3312" spans="1:23" ht="30" x14ac:dyDescent="0.25">
      <c r="A3312" t="s">
        <v>26</v>
      </c>
      <c r="B3312" t="s">
        <v>4754</v>
      </c>
      <c r="I3312" s="1" t="s">
        <v>4755</v>
      </c>
      <c r="R3312" s="15">
        <v>1</v>
      </c>
    </row>
    <row r="3313" spans="1:25" ht="30" x14ac:dyDescent="0.25">
      <c r="A3313" t="s">
        <v>26</v>
      </c>
      <c r="B3313" t="s">
        <v>4754</v>
      </c>
      <c r="I3313" s="1" t="s">
        <v>4756</v>
      </c>
      <c r="O3313" s="15">
        <v>1</v>
      </c>
    </row>
    <row r="3314" spans="1:25" ht="105" x14ac:dyDescent="0.25">
      <c r="A3314" t="s">
        <v>26</v>
      </c>
      <c r="B3314" t="s">
        <v>4754</v>
      </c>
      <c r="I3314" s="1" t="s">
        <v>4757</v>
      </c>
      <c r="Q3314" s="15">
        <v>1</v>
      </c>
      <c r="V3314" s="15">
        <v>1</v>
      </c>
    </row>
    <row r="3315" spans="1:25" ht="30" x14ac:dyDescent="0.25">
      <c r="A3315" t="s">
        <v>26</v>
      </c>
      <c r="B3315" t="s">
        <v>4754</v>
      </c>
      <c r="I3315" s="1" t="s">
        <v>4758</v>
      </c>
      <c r="Q3315" s="15">
        <v>1</v>
      </c>
      <c r="V3315" s="15">
        <v>1</v>
      </c>
    </row>
    <row r="3316" spans="1:25" ht="60" x14ac:dyDescent="0.25">
      <c r="A3316" t="s">
        <v>26</v>
      </c>
      <c r="B3316" t="s">
        <v>4754</v>
      </c>
      <c r="I3316" s="1" t="s">
        <v>4759</v>
      </c>
      <c r="S3316" s="15">
        <v>1</v>
      </c>
    </row>
    <row r="3317" spans="1:25" ht="45" x14ac:dyDescent="0.25">
      <c r="A3317" t="s">
        <v>26</v>
      </c>
      <c r="B3317" t="s">
        <v>4754</v>
      </c>
      <c r="I3317" s="1" t="s">
        <v>4760</v>
      </c>
      <c r="N3317" s="15">
        <v>1</v>
      </c>
      <c r="V3317" s="15">
        <v>1</v>
      </c>
    </row>
    <row r="3318" spans="1:25" ht="30" x14ac:dyDescent="0.25">
      <c r="A3318" t="s">
        <v>26</v>
      </c>
      <c r="B3318" t="s">
        <v>4754</v>
      </c>
      <c r="I3318" s="1" t="s">
        <v>4761</v>
      </c>
      <c r="R3318" s="15">
        <v>1</v>
      </c>
      <c r="V3318" s="15">
        <v>1</v>
      </c>
    </row>
    <row r="3319" spans="1:25" ht="45" x14ac:dyDescent="0.25">
      <c r="A3319" t="s">
        <v>26</v>
      </c>
      <c r="B3319" t="s">
        <v>4754</v>
      </c>
      <c r="I3319" s="1" t="s">
        <v>4762</v>
      </c>
    </row>
    <row r="3320" spans="1:25" ht="90" x14ac:dyDescent="0.25">
      <c r="A3320" t="s">
        <v>26</v>
      </c>
      <c r="B3320" t="s">
        <v>4754</v>
      </c>
      <c r="I3320" s="1" t="s">
        <v>4763</v>
      </c>
      <c r="Y3320">
        <v>1</v>
      </c>
    </row>
    <row r="3321" spans="1:25" ht="120" x14ac:dyDescent="0.25">
      <c r="A3321" t="s">
        <v>26</v>
      </c>
      <c r="B3321" t="s">
        <v>4754</v>
      </c>
      <c r="I3321" s="1" t="s">
        <v>4764</v>
      </c>
      <c r="Q3321" s="15">
        <v>1</v>
      </c>
      <c r="V3321" s="15">
        <v>1</v>
      </c>
    </row>
    <row r="3322" spans="1:25" ht="30" x14ac:dyDescent="0.25">
      <c r="A3322" t="s">
        <v>26</v>
      </c>
      <c r="B3322" t="s">
        <v>4754</v>
      </c>
      <c r="I3322" s="1" t="s">
        <v>4765</v>
      </c>
      <c r="S3322" s="15">
        <v>1</v>
      </c>
    </row>
    <row r="3323" spans="1:25" ht="45" x14ac:dyDescent="0.25">
      <c r="A3323" t="s">
        <v>26</v>
      </c>
      <c r="B3323" t="s">
        <v>4754</v>
      </c>
      <c r="I3323" s="1" t="s">
        <v>4766</v>
      </c>
      <c r="Y3323">
        <v>1</v>
      </c>
    </row>
    <row r="3324" spans="1:25" ht="45" x14ac:dyDescent="0.25">
      <c r="A3324" t="s">
        <v>26</v>
      </c>
      <c r="B3324" t="s">
        <v>4754</v>
      </c>
      <c r="I3324" s="1" t="s">
        <v>4767</v>
      </c>
      <c r="T3324" s="15">
        <v>1</v>
      </c>
    </row>
    <row r="3325" spans="1:25" ht="45" x14ac:dyDescent="0.25">
      <c r="A3325" t="s">
        <v>26</v>
      </c>
      <c r="B3325" t="s">
        <v>4754</v>
      </c>
      <c r="I3325" s="1" t="s">
        <v>4768</v>
      </c>
      <c r="T3325" s="15">
        <v>1</v>
      </c>
    </row>
    <row r="3326" spans="1:25" ht="120" x14ac:dyDescent="0.25">
      <c r="A3326" t="s">
        <v>26</v>
      </c>
      <c r="B3326" t="s">
        <v>4754</v>
      </c>
      <c r="I3326" s="1" t="s">
        <v>4769</v>
      </c>
      <c r="V3326" s="15">
        <v>1</v>
      </c>
    </row>
    <row r="3327" spans="1:25" ht="45" x14ac:dyDescent="0.25">
      <c r="A3327" t="s">
        <v>49</v>
      </c>
      <c r="B3327" t="s">
        <v>4754</v>
      </c>
      <c r="I3327" s="1" t="s">
        <v>4770</v>
      </c>
      <c r="S3327" s="15">
        <v>1</v>
      </c>
    </row>
    <row r="3328" spans="1:25" ht="105" x14ac:dyDescent="0.25">
      <c r="A3328" t="s">
        <v>49</v>
      </c>
      <c r="B3328" t="s">
        <v>4754</v>
      </c>
      <c r="I3328" s="1" t="s">
        <v>4771</v>
      </c>
      <c r="T3328" s="15">
        <v>1</v>
      </c>
      <c r="Y3328">
        <v>1</v>
      </c>
    </row>
    <row r="3329" spans="1:25" ht="105" x14ac:dyDescent="0.25">
      <c r="A3329" t="s">
        <v>26</v>
      </c>
      <c r="B3329" t="s">
        <v>4754</v>
      </c>
      <c r="I3329" s="1" t="s">
        <v>4772</v>
      </c>
      <c r="Y3329">
        <v>1</v>
      </c>
    </row>
    <row r="3330" spans="1:25" ht="45" x14ac:dyDescent="0.25">
      <c r="A3330" t="s">
        <v>26</v>
      </c>
      <c r="B3330" t="s">
        <v>4754</v>
      </c>
      <c r="I3330" s="1" t="s">
        <v>4773</v>
      </c>
      <c r="N3330" s="15">
        <v>1</v>
      </c>
    </row>
    <row r="3331" spans="1:25" ht="105" x14ac:dyDescent="0.25">
      <c r="A3331" t="s">
        <v>91</v>
      </c>
      <c r="B3331" t="s">
        <v>4754</v>
      </c>
      <c r="I3331" s="1" t="s">
        <v>4774</v>
      </c>
      <c r="S3331" s="15">
        <v>1</v>
      </c>
      <c r="W3331" s="15">
        <v>1</v>
      </c>
    </row>
    <row r="3332" spans="1:25" ht="45" x14ac:dyDescent="0.25">
      <c r="A3332" t="s">
        <v>49</v>
      </c>
      <c r="B3332" t="s">
        <v>4754</v>
      </c>
      <c r="I3332" s="1" t="s">
        <v>4775</v>
      </c>
      <c r="S3332" s="15">
        <v>1</v>
      </c>
    </row>
    <row r="3333" spans="1:25" ht="75" x14ac:dyDescent="0.25">
      <c r="A3333" t="s">
        <v>26</v>
      </c>
      <c r="B3333" t="s">
        <v>4754</v>
      </c>
      <c r="I3333" s="1" t="s">
        <v>4776</v>
      </c>
      <c r="O3333" s="15">
        <v>1</v>
      </c>
    </row>
    <row r="3334" spans="1:25" ht="105" x14ac:dyDescent="0.25">
      <c r="A3334" t="s">
        <v>26</v>
      </c>
      <c r="B3334" t="s">
        <v>4754</v>
      </c>
      <c r="I3334" s="1" t="s">
        <v>4777</v>
      </c>
      <c r="Q3334" s="15">
        <v>1</v>
      </c>
      <c r="V3334" s="15">
        <v>1</v>
      </c>
    </row>
    <row r="3335" spans="1:25" ht="105" x14ac:dyDescent="0.25">
      <c r="A3335" t="s">
        <v>91</v>
      </c>
      <c r="B3335" t="s">
        <v>4754</v>
      </c>
      <c r="I3335" s="1" t="s">
        <v>4778</v>
      </c>
      <c r="W3335" s="15">
        <v>1</v>
      </c>
    </row>
    <row r="3336" spans="1:25" ht="60" x14ac:dyDescent="0.25">
      <c r="A3336" t="s">
        <v>91</v>
      </c>
      <c r="B3336" t="s">
        <v>4754</v>
      </c>
      <c r="I3336" s="1" t="s">
        <v>4779</v>
      </c>
      <c r="S3336" s="15">
        <v>1</v>
      </c>
      <c r="X3336" s="15">
        <v>1</v>
      </c>
    </row>
    <row r="3337" spans="1:25" ht="45" x14ac:dyDescent="0.25">
      <c r="A3337" t="s">
        <v>49</v>
      </c>
      <c r="B3337" t="s">
        <v>4754</v>
      </c>
      <c r="I3337" s="1" t="s">
        <v>4780</v>
      </c>
      <c r="M3337" s="15">
        <v>1</v>
      </c>
    </row>
    <row r="3338" spans="1:25" ht="105" x14ac:dyDescent="0.25">
      <c r="A3338" t="s">
        <v>26</v>
      </c>
      <c r="B3338" t="s">
        <v>4754</v>
      </c>
      <c r="I3338" s="1" t="s">
        <v>4781</v>
      </c>
      <c r="O3338" s="15">
        <v>1</v>
      </c>
      <c r="S3338" s="15">
        <v>1</v>
      </c>
      <c r="X3338" s="15">
        <v>1</v>
      </c>
    </row>
    <row r="3339" spans="1:25" ht="105" x14ac:dyDescent="0.25">
      <c r="A3339" t="s">
        <v>91</v>
      </c>
      <c r="B3339" t="s">
        <v>4754</v>
      </c>
      <c r="I3339" s="1" t="s">
        <v>4782</v>
      </c>
      <c r="Q3339" s="15">
        <v>1</v>
      </c>
      <c r="Y3339">
        <v>1</v>
      </c>
    </row>
    <row r="3340" spans="1:25" ht="120" x14ac:dyDescent="0.25">
      <c r="A3340" t="s">
        <v>59</v>
      </c>
      <c r="B3340" t="s">
        <v>4754</v>
      </c>
      <c r="I3340" s="1" t="s">
        <v>4783</v>
      </c>
      <c r="W3340" s="15">
        <v>1</v>
      </c>
    </row>
    <row r="3341" spans="1:25" ht="60" x14ac:dyDescent="0.25">
      <c r="A3341" t="s">
        <v>49</v>
      </c>
      <c r="B3341" t="s">
        <v>4754</v>
      </c>
      <c r="I3341" s="1" t="s">
        <v>4784</v>
      </c>
      <c r="S3341" s="15">
        <v>1</v>
      </c>
    </row>
    <row r="3342" spans="1:25" ht="75" x14ac:dyDescent="0.25">
      <c r="A3342" t="s">
        <v>49</v>
      </c>
      <c r="B3342" t="s">
        <v>4754</v>
      </c>
      <c r="I3342" s="1" t="s">
        <v>4785</v>
      </c>
      <c r="S3342" s="15">
        <v>1</v>
      </c>
    </row>
    <row r="3343" spans="1:25" ht="75" x14ac:dyDescent="0.25">
      <c r="A3343" t="s">
        <v>91</v>
      </c>
      <c r="B3343" t="s">
        <v>4754</v>
      </c>
      <c r="I3343" s="1" t="s">
        <v>4786</v>
      </c>
      <c r="O3343" s="15">
        <v>1</v>
      </c>
    </row>
    <row r="3344" spans="1:25" ht="60" x14ac:dyDescent="0.25">
      <c r="A3344" t="s">
        <v>37</v>
      </c>
      <c r="B3344" t="s">
        <v>4754</v>
      </c>
      <c r="I3344" s="1" t="s">
        <v>4787</v>
      </c>
      <c r="N3344" s="15">
        <v>1</v>
      </c>
      <c r="T3344" s="15">
        <v>1</v>
      </c>
    </row>
    <row r="3345" spans="1:25" ht="45" x14ac:dyDescent="0.25">
      <c r="A3345" t="s">
        <v>49</v>
      </c>
      <c r="B3345" t="s">
        <v>4754</v>
      </c>
      <c r="I3345" s="1" t="s">
        <v>4788</v>
      </c>
      <c r="T3345" s="15">
        <v>1</v>
      </c>
    </row>
    <row r="3346" spans="1:25" ht="105" x14ac:dyDescent="0.25">
      <c r="A3346" t="s">
        <v>49</v>
      </c>
      <c r="B3346" t="s">
        <v>4754</v>
      </c>
      <c r="I3346" s="1" t="s">
        <v>4789</v>
      </c>
      <c r="S3346" s="15">
        <v>1</v>
      </c>
      <c r="X3346" s="15">
        <v>1</v>
      </c>
    </row>
    <row r="3347" spans="1:25" ht="60" x14ac:dyDescent="0.25">
      <c r="A3347" t="s">
        <v>64</v>
      </c>
      <c r="B3347" t="s">
        <v>4754</v>
      </c>
      <c r="I3347" s="1" t="s">
        <v>4790</v>
      </c>
      <c r="W3347" s="15">
        <v>1</v>
      </c>
    </row>
    <row r="3348" spans="1:25" ht="105" x14ac:dyDescent="0.25">
      <c r="A3348" t="s">
        <v>37</v>
      </c>
      <c r="B3348" t="s">
        <v>4754</v>
      </c>
      <c r="I3348" s="1" t="s">
        <v>4791</v>
      </c>
      <c r="T3348" s="15">
        <v>1</v>
      </c>
      <c r="Y3348">
        <v>1</v>
      </c>
    </row>
    <row r="3349" spans="1:25" ht="105" x14ac:dyDescent="0.25">
      <c r="A3349" t="s">
        <v>37</v>
      </c>
      <c r="B3349" t="s">
        <v>4754</v>
      </c>
      <c r="I3349" s="1" t="s">
        <v>4792</v>
      </c>
      <c r="O3349" s="15">
        <v>1</v>
      </c>
      <c r="S3349" s="15">
        <v>1</v>
      </c>
    </row>
    <row r="3350" spans="1:25" x14ac:dyDescent="0.25">
      <c r="A3350" t="s">
        <v>49</v>
      </c>
      <c r="B3350" t="s">
        <v>4754</v>
      </c>
      <c r="I3350" s="1" t="s">
        <v>4793</v>
      </c>
      <c r="S3350" s="15">
        <v>1</v>
      </c>
    </row>
    <row r="3351" spans="1:25" ht="90" x14ac:dyDescent="0.25">
      <c r="A3351" t="s">
        <v>64</v>
      </c>
      <c r="B3351" t="s">
        <v>4754</v>
      </c>
      <c r="I3351" s="1" t="s">
        <v>4794</v>
      </c>
      <c r="O3351" s="15">
        <v>1</v>
      </c>
      <c r="Q3351" s="15">
        <v>1</v>
      </c>
      <c r="Y3351">
        <v>1</v>
      </c>
    </row>
    <row r="3352" spans="1:25" ht="90" x14ac:dyDescent="0.25">
      <c r="A3352" t="s">
        <v>49</v>
      </c>
      <c r="B3352" t="s">
        <v>4754</v>
      </c>
      <c r="I3352" s="1" t="s">
        <v>4795</v>
      </c>
      <c r="O3352" s="15">
        <v>1</v>
      </c>
      <c r="X3352" s="15">
        <v>1</v>
      </c>
    </row>
    <row r="3353" spans="1:25" ht="60" x14ac:dyDescent="0.25">
      <c r="A3353" t="s">
        <v>91</v>
      </c>
      <c r="B3353" t="s">
        <v>4754</v>
      </c>
      <c r="I3353" s="1" t="s">
        <v>4796</v>
      </c>
      <c r="Q3353" s="15">
        <v>1</v>
      </c>
      <c r="S3353" s="15">
        <v>1</v>
      </c>
    </row>
    <row r="3354" spans="1:25" ht="45" x14ac:dyDescent="0.25">
      <c r="A3354" t="s">
        <v>37</v>
      </c>
      <c r="B3354" t="s">
        <v>4754</v>
      </c>
      <c r="I3354" s="1" t="s">
        <v>4797</v>
      </c>
      <c r="O3354" s="15">
        <v>1</v>
      </c>
    </row>
    <row r="3355" spans="1:25" ht="30" x14ac:dyDescent="0.25">
      <c r="A3355" t="s">
        <v>26</v>
      </c>
      <c r="B3355" t="s">
        <v>4798</v>
      </c>
      <c r="I3355" s="1" t="s">
        <v>4799</v>
      </c>
      <c r="T3355" s="15">
        <v>1</v>
      </c>
    </row>
    <row r="3356" spans="1:25" ht="45" x14ac:dyDescent="0.25">
      <c r="A3356" t="s">
        <v>26</v>
      </c>
      <c r="B3356" t="s">
        <v>4798</v>
      </c>
      <c r="I3356" s="1" t="s">
        <v>4800</v>
      </c>
      <c r="N3356" s="15">
        <v>1</v>
      </c>
    </row>
    <row r="3357" spans="1:25" ht="30" x14ac:dyDescent="0.25">
      <c r="A3357" t="s">
        <v>26</v>
      </c>
      <c r="B3357" t="s">
        <v>4798</v>
      </c>
      <c r="I3357" s="1" t="s">
        <v>4801</v>
      </c>
      <c r="Y3357">
        <v>1</v>
      </c>
    </row>
    <row r="3358" spans="1:25" ht="30" x14ac:dyDescent="0.25">
      <c r="A3358" t="s">
        <v>26</v>
      </c>
      <c r="B3358" t="s">
        <v>4798</v>
      </c>
      <c r="I3358" s="1" t="s">
        <v>4802</v>
      </c>
      <c r="S3358" s="15">
        <v>1</v>
      </c>
    </row>
    <row r="3359" spans="1:25" x14ac:dyDescent="0.25">
      <c r="A3359" t="s">
        <v>26</v>
      </c>
      <c r="B3359" t="s">
        <v>4798</v>
      </c>
      <c r="I3359" s="1" t="s">
        <v>4803</v>
      </c>
      <c r="Q3359" s="15">
        <v>1</v>
      </c>
    </row>
    <row r="3360" spans="1:25" ht="30" x14ac:dyDescent="0.25">
      <c r="A3360" t="s">
        <v>26</v>
      </c>
      <c r="B3360" t="s">
        <v>4798</v>
      </c>
      <c r="I3360" s="1" t="s">
        <v>4804</v>
      </c>
      <c r="S3360" s="15">
        <v>1</v>
      </c>
    </row>
    <row r="3361" spans="1:25" ht="90" x14ac:dyDescent="0.25">
      <c r="A3361" t="s">
        <v>26</v>
      </c>
      <c r="B3361" t="s">
        <v>4798</v>
      </c>
      <c r="I3361" s="1" t="s">
        <v>4805</v>
      </c>
      <c r="R3361" s="15">
        <v>1</v>
      </c>
    </row>
    <row r="3362" spans="1:25" ht="105" x14ac:dyDescent="0.25">
      <c r="A3362" t="s">
        <v>26</v>
      </c>
      <c r="B3362" t="s">
        <v>4798</v>
      </c>
      <c r="I3362" s="1" t="s">
        <v>4806</v>
      </c>
      <c r="S3362" s="15">
        <v>1</v>
      </c>
    </row>
    <row r="3363" spans="1:25" ht="120" x14ac:dyDescent="0.25">
      <c r="A3363" t="s">
        <v>59</v>
      </c>
      <c r="B3363" t="s">
        <v>4798</v>
      </c>
      <c r="I3363" s="1" t="s">
        <v>4807</v>
      </c>
      <c r="N3363" s="15">
        <v>1</v>
      </c>
      <c r="Q3363" s="15">
        <v>1</v>
      </c>
    </row>
    <row r="3364" spans="1:25" ht="45" x14ac:dyDescent="0.25">
      <c r="A3364" t="s">
        <v>26</v>
      </c>
      <c r="B3364" t="s">
        <v>4798</v>
      </c>
      <c r="I3364" s="1" t="s">
        <v>4808</v>
      </c>
      <c r="O3364" s="15">
        <v>1</v>
      </c>
    </row>
    <row r="3365" spans="1:25" ht="105" x14ac:dyDescent="0.25">
      <c r="A3365" t="s">
        <v>26</v>
      </c>
      <c r="B3365" t="s">
        <v>4798</v>
      </c>
      <c r="I3365" s="1" t="s">
        <v>4809</v>
      </c>
      <c r="T3365" s="15">
        <v>1</v>
      </c>
    </row>
    <row r="3366" spans="1:25" ht="105" x14ac:dyDescent="0.25">
      <c r="A3366" t="s">
        <v>59</v>
      </c>
      <c r="B3366" t="s">
        <v>4798</v>
      </c>
      <c r="I3366" s="1" t="s">
        <v>4810</v>
      </c>
      <c r="T3366" s="15">
        <v>1</v>
      </c>
    </row>
    <row r="3367" spans="1:25" ht="45" x14ac:dyDescent="0.25">
      <c r="A3367" t="s">
        <v>26</v>
      </c>
      <c r="B3367" t="s">
        <v>4798</v>
      </c>
      <c r="I3367" s="1" t="s">
        <v>4811</v>
      </c>
      <c r="S3367" s="15">
        <v>1</v>
      </c>
    </row>
    <row r="3368" spans="1:25" ht="75" x14ac:dyDescent="0.25">
      <c r="A3368" t="s">
        <v>37</v>
      </c>
      <c r="B3368" t="s">
        <v>4798</v>
      </c>
      <c r="I3368" s="1" t="s">
        <v>4812</v>
      </c>
      <c r="W3368" s="15">
        <v>1</v>
      </c>
    </row>
    <row r="3369" spans="1:25" ht="90" x14ac:dyDescent="0.25">
      <c r="A3369" t="s">
        <v>49</v>
      </c>
      <c r="B3369" t="s">
        <v>4798</v>
      </c>
      <c r="I3369" s="1" t="s">
        <v>4813</v>
      </c>
      <c r="P3369" s="15">
        <v>1</v>
      </c>
    </row>
    <row r="3370" spans="1:25" ht="30" x14ac:dyDescent="0.25">
      <c r="A3370" t="s">
        <v>37</v>
      </c>
      <c r="B3370" t="s">
        <v>4798</v>
      </c>
      <c r="I3370" s="1" t="s">
        <v>4814</v>
      </c>
      <c r="S3370" s="15">
        <v>1</v>
      </c>
    </row>
    <row r="3371" spans="1:25" ht="90" x14ac:dyDescent="0.25">
      <c r="A3371" t="s">
        <v>26</v>
      </c>
      <c r="B3371" t="s">
        <v>4815</v>
      </c>
      <c r="I3371" s="1" t="s">
        <v>4816</v>
      </c>
      <c r="W3371" s="15">
        <v>1</v>
      </c>
    </row>
    <row r="3372" spans="1:25" ht="45" x14ac:dyDescent="0.25">
      <c r="A3372" t="s">
        <v>26</v>
      </c>
      <c r="B3372" t="s">
        <v>4815</v>
      </c>
      <c r="I3372" s="1" t="s">
        <v>4817</v>
      </c>
      <c r="P3372" s="15">
        <v>1</v>
      </c>
    </row>
    <row r="3373" spans="1:25" ht="105" x14ac:dyDescent="0.25">
      <c r="A3373" t="s">
        <v>26</v>
      </c>
      <c r="B3373" t="s">
        <v>4815</v>
      </c>
      <c r="I3373" s="1" t="s">
        <v>4818</v>
      </c>
      <c r="N3373" s="15">
        <v>1</v>
      </c>
      <c r="Q3373" s="15">
        <v>1</v>
      </c>
      <c r="V3373" s="15">
        <v>1</v>
      </c>
    </row>
    <row r="3374" spans="1:25" ht="120" x14ac:dyDescent="0.25">
      <c r="A3374" t="s">
        <v>26</v>
      </c>
      <c r="B3374" t="s">
        <v>4815</v>
      </c>
      <c r="I3374" s="1" t="s">
        <v>4819</v>
      </c>
      <c r="N3374" s="15">
        <v>1</v>
      </c>
    </row>
    <row r="3375" spans="1:25" ht="105" x14ac:dyDescent="0.25">
      <c r="A3375" t="s">
        <v>26</v>
      </c>
      <c r="B3375" t="s">
        <v>4815</v>
      </c>
      <c r="I3375" s="1" t="s">
        <v>4820</v>
      </c>
      <c r="P3375" s="15">
        <v>1</v>
      </c>
      <c r="Y3375">
        <v>1</v>
      </c>
    </row>
    <row r="3376" spans="1:25" ht="75" x14ac:dyDescent="0.25">
      <c r="A3376" t="s">
        <v>26</v>
      </c>
      <c r="B3376" t="s">
        <v>4815</v>
      </c>
      <c r="I3376" s="1" t="s">
        <v>4821</v>
      </c>
      <c r="S3376" s="15">
        <v>1</v>
      </c>
    </row>
    <row r="3377" spans="1:25" ht="60" x14ac:dyDescent="0.25">
      <c r="A3377" t="s">
        <v>26</v>
      </c>
      <c r="B3377" t="s">
        <v>4815</v>
      </c>
      <c r="I3377" s="1" t="s">
        <v>4822</v>
      </c>
      <c r="S3377" s="15">
        <v>1</v>
      </c>
    </row>
    <row r="3378" spans="1:25" ht="75" x14ac:dyDescent="0.25">
      <c r="A3378" t="s">
        <v>26</v>
      </c>
      <c r="B3378" t="s">
        <v>4815</v>
      </c>
      <c r="I3378" s="1" t="s">
        <v>4823</v>
      </c>
      <c r="N3378" s="15">
        <v>1</v>
      </c>
      <c r="Q3378" s="15">
        <v>1</v>
      </c>
    </row>
    <row r="3379" spans="1:25" ht="105" x14ac:dyDescent="0.25">
      <c r="A3379" t="s">
        <v>49</v>
      </c>
      <c r="B3379" t="s">
        <v>4815</v>
      </c>
      <c r="I3379" s="1" t="s">
        <v>4824</v>
      </c>
      <c r="W3379" s="15">
        <v>1</v>
      </c>
    </row>
    <row r="3380" spans="1:25" ht="105" x14ac:dyDescent="0.25">
      <c r="A3380" t="s">
        <v>26</v>
      </c>
      <c r="B3380" t="s">
        <v>4815</v>
      </c>
      <c r="I3380" s="1" t="s">
        <v>4825</v>
      </c>
      <c r="Y3380">
        <v>1</v>
      </c>
    </row>
    <row r="3381" spans="1:25" ht="30" x14ac:dyDescent="0.25">
      <c r="A3381" t="s">
        <v>26</v>
      </c>
      <c r="B3381" t="s">
        <v>4815</v>
      </c>
      <c r="I3381" s="1" t="s">
        <v>4826</v>
      </c>
      <c r="R3381" s="15">
        <v>1</v>
      </c>
      <c r="T3381" s="15">
        <v>1</v>
      </c>
    </row>
    <row r="3382" spans="1:25" ht="105" x14ac:dyDescent="0.25">
      <c r="A3382" t="s">
        <v>26</v>
      </c>
      <c r="B3382" t="s">
        <v>4815</v>
      </c>
      <c r="I3382" s="1" t="s">
        <v>4827</v>
      </c>
      <c r="S3382" s="15">
        <v>1</v>
      </c>
    </row>
    <row r="3383" spans="1:25" ht="90" x14ac:dyDescent="0.25">
      <c r="A3383" t="s">
        <v>49</v>
      </c>
      <c r="B3383" t="s">
        <v>4815</v>
      </c>
      <c r="I3383" s="1" t="s">
        <v>4828</v>
      </c>
      <c r="Y3383">
        <v>1</v>
      </c>
    </row>
    <row r="3384" spans="1:25" ht="120" x14ac:dyDescent="0.25">
      <c r="A3384" t="s">
        <v>26</v>
      </c>
      <c r="B3384" t="s">
        <v>4815</v>
      </c>
      <c r="I3384" s="1" t="s">
        <v>4829</v>
      </c>
      <c r="N3384" s="15">
        <v>1</v>
      </c>
      <c r="S3384" s="15">
        <v>1</v>
      </c>
    </row>
    <row r="3385" spans="1:25" ht="30" x14ac:dyDescent="0.25">
      <c r="A3385" t="s">
        <v>26</v>
      </c>
      <c r="B3385" t="s">
        <v>4815</v>
      </c>
      <c r="I3385" s="1" t="s">
        <v>4830</v>
      </c>
      <c r="O3385" s="15">
        <v>1</v>
      </c>
      <c r="S3385" s="15">
        <v>1</v>
      </c>
    </row>
    <row r="3386" spans="1:25" x14ac:dyDescent="0.25">
      <c r="A3386" t="s">
        <v>26</v>
      </c>
      <c r="B3386" t="s">
        <v>4815</v>
      </c>
      <c r="I3386" s="1" t="s">
        <v>4831</v>
      </c>
      <c r="Q3386" s="15">
        <v>1</v>
      </c>
    </row>
    <row r="3387" spans="1:25" ht="45" x14ac:dyDescent="0.25">
      <c r="A3387" t="s">
        <v>49</v>
      </c>
      <c r="B3387" t="s">
        <v>4815</v>
      </c>
      <c r="I3387" s="1" t="s">
        <v>4832</v>
      </c>
      <c r="Q3387" s="15">
        <v>1</v>
      </c>
    </row>
    <row r="3388" spans="1:25" ht="90" x14ac:dyDescent="0.25">
      <c r="A3388" t="s">
        <v>26</v>
      </c>
      <c r="B3388" t="s">
        <v>4815</v>
      </c>
      <c r="I3388" s="1" t="s">
        <v>4833</v>
      </c>
      <c r="T3388" s="15">
        <v>1</v>
      </c>
    </row>
    <row r="3389" spans="1:25" ht="45" x14ac:dyDescent="0.25">
      <c r="A3389" t="s">
        <v>49</v>
      </c>
      <c r="B3389" t="s">
        <v>4815</v>
      </c>
      <c r="I3389" s="1" t="s">
        <v>4834</v>
      </c>
      <c r="V3389" s="15">
        <v>1</v>
      </c>
    </row>
    <row r="3390" spans="1:25" ht="90" x14ac:dyDescent="0.25">
      <c r="A3390" t="s">
        <v>49</v>
      </c>
      <c r="B3390" t="s">
        <v>4815</v>
      </c>
      <c r="I3390" s="1" t="s">
        <v>4835</v>
      </c>
      <c r="O3390" s="15">
        <v>1</v>
      </c>
      <c r="Y3390">
        <v>1</v>
      </c>
    </row>
    <row r="3391" spans="1:25" ht="105" x14ac:dyDescent="0.25">
      <c r="A3391" t="s">
        <v>49</v>
      </c>
      <c r="B3391" t="s">
        <v>4815</v>
      </c>
      <c r="I3391" s="1" t="s">
        <v>4836</v>
      </c>
      <c r="P3391" s="15">
        <v>1</v>
      </c>
      <c r="X3391" s="15">
        <v>1</v>
      </c>
    </row>
    <row r="3392" spans="1:25" ht="90" x14ac:dyDescent="0.25">
      <c r="A3392" t="s">
        <v>26</v>
      </c>
      <c r="B3392" t="s">
        <v>4815</v>
      </c>
      <c r="I3392" s="1" t="s">
        <v>4837</v>
      </c>
      <c r="P3392" s="15">
        <v>1</v>
      </c>
    </row>
    <row r="3393" spans="1:25" ht="90" x14ac:dyDescent="0.25">
      <c r="A3393" t="s">
        <v>49</v>
      </c>
      <c r="B3393" t="s">
        <v>4815</v>
      </c>
      <c r="I3393" s="1" t="s">
        <v>4838</v>
      </c>
      <c r="S3393" s="15">
        <v>1</v>
      </c>
      <c r="W3393" s="15">
        <v>1</v>
      </c>
      <c r="Y3393">
        <v>1</v>
      </c>
    </row>
    <row r="3394" spans="1:25" ht="60" x14ac:dyDescent="0.25">
      <c r="A3394" t="s">
        <v>37</v>
      </c>
      <c r="B3394" t="s">
        <v>4815</v>
      </c>
      <c r="I3394" s="1" t="s">
        <v>4839</v>
      </c>
      <c r="S3394" s="15">
        <v>1</v>
      </c>
    </row>
    <row r="3395" spans="1:25" ht="60" x14ac:dyDescent="0.25">
      <c r="A3395" t="s">
        <v>49</v>
      </c>
      <c r="B3395" t="s">
        <v>4815</v>
      </c>
      <c r="I3395" s="1" t="s">
        <v>4840</v>
      </c>
      <c r="S3395" s="15">
        <v>1</v>
      </c>
    </row>
    <row r="3396" spans="1:25" ht="105" x14ac:dyDescent="0.25">
      <c r="A3396" t="s">
        <v>49</v>
      </c>
      <c r="B3396" t="s">
        <v>4815</v>
      </c>
      <c r="I3396" s="1" t="s">
        <v>4841</v>
      </c>
      <c r="S3396" s="15">
        <v>1</v>
      </c>
    </row>
    <row r="3397" spans="1:25" ht="105" x14ac:dyDescent="0.25">
      <c r="A3397" t="s">
        <v>49</v>
      </c>
      <c r="B3397" t="s">
        <v>4815</v>
      </c>
      <c r="I3397" s="1" t="s">
        <v>4842</v>
      </c>
      <c r="W3397" s="15">
        <v>1</v>
      </c>
    </row>
    <row r="3398" spans="1:25" ht="45" x14ac:dyDescent="0.25">
      <c r="A3398" t="s">
        <v>91</v>
      </c>
      <c r="B3398" t="s">
        <v>4815</v>
      </c>
      <c r="I3398" s="1" t="s">
        <v>4843</v>
      </c>
      <c r="P3398" s="15">
        <v>1</v>
      </c>
      <c r="Q3398" s="15">
        <v>1</v>
      </c>
      <c r="V3398" s="15">
        <v>1</v>
      </c>
    </row>
    <row r="3399" spans="1:25" ht="120" x14ac:dyDescent="0.25">
      <c r="A3399" t="s">
        <v>37</v>
      </c>
      <c r="B3399" t="s">
        <v>4815</v>
      </c>
      <c r="I3399" s="1" t="s">
        <v>4844</v>
      </c>
      <c r="W3399" s="15">
        <v>1</v>
      </c>
    </row>
    <row r="3400" spans="1:25" ht="105" x14ac:dyDescent="0.25">
      <c r="A3400" t="s">
        <v>59</v>
      </c>
      <c r="B3400" t="s">
        <v>4815</v>
      </c>
      <c r="I3400" s="1" t="s">
        <v>4845</v>
      </c>
      <c r="T3400" s="15">
        <v>1</v>
      </c>
    </row>
    <row r="3401" spans="1:25" ht="45" x14ac:dyDescent="0.25">
      <c r="A3401" t="s">
        <v>37</v>
      </c>
      <c r="B3401" t="s">
        <v>4815</v>
      </c>
      <c r="I3401" s="1" t="s">
        <v>4846</v>
      </c>
      <c r="S3401" s="15">
        <v>1</v>
      </c>
    </row>
    <row r="3402" spans="1:25" ht="30" x14ac:dyDescent="0.25">
      <c r="A3402" t="s">
        <v>37</v>
      </c>
      <c r="B3402" t="s">
        <v>4815</v>
      </c>
      <c r="I3402" s="1" t="s">
        <v>4847</v>
      </c>
      <c r="S3402" s="15">
        <v>1</v>
      </c>
    </row>
    <row r="3403" spans="1:25" ht="75" x14ac:dyDescent="0.25">
      <c r="A3403" t="s">
        <v>37</v>
      </c>
      <c r="B3403" t="s">
        <v>4815</v>
      </c>
      <c r="I3403" s="1" t="s">
        <v>4848</v>
      </c>
      <c r="Y3403">
        <v>1</v>
      </c>
    </row>
    <row r="3404" spans="1:25" ht="30" x14ac:dyDescent="0.25">
      <c r="B3404" s="1" t="s">
        <v>3894</v>
      </c>
      <c r="J3404" s="15">
        <v>10</v>
      </c>
      <c r="K3404" s="15">
        <v>42</v>
      </c>
      <c r="L3404" s="15">
        <v>29</v>
      </c>
      <c r="M3404" s="15">
        <f t="shared" ref="M3404:Y3404" si="13">SUM(M3000:M3403)</f>
        <v>2</v>
      </c>
      <c r="N3404" s="15">
        <f t="shared" si="13"/>
        <v>24</v>
      </c>
      <c r="O3404" s="15">
        <f t="shared" si="13"/>
        <v>59</v>
      </c>
      <c r="P3404" s="15">
        <f t="shared" si="13"/>
        <v>41</v>
      </c>
      <c r="Q3404" s="15">
        <f t="shared" si="13"/>
        <v>65</v>
      </c>
      <c r="R3404" s="15">
        <f t="shared" si="13"/>
        <v>22</v>
      </c>
      <c r="S3404" s="15">
        <f t="shared" si="13"/>
        <v>131</v>
      </c>
      <c r="T3404" s="15">
        <f t="shared" si="13"/>
        <v>56</v>
      </c>
      <c r="U3404" s="15">
        <f t="shared" si="13"/>
        <v>0</v>
      </c>
      <c r="V3404" s="15">
        <f t="shared" si="13"/>
        <v>33</v>
      </c>
      <c r="W3404" s="15">
        <f t="shared" si="13"/>
        <v>47</v>
      </c>
      <c r="X3404" s="15">
        <f t="shared" si="13"/>
        <v>19</v>
      </c>
      <c r="Y3404" s="15">
        <f t="shared" si="13"/>
        <v>47</v>
      </c>
    </row>
    <row r="3405" spans="1:25" ht="45" x14ac:dyDescent="0.25">
      <c r="B3405" s="1" t="s">
        <v>3895</v>
      </c>
      <c r="I3405" s="1" t="s">
        <v>4849</v>
      </c>
      <c r="J3405" s="15">
        <v>2.178649237472767E-2</v>
      </c>
      <c r="K3405" s="15">
        <v>9.1503267973856203E-2</v>
      </c>
      <c r="L3405" s="15">
        <v>6.3180827886710242E-2</v>
      </c>
      <c r="M3405" s="15">
        <f>(M3404/404)*100</f>
        <v>0.49504950495049505</v>
      </c>
      <c r="N3405" s="15">
        <f t="shared" ref="N3405:Y3405" si="14">(N3404/404)*100</f>
        <v>5.9405940594059405</v>
      </c>
      <c r="O3405" s="15">
        <f t="shared" si="14"/>
        <v>14.603960396039604</v>
      </c>
      <c r="P3405" s="15">
        <f t="shared" si="14"/>
        <v>10.14851485148515</v>
      </c>
      <c r="Q3405" s="15">
        <f t="shared" si="14"/>
        <v>16.089108910891088</v>
      </c>
      <c r="R3405" s="15">
        <f t="shared" si="14"/>
        <v>5.4455445544554459</v>
      </c>
      <c r="S3405" s="15">
        <f t="shared" si="14"/>
        <v>32.425742574257427</v>
      </c>
      <c r="T3405" s="15">
        <f t="shared" si="14"/>
        <v>13.861386138613863</v>
      </c>
      <c r="U3405" s="15">
        <f t="shared" si="14"/>
        <v>0</v>
      </c>
      <c r="V3405" s="15">
        <f t="shared" si="14"/>
        <v>8.1683168316831694</v>
      </c>
      <c r="W3405" s="15">
        <f t="shared" si="14"/>
        <v>11.633663366336634</v>
      </c>
      <c r="X3405" s="15">
        <f t="shared" si="14"/>
        <v>4.7029702970297027</v>
      </c>
      <c r="Y3405" s="15">
        <f t="shared" si="14"/>
        <v>11.633663366336634</v>
      </c>
    </row>
    <row r="3406" spans="1:25" x14ac:dyDescent="0.25">
      <c r="B3406" s="1"/>
      <c r="I3406" s="1" t="s">
        <v>4850</v>
      </c>
      <c r="J3406" s="15"/>
      <c r="K3406" s="15"/>
      <c r="L3406" s="15"/>
      <c r="M3406" s="15">
        <f>SUM(M3190:M3403)/COUNTA($I$3190:$I$3403)*100</f>
        <v>0.46728971962616817</v>
      </c>
      <c r="N3406" s="15">
        <f t="shared" ref="N3406:Y3406" si="15">SUM(N3190:N3403)/COUNTA($I$3190:$I$3403)*100</f>
        <v>8.4112149532710276</v>
      </c>
      <c r="O3406" s="15">
        <f t="shared" si="15"/>
        <v>11.682242990654206</v>
      </c>
      <c r="P3406" s="15">
        <f t="shared" si="15"/>
        <v>10.747663551401869</v>
      </c>
      <c r="Q3406" s="15">
        <f t="shared" si="15"/>
        <v>18.22429906542056</v>
      </c>
      <c r="R3406" s="15">
        <f t="shared" si="15"/>
        <v>5.1401869158878499</v>
      </c>
      <c r="S3406" s="15">
        <f t="shared" si="15"/>
        <v>31.308411214953267</v>
      </c>
      <c r="T3406" s="15">
        <f t="shared" si="15"/>
        <v>14.018691588785046</v>
      </c>
      <c r="U3406" s="15">
        <f t="shared" si="15"/>
        <v>0</v>
      </c>
      <c r="V3406" s="15">
        <f t="shared" si="15"/>
        <v>11.682242990654206</v>
      </c>
      <c r="W3406" s="15">
        <f t="shared" si="15"/>
        <v>10.747663551401869</v>
      </c>
      <c r="X3406" s="15">
        <f t="shared" si="15"/>
        <v>3.7383177570093453</v>
      </c>
      <c r="Y3406" s="15">
        <f t="shared" si="15"/>
        <v>13.551401869158877</v>
      </c>
    </row>
    <row r="3407" spans="1:25" x14ac:dyDescent="0.25">
      <c r="B3407" s="1"/>
      <c r="I3407" s="1" t="s">
        <v>4851</v>
      </c>
      <c r="J3407" s="15"/>
      <c r="K3407" s="15"/>
      <c r="L3407" s="15"/>
      <c r="M3407" s="15">
        <f>SUM(M3000:M3189)/COUNTA($I$3000:$I$3189)*100</f>
        <v>0.52631578947368418</v>
      </c>
      <c r="N3407" s="15">
        <f t="shared" ref="N3407:Y3407" si="16">SUM(N3000:N3189)/COUNTA($I$3000:$I$3189)*100</f>
        <v>3.1578947368421053</v>
      </c>
      <c r="O3407" s="15">
        <f t="shared" si="16"/>
        <v>17.894736842105264</v>
      </c>
      <c r="P3407" s="15">
        <f t="shared" si="16"/>
        <v>9.4736842105263168</v>
      </c>
      <c r="Q3407" s="15">
        <f t="shared" si="16"/>
        <v>13.684210526315791</v>
      </c>
      <c r="R3407" s="15">
        <f t="shared" si="16"/>
        <v>5.7894736842105265</v>
      </c>
      <c r="S3407" s="15">
        <f t="shared" si="16"/>
        <v>33.684210526315788</v>
      </c>
      <c r="T3407" s="15">
        <f t="shared" si="16"/>
        <v>13.684210526315791</v>
      </c>
      <c r="U3407" s="15">
        <f t="shared" si="16"/>
        <v>0</v>
      </c>
      <c r="V3407" s="15">
        <f t="shared" si="16"/>
        <v>4.2105263157894735</v>
      </c>
      <c r="W3407" s="15">
        <f t="shared" si="16"/>
        <v>12.631578947368421</v>
      </c>
      <c r="X3407" s="15">
        <f t="shared" si="16"/>
        <v>5.7894736842105265</v>
      </c>
      <c r="Y3407" s="15">
        <f t="shared" si="16"/>
        <v>9.4736842105263168</v>
      </c>
    </row>
    <row r="3408" spans="1:25" x14ac:dyDescent="0.25">
      <c r="I3408" s="19">
        <v>44909</v>
      </c>
      <c r="J3408" s="15">
        <v>0</v>
      </c>
      <c r="K3408" s="15">
        <v>1</v>
      </c>
      <c r="L3408" s="15">
        <v>0</v>
      </c>
      <c r="M3408" s="15">
        <f>SUMIF($B$2927:$B$3403, $I3408,M$2927:M$3403)</f>
        <v>0</v>
      </c>
      <c r="N3408" s="15">
        <f t="shared" ref="N3408:Y3421" si="17">SUMIF($B$2927:$B$3403, $I3408,N$2927:N$3403)</f>
        <v>4</v>
      </c>
      <c r="O3408" s="15">
        <f t="shared" si="17"/>
        <v>2</v>
      </c>
      <c r="P3408" s="15">
        <f t="shared" si="17"/>
        <v>5</v>
      </c>
      <c r="Q3408" s="15">
        <f t="shared" si="17"/>
        <v>5</v>
      </c>
      <c r="R3408" s="15">
        <f t="shared" si="17"/>
        <v>1</v>
      </c>
      <c r="S3408" s="15">
        <f t="shared" si="17"/>
        <v>11</v>
      </c>
      <c r="T3408" s="15">
        <f t="shared" si="17"/>
        <v>3</v>
      </c>
      <c r="U3408" s="15">
        <f t="shared" si="17"/>
        <v>0</v>
      </c>
      <c r="V3408" s="15">
        <f t="shared" si="17"/>
        <v>3</v>
      </c>
      <c r="W3408" s="15">
        <f t="shared" si="17"/>
        <v>5</v>
      </c>
      <c r="X3408" s="15">
        <f t="shared" si="17"/>
        <v>1</v>
      </c>
      <c r="Y3408" s="15">
        <f t="shared" si="17"/>
        <v>6</v>
      </c>
    </row>
    <row r="3409" spans="9:25" x14ac:dyDescent="0.25">
      <c r="I3409" s="19">
        <v>44910</v>
      </c>
      <c r="J3409" s="15">
        <v>0</v>
      </c>
      <c r="K3409" s="15">
        <v>4</v>
      </c>
      <c r="L3409" s="15">
        <v>0</v>
      </c>
      <c r="M3409" s="15">
        <f t="shared" ref="M3409:M3421" si="18">SUMIF($B$2927:$B$3403, $I3409,M$2927:M$3403)</f>
        <v>0</v>
      </c>
      <c r="N3409" s="15">
        <f t="shared" si="17"/>
        <v>2</v>
      </c>
      <c r="O3409" s="15">
        <f t="shared" si="17"/>
        <v>1</v>
      </c>
      <c r="P3409" s="15">
        <f t="shared" si="17"/>
        <v>1</v>
      </c>
      <c r="Q3409" s="15">
        <f t="shared" si="17"/>
        <v>2</v>
      </c>
      <c r="R3409" s="15">
        <f t="shared" si="17"/>
        <v>1</v>
      </c>
      <c r="S3409" s="15">
        <f t="shared" si="17"/>
        <v>5</v>
      </c>
      <c r="T3409" s="15">
        <f t="shared" si="17"/>
        <v>3</v>
      </c>
      <c r="U3409" s="15">
        <f t="shared" si="17"/>
        <v>0</v>
      </c>
      <c r="V3409" s="15">
        <f t="shared" si="17"/>
        <v>0</v>
      </c>
      <c r="W3409" s="15">
        <f t="shared" si="17"/>
        <v>1</v>
      </c>
      <c r="X3409" s="15">
        <f t="shared" si="17"/>
        <v>0</v>
      </c>
      <c r="Y3409" s="15">
        <f t="shared" si="17"/>
        <v>1</v>
      </c>
    </row>
    <row r="3410" spans="9:25" x14ac:dyDescent="0.25">
      <c r="I3410" s="19">
        <v>44911</v>
      </c>
      <c r="J3410" s="15">
        <v>2</v>
      </c>
      <c r="K3410" s="15">
        <v>0</v>
      </c>
      <c r="L3410" s="15">
        <v>1</v>
      </c>
      <c r="M3410" s="15">
        <f t="shared" si="18"/>
        <v>1</v>
      </c>
      <c r="N3410" s="15">
        <f t="shared" si="17"/>
        <v>3</v>
      </c>
      <c r="O3410" s="15">
        <f t="shared" si="17"/>
        <v>8</v>
      </c>
      <c r="P3410" s="15">
        <f t="shared" si="17"/>
        <v>0</v>
      </c>
      <c r="Q3410" s="15">
        <f t="shared" si="17"/>
        <v>7</v>
      </c>
      <c r="R3410" s="15">
        <f t="shared" si="17"/>
        <v>2</v>
      </c>
      <c r="S3410" s="15">
        <f t="shared" si="17"/>
        <v>13</v>
      </c>
      <c r="T3410" s="15">
        <f t="shared" si="17"/>
        <v>6</v>
      </c>
      <c r="U3410" s="15">
        <f t="shared" si="17"/>
        <v>0</v>
      </c>
      <c r="V3410" s="15">
        <f t="shared" si="17"/>
        <v>7</v>
      </c>
      <c r="W3410" s="15">
        <f t="shared" si="17"/>
        <v>4</v>
      </c>
      <c r="X3410" s="15">
        <f t="shared" si="17"/>
        <v>4</v>
      </c>
      <c r="Y3410" s="15">
        <f t="shared" si="17"/>
        <v>7</v>
      </c>
    </row>
    <row r="3411" spans="9:25" x14ac:dyDescent="0.25">
      <c r="I3411" s="19">
        <v>44912</v>
      </c>
      <c r="J3411" s="15">
        <v>0</v>
      </c>
      <c r="K3411" s="15">
        <v>3</v>
      </c>
      <c r="L3411" s="15">
        <v>4</v>
      </c>
      <c r="M3411" s="15">
        <f t="shared" si="18"/>
        <v>0</v>
      </c>
      <c r="N3411" s="15">
        <f t="shared" si="17"/>
        <v>6</v>
      </c>
      <c r="O3411" s="15">
        <f t="shared" si="17"/>
        <v>6</v>
      </c>
      <c r="P3411" s="15">
        <f t="shared" si="17"/>
        <v>7</v>
      </c>
      <c r="Q3411" s="15">
        <f t="shared" si="17"/>
        <v>10</v>
      </c>
      <c r="R3411" s="15">
        <f t="shared" si="17"/>
        <v>2</v>
      </c>
      <c r="S3411" s="15">
        <f t="shared" si="17"/>
        <v>18</v>
      </c>
      <c r="T3411" s="15">
        <f t="shared" si="17"/>
        <v>9</v>
      </c>
      <c r="U3411" s="15">
        <f t="shared" si="17"/>
        <v>0</v>
      </c>
      <c r="V3411" s="15">
        <f t="shared" si="17"/>
        <v>5</v>
      </c>
      <c r="W3411" s="15">
        <f t="shared" si="17"/>
        <v>4</v>
      </c>
      <c r="X3411" s="15">
        <f t="shared" si="17"/>
        <v>1</v>
      </c>
      <c r="Y3411" s="15">
        <f t="shared" si="17"/>
        <v>4</v>
      </c>
    </row>
    <row r="3412" spans="9:25" x14ac:dyDescent="0.25">
      <c r="I3412" s="19">
        <v>44913</v>
      </c>
      <c r="J3412" s="15">
        <v>2</v>
      </c>
      <c r="K3412" s="15">
        <v>2</v>
      </c>
      <c r="L3412" s="15">
        <v>1</v>
      </c>
      <c r="M3412" s="15">
        <f t="shared" si="18"/>
        <v>0</v>
      </c>
      <c r="N3412" s="15">
        <f t="shared" si="17"/>
        <v>1</v>
      </c>
      <c r="O3412" s="15">
        <f t="shared" si="17"/>
        <v>2</v>
      </c>
      <c r="P3412" s="15">
        <f t="shared" si="17"/>
        <v>4</v>
      </c>
      <c r="Q3412" s="15">
        <f t="shared" si="17"/>
        <v>5</v>
      </c>
      <c r="R3412" s="15">
        <f t="shared" si="17"/>
        <v>3</v>
      </c>
      <c r="S3412" s="15">
        <f t="shared" si="17"/>
        <v>5</v>
      </c>
      <c r="T3412" s="15">
        <f t="shared" si="17"/>
        <v>3</v>
      </c>
      <c r="U3412" s="15">
        <f t="shared" si="17"/>
        <v>0</v>
      </c>
      <c r="V3412" s="15">
        <f t="shared" si="17"/>
        <v>5</v>
      </c>
      <c r="W3412" s="15">
        <f t="shared" si="17"/>
        <v>5</v>
      </c>
      <c r="X3412" s="15">
        <f t="shared" si="17"/>
        <v>1</v>
      </c>
      <c r="Y3412" s="15">
        <f t="shared" si="17"/>
        <v>2</v>
      </c>
    </row>
    <row r="3413" spans="9:25" x14ac:dyDescent="0.25">
      <c r="I3413" s="19">
        <v>44914</v>
      </c>
      <c r="J3413" s="15">
        <v>0</v>
      </c>
      <c r="K3413" s="15">
        <v>1</v>
      </c>
      <c r="L3413" s="15">
        <v>0</v>
      </c>
      <c r="M3413" s="15">
        <f t="shared" si="18"/>
        <v>0</v>
      </c>
      <c r="N3413" s="15">
        <f t="shared" si="17"/>
        <v>2</v>
      </c>
      <c r="O3413" s="15">
        <f t="shared" si="17"/>
        <v>0</v>
      </c>
      <c r="P3413" s="15">
        <f t="shared" si="17"/>
        <v>2</v>
      </c>
      <c r="Q3413" s="15">
        <f t="shared" si="17"/>
        <v>3</v>
      </c>
      <c r="R3413" s="15">
        <f t="shared" si="17"/>
        <v>0</v>
      </c>
      <c r="S3413" s="15">
        <f t="shared" si="17"/>
        <v>2</v>
      </c>
      <c r="T3413" s="15">
        <f t="shared" si="17"/>
        <v>2</v>
      </c>
      <c r="U3413" s="15">
        <f t="shared" si="17"/>
        <v>0</v>
      </c>
      <c r="V3413" s="15">
        <f t="shared" si="17"/>
        <v>2</v>
      </c>
      <c r="W3413" s="15">
        <f t="shared" si="17"/>
        <v>1</v>
      </c>
      <c r="X3413" s="15">
        <f t="shared" si="17"/>
        <v>0</v>
      </c>
      <c r="Y3413" s="15">
        <f t="shared" si="17"/>
        <v>1</v>
      </c>
    </row>
    <row r="3414" spans="9:25" x14ac:dyDescent="0.25">
      <c r="I3414" s="19">
        <v>44915</v>
      </c>
      <c r="J3414" s="15">
        <v>3</v>
      </c>
      <c r="K3414" s="15">
        <v>2</v>
      </c>
      <c r="L3414" s="15">
        <v>5</v>
      </c>
      <c r="M3414" s="15">
        <f t="shared" si="18"/>
        <v>0</v>
      </c>
      <c r="N3414" s="15">
        <f t="shared" si="17"/>
        <v>0</v>
      </c>
      <c r="O3414" s="15">
        <f t="shared" si="17"/>
        <v>6</v>
      </c>
      <c r="P3414" s="15">
        <f t="shared" si="17"/>
        <v>4</v>
      </c>
      <c r="Q3414" s="15">
        <f t="shared" si="17"/>
        <v>7</v>
      </c>
      <c r="R3414" s="15">
        <f t="shared" si="17"/>
        <v>2</v>
      </c>
      <c r="S3414" s="15">
        <f t="shared" si="17"/>
        <v>13</v>
      </c>
      <c r="T3414" s="15">
        <f t="shared" si="17"/>
        <v>4</v>
      </c>
      <c r="U3414" s="15">
        <f t="shared" si="17"/>
        <v>0</v>
      </c>
      <c r="V3414" s="15">
        <f t="shared" si="17"/>
        <v>3</v>
      </c>
      <c r="W3414" s="15">
        <f t="shared" si="17"/>
        <v>3</v>
      </c>
      <c r="X3414" s="15">
        <f t="shared" si="17"/>
        <v>1</v>
      </c>
      <c r="Y3414" s="15">
        <f t="shared" si="17"/>
        <v>8</v>
      </c>
    </row>
    <row r="3415" spans="9:25" x14ac:dyDescent="0.25">
      <c r="I3415" s="19">
        <v>44916</v>
      </c>
      <c r="J3415" s="15">
        <v>1</v>
      </c>
      <c r="K3415" s="15">
        <v>4</v>
      </c>
      <c r="L3415" s="15">
        <v>4</v>
      </c>
      <c r="M3415" s="15">
        <f t="shared" si="18"/>
        <v>1</v>
      </c>
      <c r="N3415" s="15">
        <f t="shared" si="17"/>
        <v>2</v>
      </c>
      <c r="O3415" s="15">
        <f t="shared" si="17"/>
        <v>5</v>
      </c>
      <c r="P3415" s="15">
        <f t="shared" si="17"/>
        <v>5</v>
      </c>
      <c r="Q3415" s="15">
        <f t="shared" si="17"/>
        <v>7</v>
      </c>
      <c r="R3415" s="15">
        <f t="shared" si="17"/>
        <v>3</v>
      </c>
      <c r="S3415" s="15">
        <f t="shared" si="17"/>
        <v>13</v>
      </c>
      <c r="T3415" s="15">
        <f t="shared" si="17"/>
        <v>10</v>
      </c>
      <c r="U3415" s="15">
        <f t="shared" si="17"/>
        <v>0</v>
      </c>
      <c r="V3415" s="15">
        <f t="shared" si="17"/>
        <v>2</v>
      </c>
      <c r="W3415" s="15">
        <f t="shared" si="17"/>
        <v>6</v>
      </c>
      <c r="X3415" s="15">
        <f t="shared" si="17"/>
        <v>1</v>
      </c>
      <c r="Y3415" s="15">
        <f t="shared" si="17"/>
        <v>4</v>
      </c>
    </row>
    <row r="3416" spans="9:25" x14ac:dyDescent="0.25">
      <c r="I3416" s="19">
        <v>44917</v>
      </c>
      <c r="J3416" s="15">
        <v>0</v>
      </c>
      <c r="K3416" s="15">
        <v>1</v>
      </c>
      <c r="L3416" s="15">
        <v>1</v>
      </c>
      <c r="M3416" s="15">
        <f t="shared" si="18"/>
        <v>0</v>
      </c>
      <c r="N3416" s="15">
        <f t="shared" si="17"/>
        <v>0</v>
      </c>
      <c r="O3416" s="15">
        <f t="shared" si="17"/>
        <v>4</v>
      </c>
      <c r="P3416" s="15">
        <f t="shared" si="17"/>
        <v>3</v>
      </c>
      <c r="Q3416" s="15">
        <f t="shared" si="17"/>
        <v>1</v>
      </c>
      <c r="R3416" s="15">
        <f t="shared" si="17"/>
        <v>3</v>
      </c>
      <c r="S3416" s="15">
        <f t="shared" si="17"/>
        <v>11</v>
      </c>
      <c r="T3416" s="15">
        <f t="shared" si="17"/>
        <v>3</v>
      </c>
      <c r="U3416" s="15">
        <f t="shared" si="17"/>
        <v>0</v>
      </c>
      <c r="V3416" s="15">
        <f t="shared" si="17"/>
        <v>1</v>
      </c>
      <c r="W3416" s="15">
        <f t="shared" si="17"/>
        <v>2</v>
      </c>
      <c r="X3416" s="15">
        <f t="shared" si="17"/>
        <v>2</v>
      </c>
      <c r="Y3416" s="15">
        <f t="shared" si="17"/>
        <v>3</v>
      </c>
    </row>
    <row r="3417" spans="9:25" x14ac:dyDescent="0.25">
      <c r="I3417" s="19">
        <v>44918</v>
      </c>
      <c r="J3417" s="15">
        <v>0</v>
      </c>
      <c r="K3417" s="15">
        <v>1</v>
      </c>
      <c r="L3417" s="15">
        <v>2</v>
      </c>
      <c r="M3417" s="15">
        <f t="shared" si="18"/>
        <v>0</v>
      </c>
      <c r="N3417" s="15">
        <f t="shared" si="17"/>
        <v>2</v>
      </c>
      <c r="O3417" s="15">
        <f t="shared" si="17"/>
        <v>13</v>
      </c>
      <c r="P3417" s="15">
        <f t="shared" si="17"/>
        <v>5</v>
      </c>
      <c r="Q3417" s="15">
        <f t="shared" si="17"/>
        <v>3</v>
      </c>
      <c r="R3417" s="15">
        <f t="shared" si="17"/>
        <v>2</v>
      </c>
      <c r="S3417" s="15">
        <f t="shared" si="17"/>
        <v>21</v>
      </c>
      <c r="T3417" s="15">
        <f t="shared" si="17"/>
        <v>8</v>
      </c>
      <c r="U3417" s="15">
        <f t="shared" si="17"/>
        <v>0</v>
      </c>
      <c r="V3417" s="15">
        <f t="shared" si="17"/>
        <v>1</v>
      </c>
      <c r="W3417" s="15">
        <f t="shared" si="17"/>
        <v>6</v>
      </c>
      <c r="X3417" s="15">
        <f t="shared" si="17"/>
        <v>5</v>
      </c>
      <c r="Y3417" s="15">
        <f t="shared" si="17"/>
        <v>4</v>
      </c>
    </row>
    <row r="3418" spans="9:25" x14ac:dyDescent="0.25">
      <c r="I3418" s="19">
        <v>44919</v>
      </c>
      <c r="J3418" s="15">
        <v>0</v>
      </c>
      <c r="K3418" s="15">
        <v>3</v>
      </c>
      <c r="L3418" s="15">
        <v>0</v>
      </c>
      <c r="M3418" s="15">
        <f t="shared" si="18"/>
        <v>0</v>
      </c>
      <c r="N3418" s="15">
        <f t="shared" si="17"/>
        <v>2</v>
      </c>
      <c r="O3418" s="15">
        <f t="shared" si="17"/>
        <v>4</v>
      </c>
      <c r="P3418" s="15">
        <f t="shared" si="17"/>
        <v>2</v>
      </c>
      <c r="Q3418" s="15">
        <f t="shared" si="17"/>
        <v>8</v>
      </c>
      <c r="R3418" s="15">
        <f t="shared" si="17"/>
        <v>2</v>
      </c>
      <c r="S3418" s="15">
        <f t="shared" si="17"/>
        <v>6</v>
      </c>
      <c r="T3418" s="15">
        <f t="shared" si="17"/>
        <v>3</v>
      </c>
      <c r="U3418" s="15">
        <f t="shared" si="17"/>
        <v>0</v>
      </c>
      <c r="V3418" s="15">
        <f t="shared" si="17"/>
        <v>2</v>
      </c>
      <c r="W3418" s="15">
        <f t="shared" si="17"/>
        <v>6</v>
      </c>
      <c r="X3418" s="15">
        <f t="shared" si="17"/>
        <v>3</v>
      </c>
      <c r="Y3418" s="15">
        <f t="shared" si="17"/>
        <v>4</v>
      </c>
    </row>
    <row r="3419" spans="9:25" x14ac:dyDescent="0.25">
      <c r="I3419" s="19">
        <v>44920</v>
      </c>
      <c r="J3419" s="15">
        <v>0</v>
      </c>
      <c r="K3419" s="15">
        <v>3</v>
      </c>
      <c r="L3419" s="15">
        <v>0</v>
      </c>
      <c r="M3419" s="15">
        <f t="shared" si="18"/>
        <v>0</v>
      </c>
      <c r="N3419" s="15">
        <f t="shared" si="17"/>
        <v>0</v>
      </c>
      <c r="O3419" s="15">
        <f t="shared" si="17"/>
        <v>3</v>
      </c>
      <c r="P3419" s="15">
        <f t="shared" si="17"/>
        <v>1</v>
      </c>
      <c r="Q3419" s="15">
        <f t="shared" si="17"/>
        <v>1</v>
      </c>
      <c r="R3419" s="15">
        <f t="shared" si="17"/>
        <v>0</v>
      </c>
      <c r="S3419" s="15">
        <f t="shared" si="17"/>
        <v>4</v>
      </c>
      <c r="T3419" s="15">
        <f t="shared" si="17"/>
        <v>0</v>
      </c>
      <c r="U3419" s="15">
        <f t="shared" si="17"/>
        <v>0</v>
      </c>
      <c r="V3419" s="15">
        <f t="shared" si="17"/>
        <v>0</v>
      </c>
      <c r="W3419" s="15">
        <f t="shared" si="17"/>
        <v>0</v>
      </c>
      <c r="X3419" s="15">
        <f t="shared" si="17"/>
        <v>0</v>
      </c>
      <c r="Y3419" s="15">
        <f t="shared" si="17"/>
        <v>0</v>
      </c>
    </row>
    <row r="3420" spans="9:25" x14ac:dyDescent="0.25">
      <c r="I3420" s="19">
        <v>44921</v>
      </c>
      <c r="J3420" s="15">
        <v>0</v>
      </c>
      <c r="K3420" s="15">
        <v>0</v>
      </c>
      <c r="L3420" s="15">
        <v>0</v>
      </c>
      <c r="M3420" s="15">
        <f t="shared" si="18"/>
        <v>0</v>
      </c>
      <c r="N3420" s="15">
        <f t="shared" si="17"/>
        <v>0</v>
      </c>
      <c r="O3420" s="15">
        <f t="shared" si="17"/>
        <v>3</v>
      </c>
      <c r="P3420" s="15">
        <f t="shared" si="17"/>
        <v>1</v>
      </c>
      <c r="Q3420" s="15">
        <f t="shared" si="17"/>
        <v>2</v>
      </c>
      <c r="R3420" s="15">
        <f t="shared" si="17"/>
        <v>1</v>
      </c>
      <c r="S3420" s="15">
        <f t="shared" si="17"/>
        <v>3</v>
      </c>
      <c r="T3420" s="15">
        <f t="shared" si="17"/>
        <v>1</v>
      </c>
      <c r="U3420" s="15">
        <f t="shared" si="17"/>
        <v>0</v>
      </c>
      <c r="V3420" s="15">
        <f t="shared" si="17"/>
        <v>1</v>
      </c>
      <c r="W3420" s="15">
        <f t="shared" si="17"/>
        <v>2</v>
      </c>
      <c r="X3420" s="15">
        <f t="shared" si="17"/>
        <v>0</v>
      </c>
      <c r="Y3420" s="15">
        <f t="shared" si="17"/>
        <v>0</v>
      </c>
    </row>
    <row r="3421" spans="9:25" x14ac:dyDescent="0.25">
      <c r="I3421" s="19">
        <v>44922</v>
      </c>
      <c r="J3421" s="15">
        <v>1</v>
      </c>
      <c r="K3421" s="15">
        <v>9</v>
      </c>
      <c r="L3421" s="15">
        <v>2</v>
      </c>
      <c r="M3421" s="15">
        <f t="shared" si="18"/>
        <v>0</v>
      </c>
      <c r="N3421" s="15">
        <f t="shared" si="17"/>
        <v>0</v>
      </c>
      <c r="O3421" s="15">
        <f t="shared" si="17"/>
        <v>2</v>
      </c>
      <c r="P3421" s="15">
        <f t="shared" si="17"/>
        <v>1</v>
      </c>
      <c r="Q3421" s="15">
        <f t="shared" si="17"/>
        <v>4</v>
      </c>
      <c r="R3421" s="15">
        <f t="shared" si="17"/>
        <v>0</v>
      </c>
      <c r="S3421" s="15">
        <f t="shared" si="17"/>
        <v>6</v>
      </c>
      <c r="T3421" s="15">
        <f t="shared" si="17"/>
        <v>1</v>
      </c>
      <c r="U3421" s="15">
        <f t="shared" si="17"/>
        <v>0</v>
      </c>
      <c r="V3421" s="15">
        <f t="shared" si="17"/>
        <v>1</v>
      </c>
      <c r="W3421" s="15">
        <f t="shared" si="17"/>
        <v>2</v>
      </c>
      <c r="X3421" s="15">
        <f t="shared" si="17"/>
        <v>0</v>
      </c>
      <c r="Y3421" s="15">
        <f t="shared" si="17"/>
        <v>3</v>
      </c>
    </row>
    <row r="3422" spans="9:25" x14ac:dyDescent="0.25">
      <c r="I3422" s="19"/>
      <c r="J3422" s="15">
        <v>0</v>
      </c>
      <c r="K3422" s="15">
        <v>7</v>
      </c>
      <c r="L3422" s="15">
        <v>5</v>
      </c>
      <c r="Y3422" s="15"/>
    </row>
    <row r="3423" spans="9:25" x14ac:dyDescent="0.25">
      <c r="I3423" s="19"/>
      <c r="J3423" s="15">
        <v>1</v>
      </c>
      <c r="K3423" s="15">
        <v>1</v>
      </c>
      <c r="L3423" s="15">
        <v>4</v>
      </c>
      <c r="Y3423" s="15"/>
    </row>
    <row r="3425" spans="2:27" ht="30" x14ac:dyDescent="0.25">
      <c r="B3425" t="s">
        <v>4852</v>
      </c>
      <c r="I3425" s="1" t="s">
        <v>4853</v>
      </c>
      <c r="N3425" s="15">
        <v>1</v>
      </c>
      <c r="AA3425" t="s">
        <v>173</v>
      </c>
    </row>
    <row r="3426" spans="2:27" x14ac:dyDescent="0.25">
      <c r="B3426" t="s">
        <v>4852</v>
      </c>
      <c r="I3426" s="1" t="s">
        <v>4854</v>
      </c>
      <c r="O3426" s="15">
        <v>1</v>
      </c>
      <c r="V3426" s="29"/>
      <c r="AA3426" t="s">
        <v>33</v>
      </c>
    </row>
    <row r="3427" spans="2:27" ht="60" x14ac:dyDescent="0.25">
      <c r="B3427" t="s">
        <v>4852</v>
      </c>
      <c r="I3427" s="1" t="s">
        <v>4855</v>
      </c>
      <c r="S3427" s="15">
        <v>1</v>
      </c>
      <c r="AA3427" t="s">
        <v>33</v>
      </c>
    </row>
    <row r="3428" spans="2:27" ht="30" x14ac:dyDescent="0.25">
      <c r="B3428" t="s">
        <v>4852</v>
      </c>
      <c r="I3428" s="1" t="s">
        <v>4856</v>
      </c>
      <c r="S3428" s="15">
        <v>1</v>
      </c>
      <c r="AA3428" t="s">
        <v>33</v>
      </c>
    </row>
    <row r="3429" spans="2:27" ht="75" x14ac:dyDescent="0.25">
      <c r="B3429" t="s">
        <v>4852</v>
      </c>
      <c r="I3429" s="1" t="s">
        <v>4857</v>
      </c>
      <c r="S3429" s="15">
        <v>1</v>
      </c>
      <c r="AA3429" t="s">
        <v>33</v>
      </c>
    </row>
    <row r="3430" spans="2:27" ht="30" x14ac:dyDescent="0.25">
      <c r="B3430" t="s">
        <v>4852</v>
      </c>
      <c r="I3430" s="1" t="s">
        <v>4858</v>
      </c>
      <c r="S3430" s="15">
        <v>1</v>
      </c>
      <c r="AA3430" t="s">
        <v>33</v>
      </c>
    </row>
    <row r="3431" spans="2:27" ht="60" x14ac:dyDescent="0.25">
      <c r="B3431" t="s">
        <v>4859</v>
      </c>
      <c r="I3431" s="1" t="s">
        <v>4860</v>
      </c>
      <c r="AA3431" t="s">
        <v>173</v>
      </c>
    </row>
    <row r="3432" spans="2:27" ht="45" x14ac:dyDescent="0.25">
      <c r="B3432" t="s">
        <v>4859</v>
      </c>
      <c r="I3432" s="1" t="s">
        <v>4861</v>
      </c>
      <c r="O3432" s="15">
        <v>1</v>
      </c>
      <c r="AA3432" t="s">
        <v>33</v>
      </c>
    </row>
    <row r="3433" spans="2:27" ht="105" x14ac:dyDescent="0.25">
      <c r="B3433" t="s">
        <v>4859</v>
      </c>
      <c r="I3433" s="1" t="s">
        <v>4862</v>
      </c>
      <c r="S3433" s="15">
        <v>1</v>
      </c>
      <c r="AA3433" t="s">
        <v>33</v>
      </c>
    </row>
    <row r="3434" spans="2:27" ht="45" x14ac:dyDescent="0.25">
      <c r="B3434" t="s">
        <v>4859</v>
      </c>
      <c r="I3434" s="1" t="s">
        <v>4863</v>
      </c>
      <c r="S3434" s="15">
        <v>1</v>
      </c>
      <c r="AA3434" t="s">
        <v>33</v>
      </c>
    </row>
    <row r="3435" spans="2:27" ht="105" x14ac:dyDescent="0.25">
      <c r="B3435" t="s">
        <v>4859</v>
      </c>
      <c r="I3435" s="1" t="s">
        <v>4864</v>
      </c>
      <c r="V3435" s="15">
        <v>1</v>
      </c>
      <c r="AA3435" t="s">
        <v>33</v>
      </c>
    </row>
    <row r="3436" spans="2:27" ht="120" x14ac:dyDescent="0.25">
      <c r="B3436" t="s">
        <v>4859</v>
      </c>
      <c r="I3436" s="1" t="s">
        <v>4865</v>
      </c>
      <c r="P3436" s="15">
        <v>1</v>
      </c>
      <c r="Y3436">
        <v>1</v>
      </c>
      <c r="AA3436" t="s">
        <v>173</v>
      </c>
    </row>
    <row r="3437" spans="2:27" ht="105" x14ac:dyDescent="0.25">
      <c r="B3437" t="s">
        <v>4866</v>
      </c>
      <c r="I3437" s="27" t="s">
        <v>4867</v>
      </c>
      <c r="S3437" s="15">
        <v>1</v>
      </c>
      <c r="AA3437" t="s">
        <v>173</v>
      </c>
    </row>
    <row r="3438" spans="2:27" ht="45" x14ac:dyDescent="0.25">
      <c r="B3438" t="s">
        <v>4866</v>
      </c>
      <c r="I3438" s="1" t="s">
        <v>4868</v>
      </c>
      <c r="Q3438" s="15">
        <v>1</v>
      </c>
      <c r="AA3438" t="s">
        <v>173</v>
      </c>
    </row>
    <row r="3439" spans="2:27" ht="105" x14ac:dyDescent="0.25">
      <c r="B3439" t="s">
        <v>4866</v>
      </c>
      <c r="I3439" s="1" t="s">
        <v>4869</v>
      </c>
      <c r="N3439" s="15">
        <v>1</v>
      </c>
      <c r="Q3439" s="15">
        <v>1</v>
      </c>
      <c r="W3439" s="15">
        <v>1</v>
      </c>
      <c r="AA3439" t="s">
        <v>173</v>
      </c>
    </row>
    <row r="3440" spans="2:27" ht="30" x14ac:dyDescent="0.25">
      <c r="B3440" t="s">
        <v>4866</v>
      </c>
      <c r="I3440" s="1" t="s">
        <v>4870</v>
      </c>
      <c r="S3440" s="15">
        <v>1</v>
      </c>
      <c r="AA3440" t="s">
        <v>33</v>
      </c>
    </row>
    <row r="3441" spans="2:27" ht="60" x14ac:dyDescent="0.25">
      <c r="B3441" t="s">
        <v>4866</v>
      </c>
      <c r="I3441" s="1" t="s">
        <v>4871</v>
      </c>
      <c r="W3441" s="15">
        <v>1</v>
      </c>
      <c r="AA3441" t="s">
        <v>87</v>
      </c>
    </row>
    <row r="3442" spans="2:27" ht="105" x14ac:dyDescent="0.25">
      <c r="B3442" t="s">
        <v>4866</v>
      </c>
      <c r="I3442" s="1" t="s">
        <v>4872</v>
      </c>
      <c r="W3442" s="15">
        <v>1</v>
      </c>
      <c r="AA3442" t="s">
        <v>87</v>
      </c>
    </row>
    <row r="3443" spans="2:27" ht="90" x14ac:dyDescent="0.25">
      <c r="B3443" t="s">
        <v>4866</v>
      </c>
      <c r="I3443" s="1" t="s">
        <v>4873</v>
      </c>
      <c r="P3443" s="15">
        <v>1</v>
      </c>
      <c r="S3443" s="15">
        <v>1</v>
      </c>
      <c r="W3443" s="15">
        <v>1</v>
      </c>
      <c r="AA3443" t="s">
        <v>33</v>
      </c>
    </row>
    <row r="3444" spans="2:27" ht="60" x14ac:dyDescent="0.25">
      <c r="B3444" t="s">
        <v>4866</v>
      </c>
      <c r="I3444" s="1" t="s">
        <v>4874</v>
      </c>
      <c r="Y3444">
        <v>1</v>
      </c>
      <c r="AA3444" t="s">
        <v>87</v>
      </c>
    </row>
    <row r="3445" spans="2:27" x14ac:dyDescent="0.25">
      <c r="B3445" t="s">
        <v>4866</v>
      </c>
      <c r="I3445" s="1" t="s">
        <v>4875</v>
      </c>
      <c r="AA3445" t="s">
        <v>87</v>
      </c>
    </row>
    <row r="3446" spans="2:27" ht="30" x14ac:dyDescent="0.25">
      <c r="B3446" t="s">
        <v>4866</v>
      </c>
      <c r="I3446" s="1" t="s">
        <v>4876</v>
      </c>
      <c r="O3446" s="15">
        <v>1</v>
      </c>
      <c r="X3446" s="15">
        <v>1</v>
      </c>
      <c r="AA3446" t="s">
        <v>33</v>
      </c>
    </row>
    <row r="3447" spans="2:27" ht="30" x14ac:dyDescent="0.25">
      <c r="B3447" t="s">
        <v>4866</v>
      </c>
      <c r="I3447" s="1" t="s">
        <v>4877</v>
      </c>
      <c r="T3447" s="15">
        <v>1</v>
      </c>
      <c r="AA3447" t="s">
        <v>87</v>
      </c>
    </row>
    <row r="3448" spans="2:27" ht="90" x14ac:dyDescent="0.25">
      <c r="B3448" t="s">
        <v>4866</v>
      </c>
      <c r="I3448" s="1" t="s">
        <v>4878</v>
      </c>
      <c r="W3448" s="15">
        <v>1</v>
      </c>
      <c r="Y3448">
        <v>1</v>
      </c>
      <c r="AA3448" t="s">
        <v>87</v>
      </c>
    </row>
    <row r="3449" spans="2:27" ht="30" x14ac:dyDescent="0.25">
      <c r="B3449" t="s">
        <v>4866</v>
      </c>
      <c r="I3449" s="1" t="s">
        <v>4879</v>
      </c>
      <c r="Q3449" s="15">
        <v>1</v>
      </c>
      <c r="W3449" s="15">
        <v>1</v>
      </c>
      <c r="AA3449" t="s">
        <v>173</v>
      </c>
    </row>
    <row r="3450" spans="2:27" ht="45" x14ac:dyDescent="0.25">
      <c r="B3450" t="s">
        <v>4866</v>
      </c>
      <c r="I3450" s="1" t="s">
        <v>4880</v>
      </c>
      <c r="S3450" s="15">
        <v>1</v>
      </c>
      <c r="AA3450" t="s">
        <v>33</v>
      </c>
    </row>
    <row r="3451" spans="2:27" ht="45" x14ac:dyDescent="0.25">
      <c r="B3451" t="s">
        <v>4866</v>
      </c>
      <c r="I3451" s="1" t="s">
        <v>4881</v>
      </c>
      <c r="R3451" s="15">
        <v>1</v>
      </c>
      <c r="W3451" s="15">
        <v>1</v>
      </c>
      <c r="AA3451" t="s">
        <v>173</v>
      </c>
    </row>
    <row r="3452" spans="2:27" ht="60" x14ac:dyDescent="0.25">
      <c r="B3452" t="s">
        <v>4866</v>
      </c>
      <c r="I3452" s="1" t="s">
        <v>4882</v>
      </c>
      <c r="S3452" s="15">
        <v>1</v>
      </c>
      <c r="AA3452" t="s">
        <v>33</v>
      </c>
    </row>
    <row r="3453" spans="2:27" x14ac:dyDescent="0.25">
      <c r="B3453" t="s">
        <v>4866</v>
      </c>
      <c r="I3453" s="1" t="s">
        <v>4883</v>
      </c>
      <c r="Q3453" s="15">
        <v>1</v>
      </c>
      <c r="AA3453" t="s">
        <v>173</v>
      </c>
    </row>
    <row r="3454" spans="2:27" ht="75" x14ac:dyDescent="0.25">
      <c r="B3454" t="s">
        <v>4866</v>
      </c>
      <c r="I3454" s="1" t="s">
        <v>4884</v>
      </c>
      <c r="S3454" s="15">
        <v>1</v>
      </c>
      <c r="AA3454" t="s">
        <v>33</v>
      </c>
    </row>
    <row r="3455" spans="2:27" ht="45" x14ac:dyDescent="0.25">
      <c r="B3455" t="s">
        <v>4866</v>
      </c>
      <c r="I3455" s="1" t="s">
        <v>4885</v>
      </c>
      <c r="S3455" s="15">
        <v>1</v>
      </c>
      <c r="AA3455" t="s">
        <v>33</v>
      </c>
    </row>
    <row r="3456" spans="2:27" ht="75" x14ac:dyDescent="0.25">
      <c r="B3456" t="s">
        <v>4866</v>
      </c>
      <c r="I3456" s="1" t="s">
        <v>4886</v>
      </c>
      <c r="T3456" s="15">
        <v>1</v>
      </c>
      <c r="Y3456">
        <v>1</v>
      </c>
      <c r="AA3456" t="s">
        <v>87</v>
      </c>
    </row>
    <row r="3457" spans="2:27" ht="60" x14ac:dyDescent="0.25">
      <c r="B3457" t="s">
        <v>4866</v>
      </c>
      <c r="I3457" s="1" t="s">
        <v>4887</v>
      </c>
      <c r="S3457" s="15">
        <v>1</v>
      </c>
      <c r="AA3457" t="s">
        <v>33</v>
      </c>
    </row>
    <row r="3458" spans="2:27" ht="60" x14ac:dyDescent="0.25">
      <c r="B3458" t="s">
        <v>4866</v>
      </c>
      <c r="I3458" s="1" t="s">
        <v>4888</v>
      </c>
      <c r="Q3458" s="15">
        <v>1</v>
      </c>
      <c r="V3458" s="15">
        <v>1</v>
      </c>
      <c r="AA3458" t="s">
        <v>173</v>
      </c>
    </row>
    <row r="3459" spans="2:27" ht="75" x14ac:dyDescent="0.25">
      <c r="B3459" t="s">
        <v>4866</v>
      </c>
      <c r="I3459" s="1" t="s">
        <v>4889</v>
      </c>
      <c r="R3459" s="15">
        <v>1</v>
      </c>
      <c r="V3459" s="15">
        <v>1</v>
      </c>
      <c r="W3459" s="15">
        <v>1</v>
      </c>
      <c r="AA3459" t="s">
        <v>173</v>
      </c>
    </row>
    <row r="3460" spans="2:27" ht="45" x14ac:dyDescent="0.25">
      <c r="B3460" t="s">
        <v>4866</v>
      </c>
      <c r="I3460" s="1" t="s">
        <v>4890</v>
      </c>
      <c r="T3460" s="15">
        <v>1</v>
      </c>
      <c r="AA3460" t="s">
        <v>33</v>
      </c>
    </row>
    <row r="3461" spans="2:27" ht="105" x14ac:dyDescent="0.25">
      <c r="B3461" t="s">
        <v>4866</v>
      </c>
      <c r="I3461" s="27" t="s">
        <v>4891</v>
      </c>
      <c r="N3461" s="15">
        <v>1</v>
      </c>
      <c r="Q3461" s="15">
        <v>1</v>
      </c>
      <c r="AA3461" t="s">
        <v>87</v>
      </c>
    </row>
    <row r="3462" spans="2:27" ht="60" x14ac:dyDescent="0.25">
      <c r="B3462" t="s">
        <v>4866</v>
      </c>
      <c r="I3462" s="27" t="s">
        <v>4892</v>
      </c>
      <c r="N3462" s="15">
        <v>1</v>
      </c>
      <c r="Q3462" s="15">
        <v>1</v>
      </c>
      <c r="Y3462">
        <v>1</v>
      </c>
      <c r="AA3462" t="s">
        <v>173</v>
      </c>
    </row>
    <row r="3463" spans="2:27" ht="45" x14ac:dyDescent="0.25">
      <c r="B3463" t="s">
        <v>4866</v>
      </c>
      <c r="I3463" s="1" t="s">
        <v>4893</v>
      </c>
      <c r="Y3463">
        <v>1</v>
      </c>
      <c r="AA3463" t="s">
        <v>87</v>
      </c>
    </row>
    <row r="3464" spans="2:27" ht="75" x14ac:dyDescent="0.25">
      <c r="B3464" t="s">
        <v>4866</v>
      </c>
      <c r="I3464" s="1" t="s">
        <v>4894</v>
      </c>
      <c r="O3464" s="15">
        <v>1</v>
      </c>
      <c r="S3464" s="15">
        <v>1</v>
      </c>
      <c r="AA3464" t="s">
        <v>33</v>
      </c>
    </row>
    <row r="3465" spans="2:27" ht="60" x14ac:dyDescent="0.25">
      <c r="B3465" t="s">
        <v>4866</v>
      </c>
      <c r="I3465" s="1" t="s">
        <v>4895</v>
      </c>
      <c r="O3465" s="15">
        <v>1</v>
      </c>
      <c r="S3465" s="15">
        <v>1</v>
      </c>
      <c r="AA3465" t="s">
        <v>33</v>
      </c>
    </row>
    <row r="3466" spans="2:27" ht="30" x14ac:dyDescent="0.25">
      <c r="B3466" t="s">
        <v>4866</v>
      </c>
      <c r="I3466" s="1" t="s">
        <v>4896</v>
      </c>
      <c r="X3466" s="15">
        <v>1</v>
      </c>
      <c r="AA3466" t="s">
        <v>33</v>
      </c>
    </row>
    <row r="3467" spans="2:27" ht="75" x14ac:dyDescent="0.25">
      <c r="B3467" t="s">
        <v>4866</v>
      </c>
      <c r="I3467" s="1" t="s">
        <v>4897</v>
      </c>
      <c r="T3467" s="15">
        <v>1</v>
      </c>
      <c r="Y3467">
        <v>1</v>
      </c>
      <c r="AA3467" t="s">
        <v>87</v>
      </c>
    </row>
    <row r="3468" spans="2:27" ht="45" x14ac:dyDescent="0.25">
      <c r="B3468" t="s">
        <v>4866</v>
      </c>
      <c r="I3468" s="1" t="s">
        <v>4898</v>
      </c>
      <c r="Q3468" s="15">
        <v>1</v>
      </c>
      <c r="T3468" s="15">
        <v>1</v>
      </c>
      <c r="AA3468" t="s">
        <v>87</v>
      </c>
    </row>
    <row r="3469" spans="2:27" x14ac:dyDescent="0.25">
      <c r="B3469" t="s">
        <v>4866</v>
      </c>
      <c r="I3469" s="1" t="s">
        <v>4899</v>
      </c>
      <c r="O3469" s="15">
        <v>1</v>
      </c>
      <c r="S3469" s="15">
        <v>1</v>
      </c>
      <c r="X3469" s="15">
        <v>1</v>
      </c>
      <c r="AA3469" t="s">
        <v>33</v>
      </c>
    </row>
    <row r="3470" spans="2:27" ht="120" x14ac:dyDescent="0.25">
      <c r="B3470" t="s">
        <v>4866</v>
      </c>
      <c r="I3470" s="27" t="s">
        <v>4900</v>
      </c>
      <c r="Y3470">
        <v>1</v>
      </c>
      <c r="AA3470" t="s">
        <v>33</v>
      </c>
    </row>
    <row r="3471" spans="2:27" ht="30" x14ac:dyDescent="0.25">
      <c r="B3471" t="s">
        <v>4866</v>
      </c>
      <c r="I3471" s="1" t="s">
        <v>4901</v>
      </c>
      <c r="S3471" s="15">
        <v>1</v>
      </c>
      <c r="AA3471" t="s">
        <v>33</v>
      </c>
    </row>
    <row r="3472" spans="2:27" ht="105" x14ac:dyDescent="0.25">
      <c r="B3472" t="s">
        <v>4866</v>
      </c>
      <c r="I3472" s="1" t="s">
        <v>4902</v>
      </c>
      <c r="Y3472">
        <v>1</v>
      </c>
      <c r="AA3472" t="s">
        <v>173</v>
      </c>
    </row>
    <row r="3473" spans="2:27" ht="105" x14ac:dyDescent="0.25">
      <c r="B3473" t="s">
        <v>4866</v>
      </c>
      <c r="I3473" s="1" t="s">
        <v>4903</v>
      </c>
      <c r="T3473" s="15">
        <v>1</v>
      </c>
      <c r="AA3473" t="s">
        <v>87</v>
      </c>
    </row>
    <row r="3474" spans="2:27" ht="60" x14ac:dyDescent="0.25">
      <c r="B3474" t="s">
        <v>4866</v>
      </c>
      <c r="I3474" s="1" t="s">
        <v>4904</v>
      </c>
      <c r="O3474" s="15">
        <v>1</v>
      </c>
      <c r="AA3474" t="s">
        <v>33</v>
      </c>
    </row>
    <row r="3475" spans="2:27" ht="45" x14ac:dyDescent="0.25">
      <c r="B3475" t="s">
        <v>4866</v>
      </c>
      <c r="I3475" s="1" t="s">
        <v>4905</v>
      </c>
      <c r="W3475" s="15">
        <v>1</v>
      </c>
      <c r="AA3475" t="s">
        <v>173</v>
      </c>
    </row>
    <row r="3476" spans="2:27" ht="90" x14ac:dyDescent="0.25">
      <c r="B3476" t="s">
        <v>4866</v>
      </c>
      <c r="I3476" s="1" t="s">
        <v>4906</v>
      </c>
      <c r="S3476" s="15">
        <v>1</v>
      </c>
      <c r="AA3476" t="s">
        <v>33</v>
      </c>
    </row>
    <row r="3477" spans="2:27" ht="30" x14ac:dyDescent="0.25">
      <c r="B3477" t="s">
        <v>4866</v>
      </c>
      <c r="I3477" s="1" t="s">
        <v>4907</v>
      </c>
      <c r="O3477" s="15">
        <v>1</v>
      </c>
      <c r="AA3477" t="s">
        <v>33</v>
      </c>
    </row>
    <row r="3478" spans="2:27" ht="105" x14ac:dyDescent="0.25">
      <c r="B3478" t="s">
        <v>4866</v>
      </c>
      <c r="I3478" s="1" t="s">
        <v>4908</v>
      </c>
      <c r="T3478" s="15">
        <v>1</v>
      </c>
      <c r="AA3478" t="s">
        <v>87</v>
      </c>
    </row>
    <row r="3479" spans="2:27" ht="105" x14ac:dyDescent="0.25">
      <c r="B3479" t="s">
        <v>4866</v>
      </c>
      <c r="I3479" s="1" t="s">
        <v>4909</v>
      </c>
      <c r="S3479" s="15">
        <v>1</v>
      </c>
      <c r="AA3479" t="s">
        <v>33</v>
      </c>
    </row>
    <row r="3480" spans="2:27" ht="105" x14ac:dyDescent="0.25">
      <c r="B3480" t="s">
        <v>4866</v>
      </c>
      <c r="I3480" s="1" t="s">
        <v>4910</v>
      </c>
      <c r="P3480" s="15">
        <v>1</v>
      </c>
      <c r="T3480" s="15">
        <v>1</v>
      </c>
      <c r="AA3480" t="s">
        <v>173</v>
      </c>
    </row>
    <row r="3481" spans="2:27" ht="105" x14ac:dyDescent="0.25">
      <c r="B3481" t="s">
        <v>4911</v>
      </c>
      <c r="I3481" s="1" t="s">
        <v>4912</v>
      </c>
      <c r="O3481" s="15">
        <v>1</v>
      </c>
      <c r="S3481" s="15">
        <v>1</v>
      </c>
      <c r="AA3481" t="s">
        <v>33</v>
      </c>
    </row>
    <row r="3482" spans="2:27" ht="105" x14ac:dyDescent="0.25">
      <c r="B3482" t="s">
        <v>4911</v>
      </c>
      <c r="I3482" s="27" t="s">
        <v>4913</v>
      </c>
      <c r="Y3482">
        <v>1</v>
      </c>
      <c r="AA3482" t="s">
        <v>87</v>
      </c>
    </row>
    <row r="3483" spans="2:27" ht="90" x14ac:dyDescent="0.25">
      <c r="B3483" t="s">
        <v>4911</v>
      </c>
      <c r="I3483" s="27" t="s">
        <v>4914</v>
      </c>
      <c r="N3483" s="15">
        <v>1</v>
      </c>
      <c r="Y3483">
        <v>1</v>
      </c>
      <c r="AA3483" t="s">
        <v>173</v>
      </c>
    </row>
    <row r="3484" spans="2:27" ht="60" x14ac:dyDescent="0.25">
      <c r="B3484" t="s">
        <v>4911</v>
      </c>
      <c r="I3484" s="1" t="s">
        <v>4915</v>
      </c>
      <c r="S3484" s="15">
        <v>1</v>
      </c>
      <c r="AA3484" t="s">
        <v>33</v>
      </c>
    </row>
    <row r="3485" spans="2:27" ht="105" x14ac:dyDescent="0.25">
      <c r="B3485" t="s">
        <v>4911</v>
      </c>
      <c r="I3485" s="1" t="s">
        <v>4916</v>
      </c>
      <c r="O3485" s="15">
        <v>1</v>
      </c>
      <c r="S3485" s="15">
        <v>1</v>
      </c>
      <c r="AA3485" t="s">
        <v>33</v>
      </c>
    </row>
    <row r="3486" spans="2:27" ht="120" x14ac:dyDescent="0.25">
      <c r="B3486" t="s">
        <v>4911</v>
      </c>
      <c r="I3486" s="28" t="s">
        <v>4917</v>
      </c>
      <c r="P3486" s="15">
        <v>1</v>
      </c>
      <c r="AA3486" t="s">
        <v>173</v>
      </c>
    </row>
    <row r="3487" spans="2:27" ht="30" x14ac:dyDescent="0.25">
      <c r="B3487" t="s">
        <v>4911</v>
      </c>
      <c r="I3487" s="1" t="s">
        <v>4918</v>
      </c>
      <c r="O3487" s="15">
        <v>1</v>
      </c>
      <c r="Q3487" s="15">
        <v>1</v>
      </c>
      <c r="AA3487" t="s">
        <v>33</v>
      </c>
    </row>
    <row r="3488" spans="2:27" ht="45" x14ac:dyDescent="0.25">
      <c r="B3488" t="s">
        <v>4911</v>
      </c>
      <c r="I3488" s="27" t="s">
        <v>4919</v>
      </c>
      <c r="V3488" s="15">
        <v>1</v>
      </c>
      <c r="AA3488" t="s">
        <v>173</v>
      </c>
    </row>
    <row r="3489" spans="2:27" x14ac:dyDescent="0.25">
      <c r="B3489" t="s">
        <v>4911</v>
      </c>
      <c r="I3489" s="1" t="s">
        <v>4920</v>
      </c>
      <c r="N3489" s="15">
        <v>1</v>
      </c>
      <c r="AA3489" t="s">
        <v>173</v>
      </c>
    </row>
    <row r="3490" spans="2:27" ht="105" x14ac:dyDescent="0.25">
      <c r="B3490" t="s">
        <v>4911</v>
      </c>
      <c r="I3490" s="1" t="s">
        <v>4921</v>
      </c>
      <c r="S3490" s="15">
        <v>1</v>
      </c>
      <c r="AA3490" t="s">
        <v>33</v>
      </c>
    </row>
    <row r="3491" spans="2:27" ht="45" x14ac:dyDescent="0.25">
      <c r="B3491" t="s">
        <v>4911</v>
      </c>
      <c r="I3491" s="1" t="s">
        <v>4922</v>
      </c>
      <c r="P3491" s="15">
        <v>1</v>
      </c>
      <c r="T3491" s="15">
        <v>1</v>
      </c>
      <c r="AA3491" t="s">
        <v>33</v>
      </c>
    </row>
    <row r="3492" spans="2:27" ht="45" x14ac:dyDescent="0.25">
      <c r="B3492" t="s">
        <v>4911</v>
      </c>
      <c r="I3492" s="1" t="s">
        <v>4923</v>
      </c>
      <c r="S3492" s="15">
        <v>1</v>
      </c>
      <c r="AA3492" t="s">
        <v>33</v>
      </c>
    </row>
    <row r="3493" spans="2:27" ht="60" x14ac:dyDescent="0.25">
      <c r="B3493" t="s">
        <v>4911</v>
      </c>
      <c r="I3493" s="1" t="s">
        <v>4924</v>
      </c>
      <c r="S3493" s="15">
        <v>1</v>
      </c>
      <c r="AA3493" t="s">
        <v>33</v>
      </c>
    </row>
    <row r="3494" spans="2:27" ht="60" x14ac:dyDescent="0.25">
      <c r="B3494" t="s">
        <v>4911</v>
      </c>
      <c r="I3494" s="1" t="s">
        <v>4925</v>
      </c>
      <c r="W3494" s="15">
        <v>1</v>
      </c>
      <c r="AA3494" t="s">
        <v>33</v>
      </c>
    </row>
    <row r="3495" spans="2:27" ht="45" x14ac:dyDescent="0.25">
      <c r="B3495" t="s">
        <v>4911</v>
      </c>
      <c r="I3495" s="1" t="s">
        <v>4926</v>
      </c>
      <c r="S3495" s="15">
        <v>1</v>
      </c>
      <c r="AA3495" t="s">
        <v>33</v>
      </c>
    </row>
    <row r="3496" spans="2:27" ht="105" x14ac:dyDescent="0.25">
      <c r="B3496" t="s">
        <v>4911</v>
      </c>
      <c r="I3496" s="1" t="s">
        <v>4927</v>
      </c>
      <c r="W3496" s="15">
        <v>1</v>
      </c>
      <c r="AA3496" t="s">
        <v>87</v>
      </c>
    </row>
    <row r="3497" spans="2:27" ht="105" x14ac:dyDescent="0.25">
      <c r="B3497" t="s">
        <v>4911</v>
      </c>
      <c r="I3497" s="1" t="s">
        <v>4928</v>
      </c>
      <c r="O3497" s="15">
        <v>1</v>
      </c>
      <c r="AA3497" t="s">
        <v>33</v>
      </c>
    </row>
    <row r="3498" spans="2:27" ht="75" x14ac:dyDescent="0.25">
      <c r="B3498" t="s">
        <v>4911</v>
      </c>
      <c r="I3498" s="1" t="s">
        <v>4929</v>
      </c>
      <c r="T3498" s="15">
        <v>1</v>
      </c>
      <c r="AA3498" t="s">
        <v>173</v>
      </c>
    </row>
    <row r="3499" spans="2:27" ht="45" x14ac:dyDescent="0.25">
      <c r="B3499" t="s">
        <v>4911</v>
      </c>
      <c r="I3499" s="1" t="s">
        <v>4930</v>
      </c>
      <c r="Q3499" s="15">
        <v>1</v>
      </c>
      <c r="AA3499" t="s">
        <v>173</v>
      </c>
    </row>
    <row r="3500" spans="2:27" ht="30" x14ac:dyDescent="0.25">
      <c r="B3500" t="s">
        <v>4911</v>
      </c>
      <c r="I3500" s="1" t="s">
        <v>4931</v>
      </c>
      <c r="S3500" s="15">
        <v>1</v>
      </c>
      <c r="AA3500" t="s">
        <v>33</v>
      </c>
    </row>
    <row r="3501" spans="2:27" ht="45" x14ac:dyDescent="0.25">
      <c r="B3501" t="s">
        <v>4911</v>
      </c>
      <c r="I3501" s="1" t="s">
        <v>4932</v>
      </c>
      <c r="T3501" s="15">
        <v>1</v>
      </c>
      <c r="AA3501" t="s">
        <v>87</v>
      </c>
    </row>
    <row r="3502" spans="2:27" ht="30" x14ac:dyDescent="0.25">
      <c r="B3502" t="s">
        <v>4911</v>
      </c>
      <c r="I3502" s="1" t="s">
        <v>4933</v>
      </c>
      <c r="T3502" s="15">
        <v>1</v>
      </c>
      <c r="AA3502" t="s">
        <v>173</v>
      </c>
    </row>
    <row r="3503" spans="2:27" ht="30" x14ac:dyDescent="0.25">
      <c r="B3503" t="s">
        <v>4911</v>
      </c>
      <c r="I3503" s="1" t="s">
        <v>4934</v>
      </c>
      <c r="AA3503" t="s">
        <v>33</v>
      </c>
    </row>
    <row r="3504" spans="2:27" ht="75" x14ac:dyDescent="0.25">
      <c r="B3504" t="s">
        <v>4911</v>
      </c>
      <c r="I3504" s="1" t="s">
        <v>4935</v>
      </c>
      <c r="O3504" s="15">
        <v>1</v>
      </c>
      <c r="W3504" s="15">
        <v>1</v>
      </c>
      <c r="AA3504" t="s">
        <v>173</v>
      </c>
    </row>
    <row r="3505" spans="2:27" x14ac:dyDescent="0.25">
      <c r="B3505" t="s">
        <v>4911</v>
      </c>
      <c r="I3505" s="1" t="s">
        <v>4936</v>
      </c>
      <c r="O3505" s="15">
        <v>1</v>
      </c>
      <c r="S3505" s="15">
        <v>1</v>
      </c>
      <c r="AA3505" t="s">
        <v>33</v>
      </c>
    </row>
    <row r="3506" spans="2:27" ht="30" x14ac:dyDescent="0.25">
      <c r="B3506" t="s">
        <v>4911</v>
      </c>
      <c r="I3506" s="1" t="s">
        <v>4937</v>
      </c>
      <c r="O3506" s="15">
        <v>1</v>
      </c>
      <c r="AA3506" t="s">
        <v>33</v>
      </c>
    </row>
    <row r="3507" spans="2:27" ht="45" x14ac:dyDescent="0.25">
      <c r="B3507" t="s">
        <v>4911</v>
      </c>
      <c r="I3507" s="1" t="s">
        <v>4938</v>
      </c>
      <c r="P3507" s="15">
        <v>1</v>
      </c>
      <c r="Y3507">
        <v>1</v>
      </c>
      <c r="AA3507" t="s">
        <v>87</v>
      </c>
    </row>
    <row r="3508" spans="2:27" x14ac:dyDescent="0.25">
      <c r="B3508" t="s">
        <v>4911</v>
      </c>
      <c r="I3508" s="1" t="s">
        <v>4939</v>
      </c>
      <c r="P3508" s="15">
        <v>1</v>
      </c>
      <c r="Q3508" s="15">
        <v>1</v>
      </c>
      <c r="AA3508" t="s">
        <v>173</v>
      </c>
    </row>
    <row r="3509" spans="2:27" ht="120" x14ac:dyDescent="0.25">
      <c r="B3509" t="s">
        <v>4911</v>
      </c>
      <c r="I3509" s="27" t="s">
        <v>4940</v>
      </c>
      <c r="W3509" s="15">
        <v>1</v>
      </c>
      <c r="Y3509">
        <v>1</v>
      </c>
      <c r="AA3509" t="s">
        <v>173</v>
      </c>
    </row>
    <row r="3510" spans="2:27" ht="30" x14ac:dyDescent="0.25">
      <c r="B3510" t="s">
        <v>4911</v>
      </c>
      <c r="I3510" s="1" t="s">
        <v>4941</v>
      </c>
      <c r="S3510" s="15">
        <v>1</v>
      </c>
      <c r="AA3510" t="s">
        <v>33</v>
      </c>
    </row>
    <row r="3511" spans="2:27" ht="90" x14ac:dyDescent="0.25">
      <c r="B3511" t="s">
        <v>4911</v>
      </c>
      <c r="I3511" s="1" t="s">
        <v>4942</v>
      </c>
      <c r="O3511" s="15">
        <v>1</v>
      </c>
      <c r="S3511" s="15">
        <v>1</v>
      </c>
      <c r="AA3511" t="s">
        <v>33</v>
      </c>
    </row>
    <row r="3512" spans="2:27" ht="45" x14ac:dyDescent="0.25">
      <c r="B3512" t="s">
        <v>4911</v>
      </c>
      <c r="I3512" s="1" t="s">
        <v>4943</v>
      </c>
      <c r="T3512" s="15">
        <v>1</v>
      </c>
      <c r="AA3512" t="s">
        <v>33</v>
      </c>
    </row>
    <row r="3513" spans="2:27" ht="30" x14ac:dyDescent="0.25">
      <c r="B3513" t="s">
        <v>4911</v>
      </c>
      <c r="I3513" s="1" t="s">
        <v>4944</v>
      </c>
      <c r="O3513" s="15">
        <v>1</v>
      </c>
      <c r="S3513" s="15">
        <v>1</v>
      </c>
      <c r="AA3513" t="s">
        <v>33</v>
      </c>
    </row>
    <row r="3514" spans="2:27" ht="45" x14ac:dyDescent="0.25">
      <c r="B3514" t="s">
        <v>4911</v>
      </c>
      <c r="I3514" s="1" t="s">
        <v>4945</v>
      </c>
      <c r="O3514" s="15">
        <v>1</v>
      </c>
      <c r="S3514" s="15">
        <v>1</v>
      </c>
      <c r="AA3514" t="s">
        <v>33</v>
      </c>
    </row>
    <row r="3515" spans="2:27" ht="45" x14ac:dyDescent="0.25">
      <c r="B3515" t="s">
        <v>4911</v>
      </c>
      <c r="I3515" s="1" t="s">
        <v>4946</v>
      </c>
      <c r="P3515" s="15">
        <v>1</v>
      </c>
      <c r="Y3515">
        <v>1</v>
      </c>
      <c r="AA3515" t="s">
        <v>87</v>
      </c>
    </row>
    <row r="3516" spans="2:27" ht="105" x14ac:dyDescent="0.25">
      <c r="B3516" t="s">
        <v>4911</v>
      </c>
      <c r="I3516" s="1" t="s">
        <v>4947</v>
      </c>
      <c r="Y3516">
        <v>1</v>
      </c>
      <c r="AA3516" t="s">
        <v>87</v>
      </c>
    </row>
    <row r="3517" spans="2:27" ht="105" x14ac:dyDescent="0.25">
      <c r="B3517" t="s">
        <v>4911</v>
      </c>
      <c r="I3517" s="1" t="s">
        <v>4948</v>
      </c>
      <c r="W3517" s="15">
        <v>1</v>
      </c>
      <c r="Y3517">
        <v>1</v>
      </c>
      <c r="AA3517" t="s">
        <v>87</v>
      </c>
    </row>
    <row r="3518" spans="2:27" ht="30" x14ac:dyDescent="0.25">
      <c r="B3518" t="s">
        <v>4911</v>
      </c>
      <c r="I3518" s="1" t="s">
        <v>4949</v>
      </c>
      <c r="P3518" s="15">
        <v>1</v>
      </c>
      <c r="Y3518">
        <v>1</v>
      </c>
      <c r="AA3518" t="s">
        <v>33</v>
      </c>
    </row>
    <row r="3519" spans="2:27" ht="75" x14ac:dyDescent="0.25">
      <c r="B3519" t="s">
        <v>4911</v>
      </c>
      <c r="I3519" s="1" t="s">
        <v>4950</v>
      </c>
      <c r="S3519" s="15">
        <v>1</v>
      </c>
      <c r="AA3519" t="s">
        <v>33</v>
      </c>
    </row>
    <row r="3520" spans="2:27" ht="90" x14ac:dyDescent="0.25">
      <c r="B3520" t="s">
        <v>4911</v>
      </c>
      <c r="I3520" s="1" t="s">
        <v>4951</v>
      </c>
      <c r="S3520" s="15">
        <v>1</v>
      </c>
      <c r="AA3520" t="s">
        <v>33</v>
      </c>
    </row>
    <row r="3521" spans="2:27" ht="30" x14ac:dyDescent="0.25">
      <c r="B3521" t="s">
        <v>4911</v>
      </c>
      <c r="I3521" s="1" t="s">
        <v>4952</v>
      </c>
      <c r="O3521" s="15">
        <v>1</v>
      </c>
      <c r="AA3521" t="s">
        <v>33</v>
      </c>
    </row>
    <row r="3522" spans="2:27" ht="45" x14ac:dyDescent="0.25">
      <c r="B3522" t="s">
        <v>4911</v>
      </c>
      <c r="I3522" s="1" t="s">
        <v>4953</v>
      </c>
      <c r="Y3522">
        <v>1</v>
      </c>
      <c r="AA3522" t="s">
        <v>173</v>
      </c>
    </row>
    <row r="3523" spans="2:27" ht="105" x14ac:dyDescent="0.25">
      <c r="B3523" t="s">
        <v>4911</v>
      </c>
      <c r="I3523" s="27" t="s">
        <v>4954</v>
      </c>
      <c r="Y3523">
        <v>1</v>
      </c>
      <c r="AA3523" t="s">
        <v>87</v>
      </c>
    </row>
    <row r="3524" spans="2:27" ht="30" x14ac:dyDescent="0.25">
      <c r="B3524" t="s">
        <v>4911</v>
      </c>
      <c r="I3524" s="1" t="s">
        <v>4955</v>
      </c>
      <c r="Q3524" s="15">
        <v>1</v>
      </c>
      <c r="AA3524" t="s">
        <v>173</v>
      </c>
    </row>
    <row r="3525" spans="2:27" ht="105" x14ac:dyDescent="0.25">
      <c r="B3525" t="s">
        <v>4911</v>
      </c>
      <c r="I3525" s="27" t="s">
        <v>4956</v>
      </c>
      <c r="P3525" s="15">
        <v>1</v>
      </c>
      <c r="Y3525">
        <v>1</v>
      </c>
      <c r="AA3525" t="s">
        <v>87</v>
      </c>
    </row>
    <row r="3526" spans="2:27" ht="45" x14ac:dyDescent="0.25">
      <c r="B3526" t="s">
        <v>4911</v>
      </c>
      <c r="I3526" s="1" t="s">
        <v>4957</v>
      </c>
      <c r="O3526" s="15">
        <v>1</v>
      </c>
      <c r="AA3526" t="s">
        <v>33</v>
      </c>
    </row>
    <row r="3527" spans="2:27" ht="75" x14ac:dyDescent="0.25">
      <c r="B3527" t="s">
        <v>4911</v>
      </c>
      <c r="I3527" s="1" t="s">
        <v>4958</v>
      </c>
      <c r="S3527" s="15">
        <v>1</v>
      </c>
      <c r="AA3527" t="s">
        <v>33</v>
      </c>
    </row>
    <row r="3528" spans="2:27" ht="90" x14ac:dyDescent="0.25">
      <c r="B3528" t="s">
        <v>4911</v>
      </c>
      <c r="I3528" s="1" t="s">
        <v>4959</v>
      </c>
      <c r="T3528" s="15">
        <v>1</v>
      </c>
      <c r="W3528" s="15">
        <v>1</v>
      </c>
      <c r="AA3528" t="s">
        <v>173</v>
      </c>
    </row>
    <row r="3529" spans="2:27" ht="105" x14ac:dyDescent="0.25">
      <c r="B3529" t="s">
        <v>4911</v>
      </c>
      <c r="I3529" s="1" t="s">
        <v>4960</v>
      </c>
      <c r="S3529" s="15">
        <v>1</v>
      </c>
      <c r="AA3529" t="s">
        <v>87</v>
      </c>
    </row>
    <row r="3530" spans="2:27" ht="90" x14ac:dyDescent="0.25">
      <c r="B3530" t="s">
        <v>4911</v>
      </c>
      <c r="I3530" s="1" t="s">
        <v>4961</v>
      </c>
      <c r="N3530" s="15">
        <v>1</v>
      </c>
      <c r="P3530" s="15">
        <v>1</v>
      </c>
      <c r="AA3530" t="s">
        <v>87</v>
      </c>
    </row>
    <row r="3531" spans="2:27" ht="90" x14ac:dyDescent="0.25">
      <c r="B3531" t="s">
        <v>4911</v>
      </c>
      <c r="I3531" s="27" t="s">
        <v>4962</v>
      </c>
      <c r="Y3531">
        <v>1</v>
      </c>
      <c r="AA3531" t="s">
        <v>87</v>
      </c>
    </row>
    <row r="3532" spans="2:27" ht="75" x14ac:dyDescent="0.25">
      <c r="B3532" t="s">
        <v>4911</v>
      </c>
      <c r="I3532" s="1" t="s">
        <v>4963</v>
      </c>
      <c r="Q3532" s="15">
        <v>1</v>
      </c>
      <c r="W3532" s="15">
        <v>1</v>
      </c>
      <c r="AA3532" t="s">
        <v>87</v>
      </c>
    </row>
    <row r="3533" spans="2:27" ht="45" x14ac:dyDescent="0.25">
      <c r="B3533" t="s">
        <v>4911</v>
      </c>
      <c r="I3533" s="1" t="s">
        <v>4964</v>
      </c>
      <c r="S3533" s="15">
        <v>1</v>
      </c>
      <c r="AA3533" t="s">
        <v>33</v>
      </c>
    </row>
    <row r="3534" spans="2:27" ht="105" x14ac:dyDescent="0.25">
      <c r="B3534" t="s">
        <v>4911</v>
      </c>
      <c r="I3534" s="1" t="s">
        <v>4965</v>
      </c>
      <c r="T3534" s="15">
        <v>1</v>
      </c>
      <c r="AA3534" t="s">
        <v>173</v>
      </c>
    </row>
    <row r="3535" spans="2:27" ht="30" x14ac:dyDescent="0.25">
      <c r="B3535" t="s">
        <v>4911</v>
      </c>
      <c r="I3535" s="1" t="s">
        <v>4966</v>
      </c>
      <c r="Q3535" s="15">
        <v>1</v>
      </c>
      <c r="AA3535" t="s">
        <v>173</v>
      </c>
    </row>
    <row r="3536" spans="2:27" ht="30" x14ac:dyDescent="0.25">
      <c r="B3536" t="s">
        <v>4911</v>
      </c>
      <c r="I3536" s="1" t="s">
        <v>4967</v>
      </c>
      <c r="O3536" s="15">
        <v>1</v>
      </c>
      <c r="S3536" s="15">
        <v>1</v>
      </c>
      <c r="AA3536" t="s">
        <v>33</v>
      </c>
    </row>
    <row r="3537" spans="2:27" ht="45" x14ac:dyDescent="0.25">
      <c r="B3537" t="s">
        <v>4911</v>
      </c>
      <c r="I3537" s="1" t="s">
        <v>4968</v>
      </c>
      <c r="P3537" s="15">
        <v>1</v>
      </c>
      <c r="Y3537">
        <v>1</v>
      </c>
      <c r="AA3537" t="s">
        <v>87</v>
      </c>
    </row>
    <row r="3538" spans="2:27" ht="105" x14ac:dyDescent="0.25">
      <c r="B3538" t="s">
        <v>4911</v>
      </c>
      <c r="I3538" s="1" t="s">
        <v>4969</v>
      </c>
      <c r="W3538" s="15">
        <v>1</v>
      </c>
      <c r="Y3538">
        <v>1</v>
      </c>
      <c r="AA3538" t="s">
        <v>87</v>
      </c>
    </row>
    <row r="3539" spans="2:27" ht="30" x14ac:dyDescent="0.25">
      <c r="B3539" t="s">
        <v>4911</v>
      </c>
      <c r="I3539" s="1" t="s">
        <v>4970</v>
      </c>
      <c r="S3539" s="15">
        <v>1</v>
      </c>
      <c r="AA3539" t="s">
        <v>33</v>
      </c>
    </row>
    <row r="3540" spans="2:27" ht="105" x14ac:dyDescent="0.25">
      <c r="B3540" t="s">
        <v>4911</v>
      </c>
      <c r="I3540" s="1" t="s">
        <v>4971</v>
      </c>
      <c r="W3540" s="15">
        <v>1</v>
      </c>
      <c r="AA3540" t="s">
        <v>87</v>
      </c>
    </row>
    <row r="3541" spans="2:27" ht="30" x14ac:dyDescent="0.25">
      <c r="B3541" t="s">
        <v>4911</v>
      </c>
      <c r="I3541" s="1" t="s">
        <v>4972</v>
      </c>
      <c r="O3541" s="15">
        <v>1</v>
      </c>
      <c r="S3541" s="15">
        <v>1</v>
      </c>
      <c r="X3541" s="15">
        <v>1</v>
      </c>
      <c r="AA3541" t="s">
        <v>33</v>
      </c>
    </row>
    <row r="3542" spans="2:27" ht="60" x14ac:dyDescent="0.25">
      <c r="B3542" t="s">
        <v>4911</v>
      </c>
      <c r="I3542" s="1" t="s">
        <v>4973</v>
      </c>
      <c r="P3542" s="15">
        <v>1</v>
      </c>
      <c r="W3542" s="15">
        <v>1</v>
      </c>
      <c r="AA3542" t="s">
        <v>33</v>
      </c>
    </row>
    <row r="3543" spans="2:27" ht="75" x14ac:dyDescent="0.25">
      <c r="B3543" t="s">
        <v>4911</v>
      </c>
      <c r="I3543" s="1" t="s">
        <v>4974</v>
      </c>
      <c r="T3543" s="15">
        <v>1</v>
      </c>
      <c r="AA3543" t="s">
        <v>87</v>
      </c>
    </row>
    <row r="3544" spans="2:27" ht="45" x14ac:dyDescent="0.25">
      <c r="B3544" t="s">
        <v>4911</v>
      </c>
      <c r="I3544" s="1" t="s">
        <v>4975</v>
      </c>
      <c r="S3544" s="15">
        <v>1</v>
      </c>
      <c r="X3544" s="15">
        <v>1</v>
      </c>
      <c r="AA3544" t="s">
        <v>33</v>
      </c>
    </row>
    <row r="3545" spans="2:27" ht="30" x14ac:dyDescent="0.25">
      <c r="B3545" t="s">
        <v>4911</v>
      </c>
      <c r="I3545" s="1" t="s">
        <v>4976</v>
      </c>
      <c r="X3545" s="15">
        <v>1</v>
      </c>
      <c r="AA3545" t="s">
        <v>33</v>
      </c>
    </row>
    <row r="3546" spans="2:27" ht="45" x14ac:dyDescent="0.25">
      <c r="B3546" t="s">
        <v>4911</v>
      </c>
      <c r="I3546" s="27" t="s">
        <v>4977</v>
      </c>
      <c r="V3546" s="15">
        <v>1</v>
      </c>
      <c r="AA3546" t="s">
        <v>87</v>
      </c>
    </row>
    <row r="3547" spans="2:27" ht="75" x14ac:dyDescent="0.25">
      <c r="B3547" t="s">
        <v>4978</v>
      </c>
      <c r="I3547" s="27" t="s">
        <v>4979</v>
      </c>
      <c r="N3547" s="15">
        <v>1</v>
      </c>
      <c r="P3547" s="15">
        <v>1</v>
      </c>
      <c r="AA3547" t="s">
        <v>87</v>
      </c>
    </row>
    <row r="3548" spans="2:27" ht="75" x14ac:dyDescent="0.25">
      <c r="B3548" t="s">
        <v>4978</v>
      </c>
      <c r="I3548" s="1" t="s">
        <v>4980</v>
      </c>
      <c r="S3548" s="15">
        <v>1</v>
      </c>
      <c r="AA3548" t="s">
        <v>33</v>
      </c>
    </row>
    <row r="3549" spans="2:27" ht="30" x14ac:dyDescent="0.25">
      <c r="B3549" t="s">
        <v>4978</v>
      </c>
      <c r="I3549" s="1" t="s">
        <v>4981</v>
      </c>
      <c r="T3549" s="15">
        <v>1</v>
      </c>
      <c r="AA3549" t="s">
        <v>33</v>
      </c>
    </row>
    <row r="3550" spans="2:27" ht="105" x14ac:dyDescent="0.25">
      <c r="B3550" t="s">
        <v>4978</v>
      </c>
      <c r="I3550" s="1" t="s">
        <v>4982</v>
      </c>
      <c r="O3550" s="15">
        <v>1</v>
      </c>
      <c r="S3550" s="15">
        <v>1</v>
      </c>
      <c r="AA3550" t="s">
        <v>173</v>
      </c>
    </row>
    <row r="3551" spans="2:27" ht="105" x14ac:dyDescent="0.25">
      <c r="B3551" t="s">
        <v>4978</v>
      </c>
      <c r="I3551" s="27" t="s">
        <v>4983</v>
      </c>
      <c r="Q3551" s="15">
        <v>1</v>
      </c>
      <c r="V3551" s="15">
        <v>1</v>
      </c>
      <c r="AA3551" t="s">
        <v>33</v>
      </c>
    </row>
    <row r="3552" spans="2:27" ht="45" x14ac:dyDescent="0.25">
      <c r="B3552" t="s">
        <v>4978</v>
      </c>
      <c r="I3552" s="27" t="s">
        <v>4984</v>
      </c>
      <c r="Y3552">
        <v>1</v>
      </c>
      <c r="AA3552" t="s">
        <v>87</v>
      </c>
    </row>
    <row r="3553" spans="2:27" x14ac:dyDescent="0.25">
      <c r="B3553" t="s">
        <v>4985</v>
      </c>
      <c r="I3553" s="1" t="s">
        <v>4986</v>
      </c>
      <c r="N3553" s="15">
        <v>1</v>
      </c>
      <c r="AA3553" t="s">
        <v>87</v>
      </c>
    </row>
    <row r="3554" spans="2:27" ht="30" x14ac:dyDescent="0.25">
      <c r="B3554" t="s">
        <v>4985</v>
      </c>
      <c r="I3554" s="1" t="s">
        <v>4987</v>
      </c>
      <c r="S3554" s="15">
        <v>1</v>
      </c>
      <c r="AA3554" t="s">
        <v>33</v>
      </c>
    </row>
    <row r="3555" spans="2:27" ht="75" x14ac:dyDescent="0.25">
      <c r="B3555" t="s">
        <v>4985</v>
      </c>
      <c r="I3555" s="1" t="s">
        <v>4988</v>
      </c>
      <c r="S3555" s="15">
        <v>1</v>
      </c>
      <c r="AA3555" t="s">
        <v>33</v>
      </c>
    </row>
    <row r="3556" spans="2:27" ht="105" x14ac:dyDescent="0.25">
      <c r="B3556" t="s">
        <v>4985</v>
      </c>
      <c r="I3556" s="1" t="s">
        <v>4989</v>
      </c>
      <c r="Y3556">
        <v>1</v>
      </c>
      <c r="AA3556" t="s">
        <v>173</v>
      </c>
    </row>
    <row r="3557" spans="2:27" ht="90" x14ac:dyDescent="0.25">
      <c r="B3557" t="s">
        <v>4985</v>
      </c>
      <c r="I3557" s="1" t="s">
        <v>4990</v>
      </c>
      <c r="O3557" s="15">
        <v>1</v>
      </c>
      <c r="AA3557" t="s">
        <v>33</v>
      </c>
    </row>
    <row r="3558" spans="2:27" ht="45" x14ac:dyDescent="0.25">
      <c r="B3558" t="s">
        <v>4985</v>
      </c>
      <c r="I3558" s="1" t="s">
        <v>4991</v>
      </c>
      <c r="P3558" s="15">
        <v>1</v>
      </c>
      <c r="R3558" s="15">
        <v>1</v>
      </c>
      <c r="AA3558" t="s">
        <v>173</v>
      </c>
    </row>
    <row r="3559" spans="2:27" ht="90" x14ac:dyDescent="0.25">
      <c r="B3559" t="s">
        <v>4985</v>
      </c>
      <c r="I3559" s="1" t="s">
        <v>4992</v>
      </c>
      <c r="P3559" s="15">
        <v>1</v>
      </c>
      <c r="AA3559" t="s">
        <v>173</v>
      </c>
    </row>
    <row r="3560" spans="2:27" ht="105" x14ac:dyDescent="0.25">
      <c r="B3560" t="s">
        <v>4985</v>
      </c>
      <c r="I3560" s="27" t="s">
        <v>4993</v>
      </c>
      <c r="N3560" s="15">
        <v>1</v>
      </c>
      <c r="W3560" s="15">
        <v>1</v>
      </c>
      <c r="AA3560" t="s">
        <v>173</v>
      </c>
    </row>
    <row r="3561" spans="2:27" ht="30" x14ac:dyDescent="0.25">
      <c r="B3561" t="s">
        <v>4985</v>
      </c>
      <c r="I3561" s="1" t="s">
        <v>4994</v>
      </c>
      <c r="Y3561">
        <v>1</v>
      </c>
      <c r="AA3561" t="s">
        <v>87</v>
      </c>
    </row>
    <row r="3562" spans="2:27" x14ac:dyDescent="0.25">
      <c r="B3562" t="s">
        <v>4985</v>
      </c>
      <c r="I3562" s="1" t="s">
        <v>4995</v>
      </c>
      <c r="N3562" s="15">
        <v>1</v>
      </c>
      <c r="AA3562" t="s">
        <v>87</v>
      </c>
    </row>
    <row r="3563" spans="2:27" ht="75" x14ac:dyDescent="0.25">
      <c r="B3563" t="s">
        <v>4985</v>
      </c>
      <c r="I3563" s="1" t="s">
        <v>4996</v>
      </c>
      <c r="T3563" s="15">
        <v>1</v>
      </c>
      <c r="AA3563" t="s">
        <v>173</v>
      </c>
    </row>
    <row r="3564" spans="2:27" ht="105" x14ac:dyDescent="0.25">
      <c r="B3564" t="s">
        <v>4985</v>
      </c>
      <c r="I3564" s="1" t="s">
        <v>4997</v>
      </c>
      <c r="S3564" s="15">
        <v>1</v>
      </c>
      <c r="AA3564" t="s">
        <v>33</v>
      </c>
    </row>
    <row r="3565" spans="2:27" ht="135" x14ac:dyDescent="0.25">
      <c r="B3565" t="s">
        <v>4985</v>
      </c>
      <c r="I3565" s="1" t="s">
        <v>4998</v>
      </c>
      <c r="S3565" s="15">
        <v>1</v>
      </c>
      <c r="AA3565" t="s">
        <v>33</v>
      </c>
    </row>
    <row r="3566" spans="2:27" ht="120" x14ac:dyDescent="0.25">
      <c r="B3566" t="s">
        <v>4985</v>
      </c>
      <c r="I3566" s="27" t="s">
        <v>4999</v>
      </c>
      <c r="T3566" s="15">
        <v>1</v>
      </c>
      <c r="W3566" s="15">
        <v>1</v>
      </c>
      <c r="AA3566" t="s">
        <v>173</v>
      </c>
    </row>
    <row r="3567" spans="2:27" ht="105" x14ac:dyDescent="0.25">
      <c r="B3567" t="s">
        <v>4985</v>
      </c>
      <c r="I3567" s="1" t="s">
        <v>5000</v>
      </c>
      <c r="W3567" s="15">
        <v>1</v>
      </c>
      <c r="AA3567" t="s">
        <v>87</v>
      </c>
    </row>
    <row r="3568" spans="2:27" ht="45" x14ac:dyDescent="0.25">
      <c r="B3568" t="s">
        <v>4985</v>
      </c>
      <c r="I3568" s="1" t="s">
        <v>5001</v>
      </c>
      <c r="O3568" s="15">
        <v>1</v>
      </c>
      <c r="R3568" s="15">
        <v>1</v>
      </c>
      <c r="AA3568" t="s">
        <v>33</v>
      </c>
    </row>
    <row r="3569" spans="2:27" ht="105" x14ac:dyDescent="0.25">
      <c r="B3569" t="s">
        <v>4985</v>
      </c>
      <c r="I3569" s="1" t="s">
        <v>5002</v>
      </c>
      <c r="S3569" s="15">
        <v>1</v>
      </c>
      <c r="AA3569" t="s">
        <v>33</v>
      </c>
    </row>
    <row r="3570" spans="2:27" ht="45" x14ac:dyDescent="0.25">
      <c r="B3570" t="s">
        <v>4985</v>
      </c>
      <c r="I3570" s="1" t="s">
        <v>5003</v>
      </c>
      <c r="S3570" s="15">
        <v>1</v>
      </c>
      <c r="AA3570" t="s">
        <v>33</v>
      </c>
    </row>
    <row r="3571" spans="2:27" ht="105" x14ac:dyDescent="0.25">
      <c r="B3571" t="s">
        <v>4985</v>
      </c>
      <c r="I3571" s="1" t="s">
        <v>5004</v>
      </c>
      <c r="S3571" s="15">
        <v>1</v>
      </c>
      <c r="AA3571" t="s">
        <v>33</v>
      </c>
    </row>
    <row r="3572" spans="2:27" ht="30" x14ac:dyDescent="0.25">
      <c r="B3572" t="s">
        <v>4985</v>
      </c>
      <c r="I3572" s="1" t="s">
        <v>5005</v>
      </c>
      <c r="S3572" s="15">
        <v>1</v>
      </c>
      <c r="AA3572" t="s">
        <v>33</v>
      </c>
    </row>
    <row r="3573" spans="2:27" ht="105" x14ac:dyDescent="0.25">
      <c r="B3573" t="s">
        <v>4985</v>
      </c>
      <c r="I3573" s="1" t="s">
        <v>5006</v>
      </c>
      <c r="S3573" s="15">
        <v>1</v>
      </c>
      <c r="AA3573" t="s">
        <v>33</v>
      </c>
    </row>
    <row r="3574" spans="2:27" ht="45" x14ac:dyDescent="0.25">
      <c r="B3574" t="s">
        <v>4985</v>
      </c>
      <c r="I3574" s="1" t="s">
        <v>5007</v>
      </c>
      <c r="T3574" s="15">
        <v>1</v>
      </c>
      <c r="AA3574" t="s">
        <v>173</v>
      </c>
    </row>
    <row r="3575" spans="2:27" x14ac:dyDescent="0.25">
      <c r="B3575" t="s">
        <v>4985</v>
      </c>
      <c r="I3575" s="1" t="s">
        <v>5008</v>
      </c>
      <c r="P3575" s="15">
        <v>1</v>
      </c>
      <c r="AA3575" t="s">
        <v>87</v>
      </c>
    </row>
    <row r="3576" spans="2:27" ht="60" x14ac:dyDescent="0.25">
      <c r="B3576" t="s">
        <v>4985</v>
      </c>
      <c r="I3576" s="1" t="s">
        <v>5009</v>
      </c>
      <c r="S3576" s="15">
        <v>1</v>
      </c>
      <c r="AA3576" t="s">
        <v>173</v>
      </c>
    </row>
    <row r="3577" spans="2:27" ht="45" x14ac:dyDescent="0.25">
      <c r="B3577" t="s">
        <v>4985</v>
      </c>
      <c r="I3577" s="27" t="s">
        <v>5010</v>
      </c>
      <c r="Q3577" s="15">
        <v>1</v>
      </c>
      <c r="V3577" s="15">
        <v>1</v>
      </c>
      <c r="AA3577" t="s">
        <v>173</v>
      </c>
    </row>
    <row r="3578" spans="2:27" ht="105" x14ac:dyDescent="0.25">
      <c r="B3578" t="s">
        <v>4985</v>
      </c>
      <c r="I3578" s="1" t="s">
        <v>5011</v>
      </c>
      <c r="P3578" s="15">
        <v>1</v>
      </c>
      <c r="Q3578" s="15">
        <v>1</v>
      </c>
      <c r="Y3578">
        <v>1</v>
      </c>
      <c r="AA3578" t="s">
        <v>87</v>
      </c>
    </row>
    <row r="3579" spans="2:27" ht="60" x14ac:dyDescent="0.25">
      <c r="B3579" t="s">
        <v>4985</v>
      </c>
      <c r="I3579" s="1" t="s">
        <v>5012</v>
      </c>
      <c r="Q3579" s="15">
        <v>1</v>
      </c>
      <c r="V3579" s="15">
        <v>1</v>
      </c>
      <c r="AA3579" t="s">
        <v>87</v>
      </c>
    </row>
    <row r="3580" spans="2:27" ht="60" x14ac:dyDescent="0.25">
      <c r="B3580" t="s">
        <v>4985</v>
      </c>
      <c r="I3580" s="1" t="s">
        <v>5013</v>
      </c>
      <c r="S3580" s="15">
        <v>1</v>
      </c>
      <c r="X3580" s="15">
        <v>1</v>
      </c>
      <c r="AA3580" t="s">
        <v>33</v>
      </c>
    </row>
    <row r="3581" spans="2:27" ht="75" x14ac:dyDescent="0.25">
      <c r="B3581" t="s">
        <v>4985</v>
      </c>
      <c r="I3581" s="1" t="s">
        <v>5014</v>
      </c>
      <c r="O3581" s="15">
        <v>1</v>
      </c>
      <c r="S3581" s="15">
        <v>1</v>
      </c>
      <c r="X3581" s="15">
        <v>1</v>
      </c>
      <c r="AA3581" t="s">
        <v>33</v>
      </c>
    </row>
    <row r="3582" spans="2:27" ht="30" x14ac:dyDescent="0.25">
      <c r="B3582" t="s">
        <v>4985</v>
      </c>
      <c r="I3582" s="1" t="s">
        <v>5015</v>
      </c>
      <c r="W3582" s="15">
        <v>1</v>
      </c>
      <c r="AA3582" t="s">
        <v>173</v>
      </c>
    </row>
    <row r="3583" spans="2:27" ht="45" x14ac:dyDescent="0.25">
      <c r="B3583" t="s">
        <v>4985</v>
      </c>
      <c r="I3583" s="1" t="s">
        <v>5016</v>
      </c>
      <c r="S3583" s="15">
        <v>1</v>
      </c>
      <c r="X3583" s="15">
        <v>1</v>
      </c>
      <c r="AA3583" t="s">
        <v>33</v>
      </c>
    </row>
    <row r="3584" spans="2:27" ht="45" x14ac:dyDescent="0.25">
      <c r="B3584" t="s">
        <v>4985</v>
      </c>
      <c r="I3584" s="1" t="s">
        <v>5017</v>
      </c>
      <c r="Q3584" s="15">
        <v>1</v>
      </c>
      <c r="AA3584" t="s">
        <v>173</v>
      </c>
    </row>
    <row r="3585" spans="2:27" ht="90" x14ac:dyDescent="0.25">
      <c r="B3585" t="s">
        <v>4985</v>
      </c>
      <c r="I3585" s="1" t="s">
        <v>5018</v>
      </c>
      <c r="O3585" s="15">
        <v>1</v>
      </c>
      <c r="S3585" s="15">
        <v>1</v>
      </c>
      <c r="AA3585" t="s">
        <v>173</v>
      </c>
    </row>
    <row r="3586" spans="2:27" ht="75" x14ac:dyDescent="0.25">
      <c r="B3586" t="s">
        <v>4985</v>
      </c>
      <c r="I3586" s="1" t="s">
        <v>5019</v>
      </c>
      <c r="S3586" s="15">
        <v>1</v>
      </c>
      <c r="AA3586" t="s">
        <v>33</v>
      </c>
    </row>
    <row r="3587" spans="2:27" ht="45" x14ac:dyDescent="0.25">
      <c r="B3587" t="s">
        <v>4985</v>
      </c>
      <c r="I3587" s="1" t="s">
        <v>5020</v>
      </c>
      <c r="S3587" s="15">
        <v>1</v>
      </c>
      <c r="AA3587" t="s">
        <v>33</v>
      </c>
    </row>
    <row r="3588" spans="2:27" x14ac:dyDescent="0.25">
      <c r="B3588" t="s">
        <v>4985</v>
      </c>
      <c r="I3588" s="1" t="s">
        <v>5021</v>
      </c>
      <c r="S3588" s="15">
        <v>1</v>
      </c>
      <c r="AA3588" t="s">
        <v>33</v>
      </c>
    </row>
    <row r="3589" spans="2:27" ht="60" x14ac:dyDescent="0.25">
      <c r="B3589" t="s">
        <v>4985</v>
      </c>
      <c r="I3589" s="1" t="s">
        <v>5022</v>
      </c>
      <c r="S3589" s="15">
        <v>1</v>
      </c>
      <c r="X3589" s="15">
        <v>1</v>
      </c>
      <c r="AA3589" t="s">
        <v>33</v>
      </c>
    </row>
    <row r="3590" spans="2:27" ht="60" x14ac:dyDescent="0.25">
      <c r="B3590" t="s">
        <v>4985</v>
      </c>
      <c r="I3590" s="1" t="s">
        <v>5023</v>
      </c>
      <c r="M3590" s="15">
        <v>1</v>
      </c>
      <c r="S3590" s="15">
        <v>1</v>
      </c>
      <c r="X3590" s="15">
        <v>1</v>
      </c>
      <c r="AA3590" t="s">
        <v>33</v>
      </c>
    </row>
    <row r="3591" spans="2:27" ht="120" x14ac:dyDescent="0.25">
      <c r="B3591" t="s">
        <v>4985</v>
      </c>
      <c r="I3591" s="1" t="s">
        <v>5024</v>
      </c>
      <c r="S3591" s="15">
        <v>1</v>
      </c>
      <c r="X3591" s="15">
        <v>1</v>
      </c>
      <c r="AA3591" t="s">
        <v>33</v>
      </c>
    </row>
    <row r="3592" spans="2:27" ht="45" x14ac:dyDescent="0.25">
      <c r="B3592" t="s">
        <v>4985</v>
      </c>
      <c r="I3592" s="1" t="s">
        <v>5025</v>
      </c>
      <c r="S3592" s="15">
        <v>1</v>
      </c>
      <c r="AA3592" t="s">
        <v>33</v>
      </c>
    </row>
    <row r="3593" spans="2:27" ht="60" x14ac:dyDescent="0.25">
      <c r="B3593" t="s">
        <v>4985</v>
      </c>
      <c r="I3593" s="1" t="s">
        <v>5026</v>
      </c>
      <c r="Q3593" s="15">
        <v>1</v>
      </c>
      <c r="AA3593" t="s">
        <v>173</v>
      </c>
    </row>
    <row r="3594" spans="2:27" ht="75" x14ac:dyDescent="0.25">
      <c r="B3594" t="s">
        <v>4985</v>
      </c>
      <c r="I3594" s="1" t="s">
        <v>5027</v>
      </c>
      <c r="S3594" s="15">
        <v>1</v>
      </c>
      <c r="AA3594" t="s">
        <v>33</v>
      </c>
    </row>
    <row r="3595" spans="2:27" ht="90" x14ac:dyDescent="0.25">
      <c r="B3595" t="s">
        <v>4985</v>
      </c>
      <c r="I3595" s="1" t="s">
        <v>5028</v>
      </c>
      <c r="S3595" s="15">
        <v>1</v>
      </c>
      <c r="W3595" s="15">
        <v>1</v>
      </c>
      <c r="AA3595" t="s">
        <v>173</v>
      </c>
    </row>
    <row r="3596" spans="2:27" ht="60" x14ac:dyDescent="0.25">
      <c r="B3596" t="s">
        <v>4985</v>
      </c>
      <c r="I3596" s="1" t="s">
        <v>5029</v>
      </c>
      <c r="S3596" s="15">
        <v>1</v>
      </c>
      <c r="AA3596" t="s">
        <v>33</v>
      </c>
    </row>
    <row r="3597" spans="2:27" x14ac:dyDescent="0.25">
      <c r="B3597" t="s">
        <v>4985</v>
      </c>
      <c r="I3597" s="1" t="s">
        <v>5030</v>
      </c>
      <c r="O3597" s="15">
        <v>1</v>
      </c>
      <c r="S3597" s="15">
        <v>1</v>
      </c>
      <c r="AA3597" t="s">
        <v>33</v>
      </c>
    </row>
    <row r="3598" spans="2:27" ht="120" x14ac:dyDescent="0.25">
      <c r="B3598" t="s">
        <v>4985</v>
      </c>
      <c r="I3598" s="1" t="s">
        <v>5031</v>
      </c>
      <c r="V3598" s="15">
        <v>1</v>
      </c>
      <c r="W3598" s="15">
        <v>1</v>
      </c>
      <c r="AA3598" t="s">
        <v>173</v>
      </c>
    </row>
    <row r="3599" spans="2:27" ht="45" x14ac:dyDescent="0.25">
      <c r="B3599" t="s">
        <v>5032</v>
      </c>
      <c r="I3599" s="1" t="s">
        <v>5033</v>
      </c>
      <c r="S3599" s="15">
        <v>1</v>
      </c>
      <c r="AA3599" t="s">
        <v>33</v>
      </c>
    </row>
    <row r="3600" spans="2:27" ht="120" x14ac:dyDescent="0.25">
      <c r="B3600" t="s">
        <v>5032</v>
      </c>
      <c r="I3600" s="1" t="s">
        <v>5034</v>
      </c>
      <c r="S3600" s="15">
        <v>1</v>
      </c>
      <c r="AA3600" t="s">
        <v>87</v>
      </c>
    </row>
    <row r="3601" spans="2:27" ht="105" x14ac:dyDescent="0.25">
      <c r="B3601" t="s">
        <v>5032</v>
      </c>
      <c r="I3601" s="1" t="s">
        <v>5035</v>
      </c>
      <c r="Y3601">
        <v>1</v>
      </c>
      <c r="AA3601" t="s">
        <v>87</v>
      </c>
    </row>
    <row r="3602" spans="2:27" ht="105" x14ac:dyDescent="0.25">
      <c r="B3602" t="s">
        <v>5032</v>
      </c>
      <c r="I3602" s="1" t="s">
        <v>5036</v>
      </c>
      <c r="S3602" s="15">
        <v>1</v>
      </c>
      <c r="AA3602" t="s">
        <v>33</v>
      </c>
    </row>
    <row r="3603" spans="2:27" ht="60" x14ac:dyDescent="0.25">
      <c r="B3603" t="s">
        <v>5032</v>
      </c>
      <c r="I3603" s="1" t="s">
        <v>5037</v>
      </c>
      <c r="O3603" s="15">
        <v>1</v>
      </c>
      <c r="S3603" s="15">
        <v>1</v>
      </c>
      <c r="AA3603" t="s">
        <v>33</v>
      </c>
    </row>
    <row r="3604" spans="2:27" ht="30" x14ac:dyDescent="0.25">
      <c r="B3604" t="s">
        <v>5032</v>
      </c>
      <c r="I3604" s="27" t="s">
        <v>5038</v>
      </c>
      <c r="Q3604" s="15">
        <v>1</v>
      </c>
      <c r="V3604" s="15">
        <v>1</v>
      </c>
      <c r="AA3604" t="s">
        <v>87</v>
      </c>
    </row>
    <row r="3605" spans="2:27" ht="75" x14ac:dyDescent="0.25">
      <c r="B3605" t="s">
        <v>5032</v>
      </c>
      <c r="I3605" s="1" t="s">
        <v>5039</v>
      </c>
      <c r="N3605" s="15">
        <v>1</v>
      </c>
      <c r="T3605" s="15">
        <v>1</v>
      </c>
      <c r="AA3605" t="s">
        <v>173</v>
      </c>
    </row>
    <row r="3606" spans="2:27" ht="60" x14ac:dyDescent="0.25">
      <c r="B3606" t="s">
        <v>5032</v>
      </c>
      <c r="I3606" s="1" t="s">
        <v>5040</v>
      </c>
      <c r="S3606" s="15">
        <v>1</v>
      </c>
      <c r="AA3606" t="s">
        <v>33</v>
      </c>
    </row>
    <row r="3607" spans="2:27" ht="30" x14ac:dyDescent="0.25">
      <c r="B3607" t="s">
        <v>5032</v>
      </c>
      <c r="I3607" s="1" t="s">
        <v>5041</v>
      </c>
      <c r="Y3607">
        <v>1</v>
      </c>
      <c r="AA3607" t="s">
        <v>173</v>
      </c>
    </row>
    <row r="3608" spans="2:27" x14ac:dyDescent="0.25">
      <c r="B3608" t="s">
        <v>5032</v>
      </c>
      <c r="I3608" s="1" t="s">
        <v>5042</v>
      </c>
      <c r="Y3608">
        <v>1</v>
      </c>
      <c r="AA3608" t="s">
        <v>173</v>
      </c>
    </row>
    <row r="3609" spans="2:27" x14ac:dyDescent="0.25">
      <c r="B3609" t="s">
        <v>5032</v>
      </c>
      <c r="I3609" s="1" t="s">
        <v>5043</v>
      </c>
      <c r="AA3609" t="s">
        <v>33</v>
      </c>
    </row>
    <row r="3610" spans="2:27" ht="30" x14ac:dyDescent="0.25">
      <c r="B3610" t="s">
        <v>5032</v>
      </c>
      <c r="I3610" s="1" t="s">
        <v>5044</v>
      </c>
      <c r="O3610" s="15">
        <v>1</v>
      </c>
      <c r="AA3610" t="s">
        <v>33</v>
      </c>
    </row>
    <row r="3611" spans="2:27" ht="60" x14ac:dyDescent="0.25">
      <c r="B3611" t="s">
        <v>5032</v>
      </c>
      <c r="I3611" s="27" t="s">
        <v>5045</v>
      </c>
      <c r="V3611" s="15">
        <v>1</v>
      </c>
      <c r="AA3611" t="s">
        <v>87</v>
      </c>
    </row>
    <row r="3612" spans="2:27" ht="45" x14ac:dyDescent="0.25">
      <c r="B3612" t="s">
        <v>5032</v>
      </c>
      <c r="I3612" s="27" t="s">
        <v>5046</v>
      </c>
      <c r="N3612" s="15">
        <v>1</v>
      </c>
      <c r="Q3612" s="15">
        <v>1</v>
      </c>
      <c r="AA3612" t="s">
        <v>173</v>
      </c>
    </row>
    <row r="3613" spans="2:27" ht="105" x14ac:dyDescent="0.25">
      <c r="B3613" t="s">
        <v>5032</v>
      </c>
      <c r="I3613" s="1" t="s">
        <v>5047</v>
      </c>
      <c r="P3613" s="15">
        <v>1</v>
      </c>
      <c r="AA3613" t="s">
        <v>87</v>
      </c>
    </row>
    <row r="3614" spans="2:27" ht="105" x14ac:dyDescent="0.25">
      <c r="B3614" t="s">
        <v>5032</v>
      </c>
      <c r="I3614" s="1" t="s">
        <v>5048</v>
      </c>
      <c r="W3614" s="15">
        <v>1</v>
      </c>
      <c r="AA3614" t="s">
        <v>173</v>
      </c>
    </row>
    <row r="3615" spans="2:27" ht="90" x14ac:dyDescent="0.25">
      <c r="B3615" t="s">
        <v>5032</v>
      </c>
      <c r="I3615" s="1" t="s">
        <v>5049</v>
      </c>
      <c r="O3615" s="15">
        <v>1</v>
      </c>
      <c r="S3615" s="15">
        <v>1</v>
      </c>
      <c r="AA3615" t="s">
        <v>33</v>
      </c>
    </row>
    <row r="3616" spans="2:27" ht="105" x14ac:dyDescent="0.25">
      <c r="B3616" t="s">
        <v>5032</v>
      </c>
      <c r="I3616" s="1" t="s">
        <v>5050</v>
      </c>
      <c r="O3616" s="15">
        <v>1</v>
      </c>
      <c r="T3616" s="15">
        <v>1</v>
      </c>
      <c r="AA3616" t="s">
        <v>173</v>
      </c>
    </row>
    <row r="3617" spans="2:27" ht="60" x14ac:dyDescent="0.25">
      <c r="B3617" t="s">
        <v>5032</v>
      </c>
      <c r="I3617" s="1" t="s">
        <v>5051</v>
      </c>
      <c r="Q3617" s="15">
        <v>1</v>
      </c>
      <c r="W3617" s="15">
        <v>1</v>
      </c>
      <c r="AA3617" t="s">
        <v>173</v>
      </c>
    </row>
    <row r="3618" spans="2:27" ht="105" x14ac:dyDescent="0.25">
      <c r="B3618" t="s">
        <v>5032</v>
      </c>
      <c r="I3618" s="1" t="s">
        <v>5052</v>
      </c>
      <c r="W3618" s="15">
        <v>1</v>
      </c>
      <c r="AA3618" t="s">
        <v>173</v>
      </c>
    </row>
    <row r="3619" spans="2:27" ht="105" x14ac:dyDescent="0.25">
      <c r="B3619" t="s">
        <v>5032</v>
      </c>
      <c r="I3619" s="1" t="s">
        <v>5053</v>
      </c>
      <c r="S3619" s="15">
        <v>1</v>
      </c>
      <c r="AA3619" t="s">
        <v>33</v>
      </c>
    </row>
    <row r="3620" spans="2:27" ht="30" x14ac:dyDescent="0.25">
      <c r="B3620" t="s">
        <v>5032</v>
      </c>
      <c r="I3620" s="1" t="s">
        <v>5054</v>
      </c>
      <c r="S3620" s="15">
        <v>1</v>
      </c>
      <c r="AA3620" t="s">
        <v>33</v>
      </c>
    </row>
    <row r="3621" spans="2:27" ht="45" x14ac:dyDescent="0.25">
      <c r="B3621" t="s">
        <v>5032</v>
      </c>
      <c r="I3621" s="1" t="s">
        <v>5055</v>
      </c>
      <c r="W3621" s="15">
        <v>1</v>
      </c>
      <c r="AA3621" t="s">
        <v>173</v>
      </c>
    </row>
    <row r="3622" spans="2:27" ht="135" x14ac:dyDescent="0.25">
      <c r="B3622" t="s">
        <v>5032</v>
      </c>
      <c r="I3622" s="1" t="s">
        <v>5056</v>
      </c>
      <c r="W3622" s="15">
        <v>1</v>
      </c>
      <c r="Y3622">
        <v>1</v>
      </c>
      <c r="AA3622" t="s">
        <v>87</v>
      </c>
    </row>
    <row r="3623" spans="2:27" ht="90" x14ac:dyDescent="0.25">
      <c r="B3623" t="s">
        <v>5032</v>
      </c>
      <c r="I3623" s="1" t="s">
        <v>5057</v>
      </c>
      <c r="T3623" s="15">
        <v>1</v>
      </c>
      <c r="AA3623" t="s">
        <v>87</v>
      </c>
    </row>
    <row r="3624" spans="2:27" ht="45" x14ac:dyDescent="0.25">
      <c r="B3624" t="s">
        <v>5032</v>
      </c>
      <c r="I3624" s="1" t="s">
        <v>5058</v>
      </c>
      <c r="O3624" s="15">
        <v>1</v>
      </c>
      <c r="AA3624" t="s">
        <v>33</v>
      </c>
    </row>
    <row r="3625" spans="2:27" ht="105" x14ac:dyDescent="0.25">
      <c r="B3625" t="s">
        <v>5032</v>
      </c>
      <c r="I3625" s="1" t="s">
        <v>5059</v>
      </c>
      <c r="O3625" s="15">
        <v>1</v>
      </c>
      <c r="AA3625" t="s">
        <v>33</v>
      </c>
    </row>
    <row r="3626" spans="2:27" ht="105" x14ac:dyDescent="0.25">
      <c r="B3626" t="s">
        <v>5032</v>
      </c>
      <c r="I3626" s="1" t="s">
        <v>5060</v>
      </c>
      <c r="T3626" s="15">
        <v>1</v>
      </c>
      <c r="AA3626" t="s">
        <v>173</v>
      </c>
    </row>
    <row r="3627" spans="2:27" ht="45" x14ac:dyDescent="0.25">
      <c r="B3627" t="s">
        <v>5032</v>
      </c>
      <c r="I3627" s="1" t="s">
        <v>5061</v>
      </c>
      <c r="S3627" s="15">
        <v>1</v>
      </c>
      <c r="AA3627" t="s">
        <v>33</v>
      </c>
    </row>
    <row r="3628" spans="2:27" ht="75" x14ac:dyDescent="0.25">
      <c r="B3628" t="s">
        <v>5032</v>
      </c>
      <c r="I3628" s="1" t="s">
        <v>5062</v>
      </c>
      <c r="S3628" s="15">
        <v>1</v>
      </c>
      <c r="AA3628" t="s">
        <v>33</v>
      </c>
    </row>
    <row r="3629" spans="2:27" ht="105" x14ac:dyDescent="0.25">
      <c r="B3629" t="s">
        <v>5032</v>
      </c>
      <c r="I3629" s="1" t="s">
        <v>5063</v>
      </c>
      <c r="P3629" s="15">
        <v>1</v>
      </c>
      <c r="Y3629">
        <v>1</v>
      </c>
      <c r="AA3629" t="s">
        <v>173</v>
      </c>
    </row>
    <row r="3630" spans="2:27" ht="105" x14ac:dyDescent="0.25">
      <c r="B3630" t="s">
        <v>5032</v>
      </c>
      <c r="I3630" s="1" t="s">
        <v>5064</v>
      </c>
      <c r="P3630" s="15">
        <v>1</v>
      </c>
      <c r="T3630" s="15">
        <v>1</v>
      </c>
      <c r="Y3630">
        <v>1</v>
      </c>
      <c r="AA3630" t="s">
        <v>87</v>
      </c>
    </row>
    <row r="3631" spans="2:27" ht="75" x14ac:dyDescent="0.25">
      <c r="B3631" t="s">
        <v>5032</v>
      </c>
      <c r="I3631" s="1" t="s">
        <v>5065</v>
      </c>
      <c r="O3631" s="15">
        <v>1</v>
      </c>
      <c r="S3631" s="15">
        <v>1</v>
      </c>
      <c r="X3631" s="15">
        <v>1</v>
      </c>
      <c r="AA3631" t="s">
        <v>33</v>
      </c>
    </row>
    <row r="3632" spans="2:27" ht="105" x14ac:dyDescent="0.25">
      <c r="B3632" t="s">
        <v>5032</v>
      </c>
      <c r="I3632" s="1" t="s">
        <v>5066</v>
      </c>
      <c r="T3632" s="15">
        <v>1</v>
      </c>
      <c r="AA3632" t="s">
        <v>33</v>
      </c>
    </row>
    <row r="3633" spans="2:27" ht="105" x14ac:dyDescent="0.25">
      <c r="B3633" t="s">
        <v>5032</v>
      </c>
      <c r="I3633" s="1" t="s">
        <v>5067</v>
      </c>
      <c r="Y3633">
        <v>1</v>
      </c>
      <c r="AA3633" t="s">
        <v>173</v>
      </c>
    </row>
    <row r="3634" spans="2:27" ht="105" x14ac:dyDescent="0.25">
      <c r="B3634" t="s">
        <v>5032</v>
      </c>
      <c r="I3634" s="1" t="s">
        <v>5068</v>
      </c>
      <c r="T3634" s="15">
        <v>1</v>
      </c>
      <c r="AA3634" t="s">
        <v>87</v>
      </c>
    </row>
    <row r="3635" spans="2:27" ht="90" x14ac:dyDescent="0.25">
      <c r="B3635" t="s">
        <v>5032</v>
      </c>
      <c r="I3635" s="1" t="s">
        <v>5069</v>
      </c>
      <c r="W3635" s="15">
        <v>1</v>
      </c>
      <c r="Y3635">
        <v>1</v>
      </c>
      <c r="AA3635" t="s">
        <v>173</v>
      </c>
    </row>
    <row r="3636" spans="2:27" ht="75" x14ac:dyDescent="0.25">
      <c r="B3636" t="s">
        <v>5032</v>
      </c>
      <c r="I3636" s="1" t="s">
        <v>5070</v>
      </c>
      <c r="Q3636" s="15">
        <v>1</v>
      </c>
      <c r="V3636" s="15">
        <v>1</v>
      </c>
      <c r="AA3636" t="s">
        <v>33</v>
      </c>
    </row>
    <row r="3637" spans="2:27" ht="75" x14ac:dyDescent="0.25">
      <c r="B3637" t="s">
        <v>5032</v>
      </c>
      <c r="I3637" s="1" t="s">
        <v>5071</v>
      </c>
      <c r="W3637" s="15">
        <v>1</v>
      </c>
      <c r="AA3637" t="s">
        <v>173</v>
      </c>
    </row>
    <row r="3638" spans="2:27" x14ac:dyDescent="0.25">
      <c r="B3638" t="s">
        <v>5032</v>
      </c>
      <c r="I3638" s="1" t="s">
        <v>5072</v>
      </c>
      <c r="S3638" s="15">
        <v>1</v>
      </c>
      <c r="AA3638" t="s">
        <v>33</v>
      </c>
    </row>
    <row r="3639" spans="2:27" ht="30" x14ac:dyDescent="0.25">
      <c r="B3639" t="s">
        <v>5032</v>
      </c>
      <c r="I3639" s="1" t="s">
        <v>5073</v>
      </c>
      <c r="S3639" s="15">
        <v>1</v>
      </c>
      <c r="AA3639" t="s">
        <v>33</v>
      </c>
    </row>
    <row r="3640" spans="2:27" ht="45" x14ac:dyDescent="0.25">
      <c r="B3640" t="s">
        <v>5032</v>
      </c>
      <c r="I3640" s="1" t="s">
        <v>5074</v>
      </c>
      <c r="O3640" s="15">
        <v>1</v>
      </c>
      <c r="S3640" s="15">
        <v>1</v>
      </c>
      <c r="X3640" s="15">
        <v>1</v>
      </c>
      <c r="AA3640" t="s">
        <v>33</v>
      </c>
    </row>
    <row r="3641" spans="2:27" ht="90" x14ac:dyDescent="0.25">
      <c r="B3641" t="s">
        <v>5032</v>
      </c>
      <c r="I3641" s="1" t="s">
        <v>5075</v>
      </c>
      <c r="T3641" s="15">
        <v>1</v>
      </c>
      <c r="AA3641" t="s">
        <v>87</v>
      </c>
    </row>
    <row r="3642" spans="2:27" ht="75" x14ac:dyDescent="0.25">
      <c r="B3642" t="s">
        <v>5032</v>
      </c>
      <c r="I3642" s="1" t="s">
        <v>5076</v>
      </c>
      <c r="P3642" s="15">
        <v>1</v>
      </c>
      <c r="Q3642" s="15">
        <v>1</v>
      </c>
      <c r="AA3642" t="s">
        <v>173</v>
      </c>
    </row>
    <row r="3643" spans="2:27" ht="45" x14ac:dyDescent="0.25">
      <c r="B3643" t="s">
        <v>5077</v>
      </c>
      <c r="I3643" s="1" t="s">
        <v>5078</v>
      </c>
      <c r="T3643" s="15">
        <v>1</v>
      </c>
      <c r="AA3643" t="s">
        <v>173</v>
      </c>
    </row>
    <row r="3644" spans="2:27" x14ac:dyDescent="0.25">
      <c r="B3644" t="s">
        <v>5077</v>
      </c>
      <c r="I3644" s="1" t="s">
        <v>5079</v>
      </c>
      <c r="O3644" s="15">
        <v>1</v>
      </c>
      <c r="AA3644" t="s">
        <v>173</v>
      </c>
    </row>
    <row r="3645" spans="2:27" ht="105" x14ac:dyDescent="0.25">
      <c r="B3645" t="s">
        <v>5077</v>
      </c>
      <c r="I3645" s="1" t="s">
        <v>5080</v>
      </c>
      <c r="P3645" s="15">
        <v>1</v>
      </c>
      <c r="T3645" s="15">
        <v>1</v>
      </c>
      <c r="Y3645">
        <v>1</v>
      </c>
      <c r="AA3645" t="s">
        <v>87</v>
      </c>
    </row>
    <row r="3646" spans="2:27" ht="90" x14ac:dyDescent="0.25">
      <c r="B3646" t="s">
        <v>5077</v>
      </c>
      <c r="I3646" s="1" t="s">
        <v>5081</v>
      </c>
      <c r="W3646" s="15">
        <v>1</v>
      </c>
      <c r="X3646" s="15">
        <v>1</v>
      </c>
      <c r="AA3646" t="s">
        <v>33</v>
      </c>
    </row>
    <row r="3647" spans="2:27" ht="90" x14ac:dyDescent="0.25">
      <c r="B3647" t="s">
        <v>5082</v>
      </c>
      <c r="I3647" s="1" t="s">
        <v>5083</v>
      </c>
      <c r="W3647" s="15">
        <v>1</v>
      </c>
      <c r="AA3647" t="s">
        <v>87</v>
      </c>
    </row>
    <row r="3648" spans="2:27" ht="45" x14ac:dyDescent="0.25">
      <c r="B3648" t="s">
        <v>5082</v>
      </c>
      <c r="I3648" s="1" t="s">
        <v>5084</v>
      </c>
      <c r="O3648" s="15">
        <v>1</v>
      </c>
      <c r="S3648" s="15">
        <v>1</v>
      </c>
      <c r="AA3648" t="s">
        <v>33</v>
      </c>
    </row>
    <row r="3649" spans="2:27" ht="45" x14ac:dyDescent="0.25">
      <c r="B3649" t="s">
        <v>5082</v>
      </c>
      <c r="I3649" s="1" t="s">
        <v>5085</v>
      </c>
      <c r="Q3649" s="15">
        <v>1</v>
      </c>
      <c r="V3649" s="15">
        <v>1</v>
      </c>
      <c r="AA3649" t="s">
        <v>87</v>
      </c>
    </row>
    <row r="3650" spans="2:27" ht="105" x14ac:dyDescent="0.25">
      <c r="B3650" t="s">
        <v>5082</v>
      </c>
      <c r="I3650" s="1" t="s">
        <v>5086</v>
      </c>
      <c r="Y3650">
        <v>1</v>
      </c>
      <c r="AA3650" t="s">
        <v>87</v>
      </c>
    </row>
    <row r="3651" spans="2:27" ht="90" x14ac:dyDescent="0.25">
      <c r="B3651" t="s">
        <v>5082</v>
      </c>
      <c r="I3651" s="1" t="s">
        <v>5087</v>
      </c>
      <c r="P3651" s="15">
        <v>1</v>
      </c>
      <c r="Y3651">
        <v>1</v>
      </c>
      <c r="AA3651" t="s">
        <v>173</v>
      </c>
    </row>
    <row r="3652" spans="2:27" ht="120" x14ac:dyDescent="0.25">
      <c r="B3652" t="s">
        <v>5082</v>
      </c>
      <c r="I3652" s="1" t="s">
        <v>5088</v>
      </c>
      <c r="V3652" s="15">
        <v>1</v>
      </c>
      <c r="AA3652" t="s">
        <v>87</v>
      </c>
    </row>
    <row r="3653" spans="2:27" ht="75" x14ac:dyDescent="0.25">
      <c r="B3653" t="s">
        <v>5089</v>
      </c>
      <c r="I3653" s="1" t="s">
        <v>5090</v>
      </c>
      <c r="T3653" s="15">
        <v>1</v>
      </c>
      <c r="AA3653" t="s">
        <v>33</v>
      </c>
    </row>
    <row r="3654" spans="2:27" ht="45" x14ac:dyDescent="0.25">
      <c r="B3654" t="s">
        <v>5089</v>
      </c>
      <c r="I3654" s="1" t="s">
        <v>5091</v>
      </c>
      <c r="S3654" s="15">
        <v>1</v>
      </c>
      <c r="AA3654" t="s">
        <v>33</v>
      </c>
    </row>
    <row r="3655" spans="2:27" ht="90" x14ac:dyDescent="0.25">
      <c r="B3655" t="s">
        <v>5089</v>
      </c>
      <c r="I3655" s="1" t="s">
        <v>5092</v>
      </c>
      <c r="Y3655">
        <v>1</v>
      </c>
      <c r="AA3655" t="s">
        <v>173</v>
      </c>
    </row>
    <row r="3656" spans="2:27" ht="105" x14ac:dyDescent="0.25">
      <c r="B3656" t="s">
        <v>5089</v>
      </c>
      <c r="I3656" s="1" t="s">
        <v>5093</v>
      </c>
      <c r="V3656" s="15">
        <v>1</v>
      </c>
      <c r="AA3656" t="s">
        <v>87</v>
      </c>
    </row>
    <row r="3657" spans="2:27" ht="45" x14ac:dyDescent="0.25">
      <c r="B3657" t="s">
        <v>5089</v>
      </c>
      <c r="I3657" s="1" t="s">
        <v>5094</v>
      </c>
      <c r="S3657" s="15">
        <v>1</v>
      </c>
      <c r="AA3657" t="s">
        <v>33</v>
      </c>
    </row>
    <row r="3658" spans="2:27" ht="105" x14ac:dyDescent="0.25">
      <c r="B3658" t="s">
        <v>5089</v>
      </c>
      <c r="I3658" s="27" t="s">
        <v>5095</v>
      </c>
      <c r="N3658" s="15">
        <v>1</v>
      </c>
      <c r="AA3658" t="s">
        <v>173</v>
      </c>
    </row>
    <row r="3659" spans="2:27" ht="105" x14ac:dyDescent="0.25">
      <c r="B3659" t="s">
        <v>5089</v>
      </c>
      <c r="I3659" s="1" t="s">
        <v>5096</v>
      </c>
      <c r="S3659" s="15">
        <v>1</v>
      </c>
      <c r="AA3659" t="s">
        <v>33</v>
      </c>
    </row>
    <row r="3660" spans="2:27" ht="90" x14ac:dyDescent="0.25">
      <c r="B3660" t="s">
        <v>5089</v>
      </c>
      <c r="I3660" s="1" t="s">
        <v>5097</v>
      </c>
      <c r="T3660" s="15">
        <v>1</v>
      </c>
      <c r="Y3660">
        <v>1</v>
      </c>
      <c r="AA3660" t="s">
        <v>87</v>
      </c>
    </row>
    <row r="3661" spans="2:27" ht="105" x14ac:dyDescent="0.25">
      <c r="B3661" t="s">
        <v>5089</v>
      </c>
      <c r="I3661" s="1" t="s">
        <v>5098</v>
      </c>
      <c r="T3661" s="15">
        <v>1</v>
      </c>
      <c r="AA3661" t="s">
        <v>87</v>
      </c>
    </row>
    <row r="3662" spans="2:27" ht="75" x14ac:dyDescent="0.25">
      <c r="B3662" t="s">
        <v>5089</v>
      </c>
      <c r="I3662" s="1" t="s">
        <v>5099</v>
      </c>
      <c r="S3662" s="15">
        <v>1</v>
      </c>
      <c r="AA3662" t="s">
        <v>33</v>
      </c>
    </row>
    <row r="3663" spans="2:27" ht="45" x14ac:dyDescent="0.25">
      <c r="B3663" t="s">
        <v>5089</v>
      </c>
      <c r="I3663" s="1" t="s">
        <v>5100</v>
      </c>
      <c r="S3663" s="15">
        <v>1</v>
      </c>
      <c r="AA3663" t="s">
        <v>173</v>
      </c>
    </row>
    <row r="3664" spans="2:27" ht="90" x14ac:dyDescent="0.25">
      <c r="B3664" t="s">
        <v>5089</v>
      </c>
      <c r="I3664" s="1" t="s">
        <v>5101</v>
      </c>
      <c r="T3664" s="15">
        <v>1</v>
      </c>
      <c r="AA3664" t="s">
        <v>173</v>
      </c>
    </row>
    <row r="3665" spans="2:27" ht="30" x14ac:dyDescent="0.25">
      <c r="B3665" t="s">
        <v>5089</v>
      </c>
      <c r="I3665" s="1" t="s">
        <v>5102</v>
      </c>
      <c r="P3665" s="15">
        <v>1</v>
      </c>
      <c r="AA3665" t="s">
        <v>87</v>
      </c>
    </row>
    <row r="3666" spans="2:27" ht="30" x14ac:dyDescent="0.25">
      <c r="B3666" t="s">
        <v>5089</v>
      </c>
      <c r="I3666" s="1" t="s">
        <v>5103</v>
      </c>
      <c r="P3666" s="15">
        <v>1</v>
      </c>
      <c r="AA3666" t="s">
        <v>173</v>
      </c>
    </row>
    <row r="3667" spans="2:27" ht="45" x14ac:dyDescent="0.25">
      <c r="B3667" t="s">
        <v>5089</v>
      </c>
      <c r="I3667" s="27" t="s">
        <v>5104</v>
      </c>
      <c r="Q3667" s="15">
        <v>1</v>
      </c>
      <c r="V3667" s="15">
        <v>1</v>
      </c>
      <c r="AA3667" t="s">
        <v>173</v>
      </c>
    </row>
    <row r="3668" spans="2:27" ht="105" x14ac:dyDescent="0.25">
      <c r="B3668" t="s">
        <v>5089</v>
      </c>
      <c r="I3668" s="1" t="s">
        <v>5105</v>
      </c>
      <c r="O3668" s="15">
        <v>1</v>
      </c>
      <c r="S3668" s="15">
        <v>1</v>
      </c>
      <c r="AA3668" t="s">
        <v>33</v>
      </c>
    </row>
    <row r="3669" spans="2:27" ht="30" x14ac:dyDescent="0.25">
      <c r="B3669" t="s">
        <v>5089</v>
      </c>
      <c r="I3669" s="1" t="s">
        <v>5106</v>
      </c>
      <c r="Q3669" s="15">
        <v>1</v>
      </c>
      <c r="V3669" s="15">
        <v>1</v>
      </c>
      <c r="AA3669" t="s">
        <v>173</v>
      </c>
    </row>
    <row r="3670" spans="2:27" ht="105" x14ac:dyDescent="0.25">
      <c r="B3670" t="s">
        <v>5089</v>
      </c>
      <c r="I3670" s="1" t="s">
        <v>5107</v>
      </c>
      <c r="W3670" s="15">
        <v>1</v>
      </c>
      <c r="AA3670" t="s">
        <v>87</v>
      </c>
    </row>
    <row r="3671" spans="2:27" ht="75" x14ac:dyDescent="0.25">
      <c r="B3671" t="s">
        <v>5089</v>
      </c>
      <c r="I3671" s="1" t="s">
        <v>5108</v>
      </c>
      <c r="S3671" s="15">
        <v>1</v>
      </c>
      <c r="AA3671" t="s">
        <v>33</v>
      </c>
    </row>
    <row r="3672" spans="2:27" ht="75" x14ac:dyDescent="0.25">
      <c r="B3672" t="s">
        <v>5089</v>
      </c>
      <c r="I3672" s="1" t="s">
        <v>5109</v>
      </c>
      <c r="Q3672" s="15">
        <v>1</v>
      </c>
      <c r="V3672" s="15">
        <v>1</v>
      </c>
      <c r="AA3672" t="s">
        <v>173</v>
      </c>
    </row>
    <row r="3673" spans="2:27" ht="105" x14ac:dyDescent="0.25">
      <c r="B3673" t="s">
        <v>5089</v>
      </c>
      <c r="I3673" s="1" t="s">
        <v>5110</v>
      </c>
      <c r="O3673" s="15">
        <v>1</v>
      </c>
      <c r="S3673" s="15">
        <v>1</v>
      </c>
      <c r="X3673" s="15">
        <v>1</v>
      </c>
      <c r="AA3673" t="s">
        <v>33</v>
      </c>
    </row>
    <row r="3674" spans="2:27" ht="45" x14ac:dyDescent="0.25">
      <c r="B3674" t="s">
        <v>5089</v>
      </c>
      <c r="I3674" s="1" t="s">
        <v>5111</v>
      </c>
      <c r="W3674" s="15">
        <v>1</v>
      </c>
      <c r="AA3674" t="s">
        <v>87</v>
      </c>
    </row>
    <row r="3675" spans="2:27" ht="105" x14ac:dyDescent="0.25">
      <c r="B3675" t="s">
        <v>5089</v>
      </c>
      <c r="I3675" s="1" t="s">
        <v>5112</v>
      </c>
      <c r="Y3675">
        <v>1</v>
      </c>
      <c r="AA3675" t="s">
        <v>87</v>
      </c>
    </row>
    <row r="3676" spans="2:27" ht="45" x14ac:dyDescent="0.25">
      <c r="B3676" t="s">
        <v>5089</v>
      </c>
      <c r="I3676" s="1" t="s">
        <v>5113</v>
      </c>
      <c r="T3676" s="15">
        <v>1</v>
      </c>
      <c r="AA3676" t="s">
        <v>173</v>
      </c>
    </row>
    <row r="3677" spans="2:27" ht="30" x14ac:dyDescent="0.25">
      <c r="B3677" t="s">
        <v>5089</v>
      </c>
      <c r="I3677" s="1" t="s">
        <v>5114</v>
      </c>
      <c r="S3677" s="15">
        <v>1</v>
      </c>
      <c r="AA3677" t="s">
        <v>33</v>
      </c>
    </row>
    <row r="3678" spans="2:27" x14ac:dyDescent="0.25">
      <c r="B3678" t="s">
        <v>5089</v>
      </c>
      <c r="I3678" s="1" t="s">
        <v>5115</v>
      </c>
      <c r="S3678" s="15">
        <v>1</v>
      </c>
      <c r="AA3678" t="s">
        <v>33</v>
      </c>
    </row>
    <row r="3679" spans="2:27" ht="90" x14ac:dyDescent="0.25">
      <c r="B3679" t="s">
        <v>5116</v>
      </c>
      <c r="I3679" s="1" t="s">
        <v>5117</v>
      </c>
      <c r="T3679" s="15">
        <v>1</v>
      </c>
      <c r="AA3679" t="s">
        <v>87</v>
      </c>
    </row>
    <row r="3680" spans="2:27" ht="90" x14ac:dyDescent="0.25">
      <c r="B3680" t="s">
        <v>5116</v>
      </c>
      <c r="I3680" s="1" t="s">
        <v>5118</v>
      </c>
      <c r="W3680" s="15">
        <v>1</v>
      </c>
      <c r="AA3680" t="s">
        <v>87</v>
      </c>
    </row>
    <row r="3681" spans="2:27" ht="30" x14ac:dyDescent="0.25">
      <c r="B3681" t="s">
        <v>5116</v>
      </c>
      <c r="I3681" s="1" t="s">
        <v>5119</v>
      </c>
      <c r="T3681" s="15">
        <v>1</v>
      </c>
      <c r="AA3681" t="s">
        <v>87</v>
      </c>
    </row>
    <row r="3682" spans="2:27" ht="75" x14ac:dyDescent="0.25">
      <c r="B3682" t="s">
        <v>5116</v>
      </c>
      <c r="I3682" s="1" t="s">
        <v>5120</v>
      </c>
      <c r="P3682" s="15">
        <v>1</v>
      </c>
      <c r="R3682" s="15">
        <v>1</v>
      </c>
      <c r="AA3682" t="s">
        <v>33</v>
      </c>
    </row>
    <row r="3683" spans="2:27" ht="105" x14ac:dyDescent="0.25">
      <c r="B3683" t="s">
        <v>5116</v>
      </c>
      <c r="I3683" s="1" t="s">
        <v>5121</v>
      </c>
      <c r="T3683" s="15">
        <v>1</v>
      </c>
      <c r="AA3683" t="s">
        <v>87</v>
      </c>
    </row>
    <row r="3684" spans="2:27" ht="60" x14ac:dyDescent="0.25">
      <c r="B3684" t="s">
        <v>5116</v>
      </c>
      <c r="I3684" s="1" t="s">
        <v>5122</v>
      </c>
      <c r="T3684" s="15">
        <v>1</v>
      </c>
      <c r="AA3684" t="s">
        <v>33</v>
      </c>
    </row>
    <row r="3685" spans="2:27" ht="120" x14ac:dyDescent="0.25">
      <c r="B3685" t="s">
        <v>5116</v>
      </c>
      <c r="I3685" s="1" t="s">
        <v>5123</v>
      </c>
      <c r="S3685" s="15">
        <v>1</v>
      </c>
      <c r="AA3685" t="s">
        <v>33</v>
      </c>
    </row>
    <row r="3686" spans="2:27" ht="60" x14ac:dyDescent="0.25">
      <c r="B3686" t="s">
        <v>5116</v>
      </c>
      <c r="I3686" s="1" t="s">
        <v>5124</v>
      </c>
      <c r="N3686" s="15">
        <v>1</v>
      </c>
      <c r="Q3686" s="15">
        <v>1</v>
      </c>
      <c r="AA3686" t="s">
        <v>87</v>
      </c>
    </row>
    <row r="3687" spans="2:27" ht="105" x14ac:dyDescent="0.25">
      <c r="B3687" t="s">
        <v>5116</v>
      </c>
      <c r="I3687" s="1" t="s">
        <v>5125</v>
      </c>
      <c r="O3687" s="15">
        <v>1</v>
      </c>
      <c r="S3687" s="15">
        <v>1</v>
      </c>
      <c r="AA3687" t="s">
        <v>33</v>
      </c>
    </row>
    <row r="3688" spans="2:27" ht="45" x14ac:dyDescent="0.25">
      <c r="B3688" t="s">
        <v>5116</v>
      </c>
      <c r="I3688" s="1" t="s">
        <v>5126</v>
      </c>
      <c r="O3688" s="15">
        <v>1</v>
      </c>
      <c r="S3688" s="15">
        <v>1</v>
      </c>
      <c r="X3688" s="15">
        <v>1</v>
      </c>
      <c r="AA3688" t="s">
        <v>33</v>
      </c>
    </row>
    <row r="3689" spans="2:27" ht="30" x14ac:dyDescent="0.25">
      <c r="B3689" t="s">
        <v>5116</v>
      </c>
      <c r="I3689" s="1" t="s">
        <v>5127</v>
      </c>
      <c r="Y3689">
        <v>1</v>
      </c>
      <c r="AA3689" t="s">
        <v>87</v>
      </c>
    </row>
    <row r="3690" spans="2:27" ht="75" x14ac:dyDescent="0.25">
      <c r="B3690" t="s">
        <v>5116</v>
      </c>
      <c r="I3690" s="1" t="s">
        <v>5128</v>
      </c>
      <c r="T3690" s="15">
        <v>1</v>
      </c>
      <c r="W3690" s="15">
        <v>1</v>
      </c>
      <c r="AA3690" t="s">
        <v>87</v>
      </c>
    </row>
    <row r="3691" spans="2:27" ht="90" x14ac:dyDescent="0.25">
      <c r="B3691" t="s">
        <v>5116</v>
      </c>
      <c r="I3691" s="1" t="s">
        <v>5129</v>
      </c>
      <c r="S3691" s="15">
        <v>1</v>
      </c>
      <c r="AA3691" t="s">
        <v>33</v>
      </c>
    </row>
    <row r="3692" spans="2:27" ht="30" x14ac:dyDescent="0.25">
      <c r="B3692" t="s">
        <v>5116</v>
      </c>
      <c r="I3692" s="27" t="s">
        <v>5130</v>
      </c>
      <c r="P3692" s="15">
        <v>1</v>
      </c>
      <c r="Y3692">
        <v>1</v>
      </c>
      <c r="AA3692" t="s">
        <v>87</v>
      </c>
    </row>
    <row r="3693" spans="2:27" ht="60" x14ac:dyDescent="0.25">
      <c r="B3693" t="s">
        <v>5116</v>
      </c>
      <c r="I3693" s="1" t="s">
        <v>5131</v>
      </c>
      <c r="S3693" s="15">
        <v>1</v>
      </c>
      <c r="AA3693" t="s">
        <v>33</v>
      </c>
    </row>
    <row r="3694" spans="2:27" ht="90" x14ac:dyDescent="0.25">
      <c r="B3694" t="s">
        <v>5116</v>
      </c>
      <c r="I3694" s="1" t="s">
        <v>5132</v>
      </c>
      <c r="W3694" s="15">
        <v>1</v>
      </c>
      <c r="AA3694" t="s">
        <v>87</v>
      </c>
    </row>
    <row r="3695" spans="2:27" x14ac:dyDescent="0.25">
      <c r="B3695" t="s">
        <v>5116</v>
      </c>
      <c r="I3695" s="1" t="s">
        <v>5133</v>
      </c>
      <c r="Q3695" s="15">
        <v>1</v>
      </c>
      <c r="AA3695" t="s">
        <v>87</v>
      </c>
    </row>
    <row r="3696" spans="2:27" ht="105" x14ac:dyDescent="0.25">
      <c r="B3696" t="s">
        <v>5116</v>
      </c>
      <c r="I3696" s="27" t="s">
        <v>5134</v>
      </c>
      <c r="W3696" s="15">
        <v>1</v>
      </c>
      <c r="Y3696">
        <v>1</v>
      </c>
      <c r="AA3696" t="s">
        <v>87</v>
      </c>
    </row>
    <row r="3697" spans="2:27" x14ac:dyDescent="0.25">
      <c r="B3697" t="s">
        <v>5116</v>
      </c>
      <c r="I3697" s="1" t="s">
        <v>5135</v>
      </c>
      <c r="P3697" s="15">
        <v>1</v>
      </c>
      <c r="R3697" s="15">
        <v>1</v>
      </c>
      <c r="AA3697" t="s">
        <v>87</v>
      </c>
    </row>
    <row r="3698" spans="2:27" ht="45" x14ac:dyDescent="0.25">
      <c r="B3698" t="s">
        <v>5116</v>
      </c>
      <c r="I3698" s="1" t="s">
        <v>5136</v>
      </c>
      <c r="S3698" s="15">
        <v>1</v>
      </c>
      <c r="AA3698" t="s">
        <v>33</v>
      </c>
    </row>
    <row r="3699" spans="2:27" x14ac:dyDescent="0.25">
      <c r="B3699" t="s">
        <v>5116</v>
      </c>
      <c r="I3699" s="1" t="s">
        <v>5137</v>
      </c>
      <c r="Q3699" s="15">
        <v>1</v>
      </c>
      <c r="AA3699" t="s">
        <v>87</v>
      </c>
    </row>
    <row r="3700" spans="2:27" ht="45" x14ac:dyDescent="0.25">
      <c r="B3700" t="s">
        <v>5116</v>
      </c>
      <c r="I3700" s="1" t="s">
        <v>5138</v>
      </c>
      <c r="S3700" s="15">
        <v>1</v>
      </c>
      <c r="AA3700" t="s">
        <v>33</v>
      </c>
    </row>
    <row r="3701" spans="2:27" ht="105" x14ac:dyDescent="0.25">
      <c r="B3701" t="s">
        <v>5116</v>
      </c>
      <c r="I3701" s="1" t="s">
        <v>5139</v>
      </c>
      <c r="T3701" s="15">
        <v>1</v>
      </c>
      <c r="AA3701" t="s">
        <v>87</v>
      </c>
    </row>
    <row r="3702" spans="2:27" ht="105" x14ac:dyDescent="0.25">
      <c r="B3702" t="s">
        <v>5116</v>
      </c>
      <c r="I3702" s="1" t="s">
        <v>5140</v>
      </c>
      <c r="T3702" s="15">
        <v>1</v>
      </c>
      <c r="Y3702">
        <v>1</v>
      </c>
      <c r="AA3702" t="s">
        <v>87</v>
      </c>
    </row>
    <row r="3703" spans="2:27" ht="90" x14ac:dyDescent="0.25">
      <c r="B3703" t="s">
        <v>5116</v>
      </c>
      <c r="I3703" s="1" t="s">
        <v>5141</v>
      </c>
      <c r="P3703" s="15">
        <v>1</v>
      </c>
      <c r="Q3703" s="15">
        <v>1</v>
      </c>
      <c r="V3703" s="15">
        <v>1</v>
      </c>
      <c r="AA3703" t="s">
        <v>87</v>
      </c>
    </row>
    <row r="3704" spans="2:27" ht="45" x14ac:dyDescent="0.25">
      <c r="B3704" t="s">
        <v>5116</v>
      </c>
      <c r="I3704" s="1" t="s">
        <v>5142</v>
      </c>
      <c r="S3704" s="15">
        <v>1</v>
      </c>
      <c r="AA3704" t="s">
        <v>33</v>
      </c>
    </row>
    <row r="3705" spans="2:27" ht="30" x14ac:dyDescent="0.25">
      <c r="B3705" t="s">
        <v>5116</v>
      </c>
      <c r="I3705" s="1" t="s">
        <v>5143</v>
      </c>
      <c r="R3705" s="15">
        <v>1</v>
      </c>
      <c r="AA3705" t="s">
        <v>87</v>
      </c>
    </row>
    <row r="3706" spans="2:27" ht="60" x14ac:dyDescent="0.25">
      <c r="B3706" t="s">
        <v>5116</v>
      </c>
      <c r="I3706" s="1" t="s">
        <v>5144</v>
      </c>
      <c r="O3706" s="15">
        <v>1</v>
      </c>
      <c r="S3706" s="15">
        <v>1</v>
      </c>
      <c r="AA3706" t="s">
        <v>87</v>
      </c>
    </row>
    <row r="3707" spans="2:27" ht="45" x14ac:dyDescent="0.25">
      <c r="B3707" t="s">
        <v>5116</v>
      </c>
      <c r="I3707" s="1" t="s">
        <v>5145</v>
      </c>
      <c r="P3707" s="15">
        <v>1</v>
      </c>
      <c r="Y3707">
        <v>1</v>
      </c>
      <c r="AA3707" t="s">
        <v>87</v>
      </c>
    </row>
    <row r="3708" spans="2:27" ht="105" x14ac:dyDescent="0.25">
      <c r="B3708" t="s">
        <v>5116</v>
      </c>
      <c r="I3708" s="1" t="s">
        <v>5146</v>
      </c>
      <c r="W3708" s="15">
        <v>1</v>
      </c>
      <c r="AA3708" t="s">
        <v>87</v>
      </c>
    </row>
    <row r="3709" spans="2:27" ht="75" x14ac:dyDescent="0.25">
      <c r="B3709" t="s">
        <v>5116</v>
      </c>
      <c r="I3709" s="1" t="s">
        <v>5147</v>
      </c>
      <c r="W3709" s="15">
        <v>1</v>
      </c>
      <c r="Y3709">
        <v>1</v>
      </c>
      <c r="AA3709" t="s">
        <v>87</v>
      </c>
    </row>
    <row r="3710" spans="2:27" ht="30" x14ac:dyDescent="0.25">
      <c r="B3710" t="s">
        <v>5116</v>
      </c>
      <c r="I3710" s="1" t="s">
        <v>5148</v>
      </c>
      <c r="O3710" s="15">
        <v>1</v>
      </c>
      <c r="S3710" s="15">
        <v>1</v>
      </c>
      <c r="AA3710" t="s">
        <v>33</v>
      </c>
    </row>
    <row r="3711" spans="2:27" ht="75" x14ac:dyDescent="0.25">
      <c r="B3711" t="s">
        <v>5116</v>
      </c>
      <c r="I3711" s="1" t="s">
        <v>5149</v>
      </c>
      <c r="O3711" s="15">
        <v>1</v>
      </c>
      <c r="S3711" s="15">
        <v>1</v>
      </c>
      <c r="AA3711" t="s">
        <v>33</v>
      </c>
    </row>
    <row r="3712" spans="2:27" ht="105" x14ac:dyDescent="0.25">
      <c r="B3712" t="s">
        <v>5150</v>
      </c>
      <c r="I3712" s="1" t="s">
        <v>5151</v>
      </c>
      <c r="N3712" s="15">
        <v>1</v>
      </c>
      <c r="T3712" s="15">
        <v>1</v>
      </c>
      <c r="AA3712" t="s">
        <v>33</v>
      </c>
    </row>
    <row r="3713" spans="2:27" ht="75" x14ac:dyDescent="0.25">
      <c r="B3713" t="s">
        <v>5150</v>
      </c>
      <c r="I3713" s="27" t="s">
        <v>5152</v>
      </c>
      <c r="N3713" s="15">
        <v>1</v>
      </c>
      <c r="AA3713" t="s">
        <v>87</v>
      </c>
    </row>
    <row r="3714" spans="2:27" ht="30" x14ac:dyDescent="0.25">
      <c r="B3714" t="s">
        <v>5150</v>
      </c>
      <c r="I3714" s="1" t="s">
        <v>5153</v>
      </c>
      <c r="R3714" s="15">
        <v>1</v>
      </c>
      <c r="S3714" s="15">
        <v>1</v>
      </c>
      <c r="AA3714" t="s">
        <v>33</v>
      </c>
    </row>
    <row r="3715" spans="2:27" ht="60" x14ac:dyDescent="0.25">
      <c r="B3715" t="s">
        <v>5150</v>
      </c>
      <c r="I3715" s="1" t="s">
        <v>5154</v>
      </c>
      <c r="O3715" s="15">
        <v>1</v>
      </c>
      <c r="S3715" s="15">
        <v>1</v>
      </c>
      <c r="X3715" s="15">
        <v>1</v>
      </c>
      <c r="AA3715" t="s">
        <v>33</v>
      </c>
    </row>
    <row r="3716" spans="2:27" ht="60" x14ac:dyDescent="0.25">
      <c r="B3716" t="s">
        <v>5155</v>
      </c>
      <c r="I3716" s="1" t="s">
        <v>5156</v>
      </c>
      <c r="N3716" s="15">
        <v>1</v>
      </c>
      <c r="Q3716" s="15">
        <v>1</v>
      </c>
      <c r="V3716" s="15">
        <v>1</v>
      </c>
      <c r="AA3716" t="s">
        <v>87</v>
      </c>
    </row>
    <row r="3717" spans="2:27" ht="30" x14ac:dyDescent="0.25">
      <c r="B3717" t="s">
        <v>5155</v>
      </c>
      <c r="I3717" s="1" t="s">
        <v>5157</v>
      </c>
      <c r="T3717" s="15">
        <v>1</v>
      </c>
      <c r="Y3717">
        <v>1</v>
      </c>
      <c r="AA3717" t="s">
        <v>87</v>
      </c>
    </row>
    <row r="3718" spans="2:27" ht="105" x14ac:dyDescent="0.25">
      <c r="B3718" t="s">
        <v>5155</v>
      </c>
      <c r="I3718" s="1" t="s">
        <v>5158</v>
      </c>
      <c r="W3718" s="15">
        <v>1</v>
      </c>
      <c r="AA3718" t="s">
        <v>173</v>
      </c>
    </row>
    <row r="3719" spans="2:27" ht="105" x14ac:dyDescent="0.25">
      <c r="B3719" t="s">
        <v>5155</v>
      </c>
      <c r="I3719" s="1" t="s">
        <v>5159</v>
      </c>
      <c r="T3719" s="15">
        <v>1</v>
      </c>
      <c r="AA3719" t="s">
        <v>87</v>
      </c>
    </row>
    <row r="3720" spans="2:27" ht="105" x14ac:dyDescent="0.25">
      <c r="B3720" t="s">
        <v>5155</v>
      </c>
      <c r="I3720" s="1" t="s">
        <v>5160</v>
      </c>
      <c r="O3720" s="15">
        <v>1</v>
      </c>
      <c r="S3720" s="15">
        <v>1</v>
      </c>
      <c r="AA3720" t="s">
        <v>33</v>
      </c>
    </row>
    <row r="3721" spans="2:27" ht="105" x14ac:dyDescent="0.25">
      <c r="B3721" t="s">
        <v>5155</v>
      </c>
      <c r="I3721" s="1" t="s">
        <v>5161</v>
      </c>
      <c r="S3721" s="15">
        <v>1</v>
      </c>
      <c r="X3721" s="15">
        <v>1</v>
      </c>
      <c r="AA3721" t="s">
        <v>33</v>
      </c>
    </row>
    <row r="3722" spans="2:27" ht="105" x14ac:dyDescent="0.25">
      <c r="B3722" t="s">
        <v>5155</v>
      </c>
      <c r="I3722" s="27" t="s">
        <v>5162</v>
      </c>
      <c r="Q3722" s="15">
        <v>1</v>
      </c>
      <c r="V3722" s="15">
        <v>1</v>
      </c>
      <c r="AA3722" t="s">
        <v>87</v>
      </c>
    </row>
    <row r="3723" spans="2:27" ht="75" x14ac:dyDescent="0.25">
      <c r="B3723" t="s">
        <v>5155</v>
      </c>
      <c r="I3723" s="27" t="s">
        <v>5163</v>
      </c>
      <c r="N3723" s="15">
        <v>1</v>
      </c>
      <c r="V3723" s="15">
        <v>1</v>
      </c>
      <c r="AA3723" t="s">
        <v>87</v>
      </c>
    </row>
    <row r="3724" spans="2:27" ht="60" x14ac:dyDescent="0.25">
      <c r="B3724" t="s">
        <v>5155</v>
      </c>
      <c r="I3724" s="1" t="s">
        <v>5164</v>
      </c>
      <c r="T3724" s="15">
        <v>1</v>
      </c>
      <c r="Y3724">
        <v>1</v>
      </c>
      <c r="AA3724" t="s">
        <v>173</v>
      </c>
    </row>
    <row r="3725" spans="2:27" ht="30" x14ac:dyDescent="0.25">
      <c r="B3725" t="s">
        <v>5155</v>
      </c>
      <c r="I3725" s="1" t="s">
        <v>5165</v>
      </c>
      <c r="O3725" s="15">
        <v>1</v>
      </c>
      <c r="S3725" s="15">
        <v>1</v>
      </c>
      <c r="AA3725" t="s">
        <v>33</v>
      </c>
    </row>
    <row r="3726" spans="2:27" ht="45" x14ac:dyDescent="0.25">
      <c r="B3726" t="s">
        <v>5155</v>
      </c>
      <c r="I3726" s="1" t="s">
        <v>5166</v>
      </c>
      <c r="V3726" s="15">
        <v>1</v>
      </c>
      <c r="AA3726" t="s">
        <v>33</v>
      </c>
    </row>
    <row r="3727" spans="2:27" ht="30" x14ac:dyDescent="0.25">
      <c r="B3727" t="s">
        <v>5155</v>
      </c>
      <c r="I3727" s="1" t="s">
        <v>5167</v>
      </c>
      <c r="S3727" s="15">
        <v>1</v>
      </c>
      <c r="AA3727" t="s">
        <v>33</v>
      </c>
    </row>
    <row r="3728" spans="2:27" ht="60" x14ac:dyDescent="0.25">
      <c r="B3728" t="s">
        <v>5155</v>
      </c>
      <c r="I3728" s="1" t="s">
        <v>5168</v>
      </c>
      <c r="O3728" s="15">
        <v>1</v>
      </c>
      <c r="S3728" s="15">
        <v>1</v>
      </c>
      <c r="AA3728" t="s">
        <v>33</v>
      </c>
    </row>
    <row r="3729" spans="2:27" ht="45" x14ac:dyDescent="0.25">
      <c r="B3729" t="s">
        <v>5155</v>
      </c>
      <c r="I3729" s="1" t="s">
        <v>5169</v>
      </c>
      <c r="W3729" s="15">
        <v>1</v>
      </c>
      <c r="AA3729" t="s">
        <v>173</v>
      </c>
    </row>
    <row r="3730" spans="2:27" ht="135" x14ac:dyDescent="0.25">
      <c r="B3730" t="s">
        <v>5155</v>
      </c>
      <c r="I3730" s="1" t="s">
        <v>5170</v>
      </c>
      <c r="S3730" s="15">
        <v>1</v>
      </c>
      <c r="AA3730" t="s">
        <v>33</v>
      </c>
    </row>
    <row r="3731" spans="2:27" ht="75" x14ac:dyDescent="0.25">
      <c r="B3731" t="s">
        <v>5171</v>
      </c>
      <c r="I3731" s="1" t="s">
        <v>5172</v>
      </c>
      <c r="P3731" s="15">
        <v>1</v>
      </c>
      <c r="Q3731" s="15">
        <v>1</v>
      </c>
      <c r="V3731" s="15">
        <v>1</v>
      </c>
      <c r="AA3731" t="s">
        <v>173</v>
      </c>
    </row>
    <row r="3732" spans="2:27" ht="90" x14ac:dyDescent="0.25">
      <c r="B3732" t="s">
        <v>5171</v>
      </c>
      <c r="I3732" s="1" t="s">
        <v>5173</v>
      </c>
      <c r="N3732" s="15">
        <v>1</v>
      </c>
      <c r="AA3732" t="s">
        <v>87</v>
      </c>
    </row>
    <row r="3733" spans="2:27" ht="30" x14ac:dyDescent="0.25">
      <c r="B3733" t="s">
        <v>5171</v>
      </c>
      <c r="I3733" s="1" t="s">
        <v>5174</v>
      </c>
      <c r="S3733" s="15">
        <v>1</v>
      </c>
      <c r="AA3733" t="s">
        <v>33</v>
      </c>
    </row>
    <row r="3734" spans="2:27" ht="45" x14ac:dyDescent="0.25">
      <c r="B3734" t="s">
        <v>5171</v>
      </c>
      <c r="I3734" s="1" t="s">
        <v>5175</v>
      </c>
      <c r="N3734" s="15">
        <v>1</v>
      </c>
      <c r="Q3734" s="15">
        <v>1</v>
      </c>
      <c r="V3734" s="15">
        <v>1</v>
      </c>
      <c r="AA3734" t="s">
        <v>173</v>
      </c>
    </row>
    <row r="3735" spans="2:27" ht="60" x14ac:dyDescent="0.25">
      <c r="B3735" t="s">
        <v>5171</v>
      </c>
      <c r="I3735" s="1" t="s">
        <v>5176</v>
      </c>
      <c r="O3735" s="15">
        <v>1</v>
      </c>
      <c r="S3735" s="15">
        <v>1</v>
      </c>
      <c r="X3735" s="15">
        <v>1</v>
      </c>
      <c r="AA3735" t="s">
        <v>33</v>
      </c>
    </row>
    <row r="3736" spans="2:27" ht="75" x14ac:dyDescent="0.25">
      <c r="B3736" t="s">
        <v>5171</v>
      </c>
      <c r="I3736" s="1" t="s">
        <v>5177</v>
      </c>
      <c r="R3736" s="15">
        <v>1</v>
      </c>
      <c r="V3736" s="15">
        <v>1</v>
      </c>
      <c r="AA3736" t="s">
        <v>87</v>
      </c>
    </row>
    <row r="3737" spans="2:27" ht="30" x14ac:dyDescent="0.25">
      <c r="B3737" t="s">
        <v>5171</v>
      </c>
      <c r="I3737" s="1" t="s">
        <v>5178</v>
      </c>
      <c r="S3737" s="15">
        <v>1</v>
      </c>
      <c r="AA3737" t="s">
        <v>33</v>
      </c>
    </row>
    <row r="3738" spans="2:27" ht="75" x14ac:dyDescent="0.25">
      <c r="B3738" t="s">
        <v>5171</v>
      </c>
      <c r="I3738" s="1" t="s">
        <v>5179</v>
      </c>
      <c r="S3738" s="15">
        <v>1</v>
      </c>
      <c r="AA3738" t="s">
        <v>33</v>
      </c>
    </row>
    <row r="3739" spans="2:27" ht="30" x14ac:dyDescent="0.25">
      <c r="B3739" t="s">
        <v>5171</v>
      </c>
      <c r="I3739" s="1" t="s">
        <v>5180</v>
      </c>
      <c r="O3739" s="15">
        <v>1</v>
      </c>
      <c r="S3739" s="15">
        <v>1</v>
      </c>
      <c r="AA3739" t="s">
        <v>33</v>
      </c>
    </row>
    <row r="3740" spans="2:27" ht="120" x14ac:dyDescent="0.25">
      <c r="B3740" t="s">
        <v>5171</v>
      </c>
      <c r="I3740" s="1" t="s">
        <v>5181</v>
      </c>
      <c r="Q3740" s="15">
        <v>1</v>
      </c>
      <c r="S3740" s="15">
        <v>1</v>
      </c>
      <c r="AA3740" t="s">
        <v>33</v>
      </c>
    </row>
    <row r="3741" spans="2:27" ht="75" x14ac:dyDescent="0.25">
      <c r="B3741" t="s">
        <v>5171</v>
      </c>
      <c r="I3741" s="1" t="s">
        <v>5182</v>
      </c>
      <c r="X3741" s="15">
        <v>1</v>
      </c>
      <c r="AA3741" t="s">
        <v>33</v>
      </c>
    </row>
    <row r="3742" spans="2:27" ht="75" x14ac:dyDescent="0.25">
      <c r="B3742" t="s">
        <v>5171</v>
      </c>
      <c r="I3742" s="1" t="s">
        <v>5183</v>
      </c>
      <c r="O3742" s="15">
        <v>1</v>
      </c>
      <c r="S3742" s="15">
        <v>1</v>
      </c>
      <c r="X3742" s="15">
        <v>1</v>
      </c>
      <c r="AA3742" t="s">
        <v>33</v>
      </c>
    </row>
    <row r="3743" spans="2:27" ht="90" x14ac:dyDescent="0.25">
      <c r="B3743" t="s">
        <v>5171</v>
      </c>
      <c r="I3743" s="1" t="s">
        <v>5184</v>
      </c>
      <c r="T3743" s="15">
        <v>1</v>
      </c>
      <c r="AA3743" t="s">
        <v>33</v>
      </c>
    </row>
    <row r="3744" spans="2:27" ht="30" x14ac:dyDescent="0.25">
      <c r="B3744" t="s">
        <v>5171</v>
      </c>
      <c r="I3744" s="1" t="s">
        <v>5185</v>
      </c>
      <c r="R3744" s="15">
        <v>1</v>
      </c>
      <c r="AA3744" t="s">
        <v>173</v>
      </c>
    </row>
    <row r="3745" spans="2:27" ht="105" x14ac:dyDescent="0.25">
      <c r="B3745" t="s">
        <v>5171</v>
      </c>
      <c r="I3745" s="27" t="s">
        <v>5186</v>
      </c>
      <c r="Q3745" s="15">
        <v>1</v>
      </c>
      <c r="W3745" s="15">
        <v>1</v>
      </c>
      <c r="AA3745" t="s">
        <v>87</v>
      </c>
    </row>
    <row r="3746" spans="2:27" ht="60" x14ac:dyDescent="0.25">
      <c r="B3746" t="s">
        <v>5171</v>
      </c>
      <c r="I3746" s="1" t="s">
        <v>5187</v>
      </c>
      <c r="P3746" s="15">
        <v>1</v>
      </c>
      <c r="W3746" s="15">
        <v>1</v>
      </c>
      <c r="AA3746" t="s">
        <v>87</v>
      </c>
    </row>
    <row r="3747" spans="2:27" ht="105" x14ac:dyDescent="0.25">
      <c r="B3747" t="s">
        <v>5171</v>
      </c>
      <c r="I3747" s="1" t="s">
        <v>5188</v>
      </c>
      <c r="Q3747" s="15">
        <v>1</v>
      </c>
      <c r="T3747" s="15">
        <v>1</v>
      </c>
      <c r="V3747" s="15">
        <v>1</v>
      </c>
      <c r="AA3747" t="s">
        <v>87</v>
      </c>
    </row>
    <row r="3748" spans="2:27" ht="45" x14ac:dyDescent="0.25">
      <c r="B3748" t="s">
        <v>5189</v>
      </c>
      <c r="I3748" s="1" t="s">
        <v>5190</v>
      </c>
      <c r="O3748" s="15">
        <v>1</v>
      </c>
      <c r="AA3748" t="s">
        <v>33</v>
      </c>
    </row>
    <row r="3749" spans="2:27" ht="45" x14ac:dyDescent="0.25">
      <c r="B3749" t="s">
        <v>5189</v>
      </c>
      <c r="I3749" s="1" t="s">
        <v>5191</v>
      </c>
      <c r="S3749" s="15">
        <v>1</v>
      </c>
      <c r="AA3749" t="s">
        <v>33</v>
      </c>
    </row>
    <row r="3750" spans="2:27" ht="75" x14ac:dyDescent="0.25">
      <c r="B3750" t="s">
        <v>5189</v>
      </c>
      <c r="I3750" s="1" t="s">
        <v>5192</v>
      </c>
      <c r="S3750" s="15">
        <v>1</v>
      </c>
      <c r="AA3750" t="s">
        <v>33</v>
      </c>
    </row>
    <row r="3751" spans="2:27" ht="90" x14ac:dyDescent="0.25">
      <c r="B3751" t="s">
        <v>5189</v>
      </c>
      <c r="I3751" s="1" t="s">
        <v>5193</v>
      </c>
      <c r="S3751" s="15">
        <v>1</v>
      </c>
      <c r="W3751" s="15">
        <v>1</v>
      </c>
      <c r="AA3751" t="s">
        <v>33</v>
      </c>
    </row>
    <row r="3752" spans="2:27" ht="105" x14ac:dyDescent="0.25">
      <c r="B3752" t="s">
        <v>5194</v>
      </c>
      <c r="I3752" s="1" t="s">
        <v>5195</v>
      </c>
      <c r="O3752" s="15">
        <v>1</v>
      </c>
      <c r="S3752" s="15">
        <v>1</v>
      </c>
      <c r="AA3752" t="s">
        <v>33</v>
      </c>
    </row>
    <row r="3753" spans="2:27" ht="105" x14ac:dyDescent="0.25">
      <c r="B3753" t="s">
        <v>5194</v>
      </c>
      <c r="I3753" s="1" t="s">
        <v>5196</v>
      </c>
      <c r="N3753" s="15">
        <v>1</v>
      </c>
      <c r="Q3753" s="15">
        <v>1</v>
      </c>
      <c r="V3753" s="15">
        <v>1</v>
      </c>
      <c r="AA3753" t="s">
        <v>87</v>
      </c>
    </row>
    <row r="3754" spans="2:27" ht="75" x14ac:dyDescent="0.25">
      <c r="B3754" t="s">
        <v>5194</v>
      </c>
      <c r="I3754" s="27" t="s">
        <v>5197</v>
      </c>
      <c r="O3754" s="15">
        <v>1</v>
      </c>
      <c r="W3754" s="15">
        <v>1</v>
      </c>
      <c r="Y3754">
        <v>1</v>
      </c>
      <c r="AA3754" t="s">
        <v>173</v>
      </c>
    </row>
    <row r="3755" spans="2:27" ht="75" x14ac:dyDescent="0.25">
      <c r="B3755" t="s">
        <v>5194</v>
      </c>
      <c r="I3755" s="1" t="s">
        <v>5198</v>
      </c>
      <c r="P3755" s="15">
        <v>1</v>
      </c>
      <c r="W3755" s="15">
        <v>1</v>
      </c>
      <c r="AA3755" t="s">
        <v>33</v>
      </c>
    </row>
    <row r="3756" spans="2:27" ht="90" x14ac:dyDescent="0.25">
      <c r="B3756" t="s">
        <v>5194</v>
      </c>
      <c r="I3756" s="1" t="s">
        <v>5199</v>
      </c>
      <c r="V3756" s="15">
        <v>1</v>
      </c>
      <c r="W3756" s="15">
        <v>1</v>
      </c>
      <c r="AA3756" t="s">
        <v>87</v>
      </c>
    </row>
    <row r="3757" spans="2:27" ht="90" x14ac:dyDescent="0.25">
      <c r="B3757" t="s">
        <v>5194</v>
      </c>
      <c r="I3757" s="1" t="s">
        <v>5200</v>
      </c>
      <c r="N3757" s="15">
        <v>1</v>
      </c>
      <c r="O3757" s="15">
        <v>1</v>
      </c>
      <c r="AA3757" t="s">
        <v>33</v>
      </c>
    </row>
    <row r="3758" spans="2:27" ht="90" x14ac:dyDescent="0.25">
      <c r="B3758" t="s">
        <v>5194</v>
      </c>
      <c r="I3758" s="1" t="s">
        <v>5201</v>
      </c>
      <c r="S3758" s="15">
        <v>1</v>
      </c>
      <c r="AA3758" t="s">
        <v>33</v>
      </c>
    </row>
    <row r="3759" spans="2:27" ht="75" x14ac:dyDescent="0.25">
      <c r="B3759" t="s">
        <v>5202</v>
      </c>
      <c r="I3759" s="1" t="s">
        <v>5203</v>
      </c>
      <c r="P3759" s="15">
        <v>1</v>
      </c>
      <c r="Q3759" s="15">
        <v>1</v>
      </c>
      <c r="T3759" s="15">
        <v>1</v>
      </c>
      <c r="AA3759" t="s">
        <v>87</v>
      </c>
    </row>
    <row r="3760" spans="2:27" ht="75" x14ac:dyDescent="0.25">
      <c r="B3760" t="s">
        <v>5202</v>
      </c>
      <c r="I3760" s="1" t="s">
        <v>5204</v>
      </c>
      <c r="P3760" s="15">
        <v>1</v>
      </c>
      <c r="Q3760" s="15">
        <v>1</v>
      </c>
      <c r="Y3760">
        <v>1</v>
      </c>
      <c r="AA3760" t="s">
        <v>87</v>
      </c>
    </row>
    <row r="3761" spans="2:27" ht="75" x14ac:dyDescent="0.25">
      <c r="B3761" t="s">
        <v>5202</v>
      </c>
      <c r="I3761" s="1" t="s">
        <v>5205</v>
      </c>
      <c r="T3761" s="15">
        <v>1</v>
      </c>
      <c r="AA3761" t="s">
        <v>173</v>
      </c>
    </row>
    <row r="3762" spans="2:27" ht="105" x14ac:dyDescent="0.25">
      <c r="B3762" t="s">
        <v>5202</v>
      </c>
      <c r="I3762" s="1" t="s">
        <v>5206</v>
      </c>
      <c r="S3762" s="15">
        <v>1</v>
      </c>
      <c r="W3762" s="15">
        <v>1</v>
      </c>
      <c r="AA3762" t="s">
        <v>33</v>
      </c>
    </row>
    <row r="3763" spans="2:27" ht="105" x14ac:dyDescent="0.25">
      <c r="B3763" t="s">
        <v>5202</v>
      </c>
      <c r="I3763" s="1" t="s">
        <v>5207</v>
      </c>
      <c r="P3763" s="15">
        <v>1</v>
      </c>
      <c r="Y3763">
        <v>1</v>
      </c>
      <c r="AA3763" t="s">
        <v>87</v>
      </c>
    </row>
    <row r="3764" spans="2:27" ht="30" x14ac:dyDescent="0.25">
      <c r="B3764" t="s">
        <v>5202</v>
      </c>
      <c r="I3764" s="1" t="s">
        <v>5208</v>
      </c>
      <c r="S3764" s="15">
        <v>1</v>
      </c>
      <c r="AA3764" t="s">
        <v>33</v>
      </c>
    </row>
    <row r="3765" spans="2:27" ht="75" x14ac:dyDescent="0.25">
      <c r="B3765" t="s">
        <v>5202</v>
      </c>
      <c r="I3765" s="1" t="s">
        <v>5209</v>
      </c>
      <c r="P3765" s="15">
        <v>1</v>
      </c>
      <c r="W3765" s="15">
        <v>1</v>
      </c>
      <c r="AA3765" t="s">
        <v>87</v>
      </c>
    </row>
    <row r="3766" spans="2:27" ht="90" x14ac:dyDescent="0.25">
      <c r="B3766" t="s">
        <v>5202</v>
      </c>
      <c r="I3766" s="1" t="s">
        <v>5210</v>
      </c>
      <c r="W3766" s="15">
        <v>1</v>
      </c>
      <c r="AA3766" t="s">
        <v>87</v>
      </c>
    </row>
    <row r="3767" spans="2:27" ht="45" x14ac:dyDescent="0.25">
      <c r="B3767" t="s">
        <v>5202</v>
      </c>
      <c r="I3767" s="1" t="s">
        <v>5211</v>
      </c>
      <c r="S3767" s="15">
        <v>1</v>
      </c>
      <c r="AA3767" t="s">
        <v>33</v>
      </c>
    </row>
    <row r="3768" spans="2:27" ht="105" x14ac:dyDescent="0.25">
      <c r="B3768" t="s">
        <v>5202</v>
      </c>
      <c r="I3768" s="1" t="s">
        <v>5212</v>
      </c>
      <c r="W3768" s="15">
        <v>1</v>
      </c>
      <c r="AA3768" t="s">
        <v>173</v>
      </c>
    </row>
    <row r="3769" spans="2:27" ht="105" x14ac:dyDescent="0.25">
      <c r="B3769" t="s">
        <v>5202</v>
      </c>
      <c r="I3769" s="1" t="s">
        <v>5213</v>
      </c>
      <c r="S3769" s="15">
        <v>1</v>
      </c>
      <c r="AA3769" t="s">
        <v>33</v>
      </c>
    </row>
    <row r="3770" spans="2:27" ht="105" x14ac:dyDescent="0.25">
      <c r="B3770" t="s">
        <v>5202</v>
      </c>
      <c r="I3770" s="1" t="s">
        <v>5214</v>
      </c>
      <c r="P3770" s="15">
        <v>1</v>
      </c>
      <c r="S3770" s="15">
        <v>1</v>
      </c>
      <c r="AA3770" t="s">
        <v>87</v>
      </c>
    </row>
    <row r="3771" spans="2:27" ht="120" x14ac:dyDescent="0.25">
      <c r="B3771" t="s">
        <v>5202</v>
      </c>
      <c r="I3771" s="1" t="s">
        <v>5215</v>
      </c>
      <c r="S3771" s="15">
        <v>1</v>
      </c>
      <c r="AA3771" t="s">
        <v>33</v>
      </c>
    </row>
    <row r="3772" spans="2:27" x14ac:dyDescent="0.25">
      <c r="B3772" t="s">
        <v>5202</v>
      </c>
      <c r="I3772" s="1" t="s">
        <v>5216</v>
      </c>
      <c r="S3772" s="15">
        <v>1</v>
      </c>
      <c r="AA3772" t="s">
        <v>33</v>
      </c>
    </row>
    <row r="3773" spans="2:27" ht="45" x14ac:dyDescent="0.25">
      <c r="B3773" t="s">
        <v>5202</v>
      </c>
      <c r="I3773" s="1" t="s">
        <v>5217</v>
      </c>
      <c r="S3773" s="15">
        <v>1</v>
      </c>
      <c r="AA3773" t="s">
        <v>33</v>
      </c>
    </row>
    <row r="3774" spans="2:27" ht="135" x14ac:dyDescent="0.25">
      <c r="B3774" t="s">
        <v>5202</v>
      </c>
      <c r="I3774" s="1" t="s">
        <v>5218</v>
      </c>
      <c r="W3774" s="15">
        <v>1</v>
      </c>
      <c r="AA3774" t="s">
        <v>87</v>
      </c>
    </row>
    <row r="3775" spans="2:27" ht="45" x14ac:dyDescent="0.25">
      <c r="B3775" t="s">
        <v>5202</v>
      </c>
      <c r="I3775" s="1" t="s">
        <v>5219</v>
      </c>
      <c r="O3775" s="15">
        <v>1</v>
      </c>
      <c r="S3775" s="15">
        <v>1</v>
      </c>
      <c r="AA3775" t="s">
        <v>33</v>
      </c>
    </row>
    <row r="3776" spans="2:27" ht="90" x14ac:dyDescent="0.25">
      <c r="B3776" t="s">
        <v>5220</v>
      </c>
      <c r="I3776" s="1" t="s">
        <v>5221</v>
      </c>
      <c r="S3776" s="15">
        <v>1</v>
      </c>
      <c r="AA3776" t="s">
        <v>33</v>
      </c>
    </row>
    <row r="3777" spans="2:27" ht="105" x14ac:dyDescent="0.25">
      <c r="B3777" t="s">
        <v>5220</v>
      </c>
      <c r="I3777" s="1" t="s">
        <v>5222</v>
      </c>
      <c r="P3777" s="15">
        <v>1</v>
      </c>
      <c r="AA3777" t="s">
        <v>87</v>
      </c>
    </row>
    <row r="3778" spans="2:27" ht="75" x14ac:dyDescent="0.25">
      <c r="B3778" t="s">
        <v>5220</v>
      </c>
      <c r="I3778" s="1" t="s">
        <v>5223</v>
      </c>
      <c r="T3778" s="15">
        <v>1</v>
      </c>
      <c r="AA3778" t="s">
        <v>173</v>
      </c>
    </row>
    <row r="3779" spans="2:27" ht="105" x14ac:dyDescent="0.25">
      <c r="B3779" t="s">
        <v>5220</v>
      </c>
      <c r="I3779" s="1" t="s">
        <v>5224</v>
      </c>
      <c r="O3779" s="15">
        <v>1</v>
      </c>
      <c r="X3779" s="15">
        <v>1</v>
      </c>
      <c r="AA3779" t="s">
        <v>33</v>
      </c>
    </row>
    <row r="3780" spans="2:27" ht="105" x14ac:dyDescent="0.25">
      <c r="B3780" t="s">
        <v>5220</v>
      </c>
      <c r="I3780" s="27" t="s">
        <v>5225</v>
      </c>
      <c r="M3780" s="15">
        <v>1</v>
      </c>
      <c r="Y3780">
        <v>1</v>
      </c>
      <c r="AA3780" t="s">
        <v>87</v>
      </c>
    </row>
    <row r="3781" spans="2:27" ht="105" x14ac:dyDescent="0.25">
      <c r="B3781" t="s">
        <v>5220</v>
      </c>
      <c r="I3781" s="1" t="s">
        <v>5226</v>
      </c>
      <c r="P3781" s="15">
        <v>1</v>
      </c>
      <c r="Y3781">
        <v>1</v>
      </c>
      <c r="AA3781" t="s">
        <v>87</v>
      </c>
    </row>
    <row r="3782" spans="2:27" ht="45" x14ac:dyDescent="0.25">
      <c r="B3782" t="s">
        <v>5227</v>
      </c>
      <c r="I3782" s="1" t="s">
        <v>5228</v>
      </c>
      <c r="V3782" s="15">
        <v>1</v>
      </c>
      <c r="AA3782" t="s">
        <v>87</v>
      </c>
    </row>
    <row r="3783" spans="2:27" ht="30" x14ac:dyDescent="0.25">
      <c r="B3783" t="s">
        <v>5227</v>
      </c>
      <c r="I3783" s="27" t="s">
        <v>5229</v>
      </c>
      <c r="N3783" s="15">
        <v>1</v>
      </c>
      <c r="AA3783" t="s">
        <v>33</v>
      </c>
    </row>
    <row r="3784" spans="2:27" ht="30" x14ac:dyDescent="0.25">
      <c r="B3784" t="s">
        <v>5227</v>
      </c>
      <c r="I3784" s="1" t="s">
        <v>5230</v>
      </c>
      <c r="O3784" s="15">
        <v>1</v>
      </c>
      <c r="AA3784" t="s">
        <v>33</v>
      </c>
    </row>
    <row r="3785" spans="2:27" ht="30" x14ac:dyDescent="0.25">
      <c r="B3785" s="1" t="s">
        <v>3894</v>
      </c>
      <c r="J3785" s="15">
        <v>10</v>
      </c>
      <c r="K3785" s="15">
        <v>42</v>
      </c>
      <c r="L3785" s="15">
        <v>29</v>
      </c>
      <c r="M3785" s="15">
        <f>SUM(M3425:M3784)</f>
        <v>2</v>
      </c>
      <c r="N3785" s="15">
        <f t="shared" ref="N3785:Y3785" si="19">SUM(N3425:N3784)</f>
        <v>24</v>
      </c>
      <c r="O3785" s="15">
        <f t="shared" si="19"/>
        <v>59</v>
      </c>
      <c r="P3785" s="15">
        <f t="shared" si="19"/>
        <v>41</v>
      </c>
      <c r="Q3785" s="15">
        <f t="shared" si="19"/>
        <v>43</v>
      </c>
      <c r="R3785" s="15">
        <f t="shared" si="19"/>
        <v>10</v>
      </c>
      <c r="S3785" s="15">
        <f t="shared" si="19"/>
        <v>135</v>
      </c>
      <c r="T3785" s="15">
        <f t="shared" si="19"/>
        <v>51</v>
      </c>
      <c r="U3785" s="15">
        <f t="shared" si="19"/>
        <v>0</v>
      </c>
      <c r="V3785" s="15">
        <f t="shared" si="19"/>
        <v>30</v>
      </c>
      <c r="W3785" s="15">
        <f t="shared" si="19"/>
        <v>55</v>
      </c>
      <c r="X3785" s="15">
        <f t="shared" si="19"/>
        <v>23</v>
      </c>
      <c r="Y3785" s="15">
        <f t="shared" si="19"/>
        <v>54</v>
      </c>
    </row>
    <row r="3786" spans="2:27" ht="45" x14ac:dyDescent="0.25">
      <c r="B3786" s="1" t="s">
        <v>3895</v>
      </c>
      <c r="I3786" s="1" t="s">
        <v>5231</v>
      </c>
      <c r="J3786" s="15">
        <v>2.178649237472767E-2</v>
      </c>
      <c r="K3786" s="15">
        <v>9.1503267973856203E-2</v>
      </c>
      <c r="L3786" s="15">
        <v>6.3180827886710242E-2</v>
      </c>
      <c r="M3786" s="15">
        <f>(M3785/360)*100</f>
        <v>0.55555555555555558</v>
      </c>
      <c r="N3786" s="15">
        <f t="shared" ref="N3786:Y3786" si="20">(N3785/360)*100</f>
        <v>6.666666666666667</v>
      </c>
      <c r="O3786" s="15">
        <f t="shared" si="20"/>
        <v>16.388888888888889</v>
      </c>
      <c r="P3786" s="15">
        <f t="shared" si="20"/>
        <v>11.388888888888889</v>
      </c>
      <c r="Q3786" s="15">
        <f t="shared" si="20"/>
        <v>11.944444444444445</v>
      </c>
      <c r="R3786" s="15">
        <f t="shared" si="20"/>
        <v>2.7777777777777777</v>
      </c>
      <c r="S3786" s="15">
        <f t="shared" si="20"/>
        <v>37.5</v>
      </c>
      <c r="T3786" s="15">
        <f t="shared" si="20"/>
        <v>14.166666666666666</v>
      </c>
      <c r="U3786" s="15">
        <f t="shared" si="20"/>
        <v>0</v>
      </c>
      <c r="V3786" s="15">
        <f t="shared" si="20"/>
        <v>8.3333333333333321</v>
      </c>
      <c r="W3786" s="15">
        <f t="shared" si="20"/>
        <v>15.277777777777779</v>
      </c>
      <c r="X3786" s="15">
        <f t="shared" si="20"/>
        <v>6.3888888888888884</v>
      </c>
      <c r="Y3786" s="15">
        <f t="shared" si="20"/>
        <v>15</v>
      </c>
    </row>
    <row r="3787" spans="2:27" x14ac:dyDescent="0.25">
      <c r="I3787" s="19">
        <v>44909</v>
      </c>
      <c r="J3787" s="15">
        <v>0</v>
      </c>
      <c r="K3787" s="15">
        <v>1</v>
      </c>
      <c r="L3787" s="15">
        <v>0</v>
      </c>
      <c r="M3787" s="15">
        <f>SUMIF($B$2927:$B$3403, $I3787,M$2927:M$3403)</f>
        <v>0</v>
      </c>
      <c r="N3787" s="15">
        <f t="shared" ref="N3787:Y3800" si="21">SUMIF($B$2927:$B$3403, $I3787,N$2927:N$3403)</f>
        <v>4</v>
      </c>
      <c r="O3787" s="15">
        <f t="shared" si="21"/>
        <v>2</v>
      </c>
      <c r="P3787" s="15">
        <f t="shared" si="21"/>
        <v>5</v>
      </c>
      <c r="Q3787" s="15">
        <f t="shared" si="21"/>
        <v>5</v>
      </c>
      <c r="R3787" s="15">
        <f t="shared" si="21"/>
        <v>1</v>
      </c>
      <c r="S3787" s="15">
        <f t="shared" si="21"/>
        <v>11</v>
      </c>
      <c r="T3787" s="15">
        <f t="shared" si="21"/>
        <v>3</v>
      </c>
      <c r="U3787" s="15">
        <f t="shared" si="21"/>
        <v>0</v>
      </c>
      <c r="V3787" s="15">
        <f t="shared" si="21"/>
        <v>3</v>
      </c>
      <c r="W3787" s="15">
        <f t="shared" si="21"/>
        <v>5</v>
      </c>
      <c r="X3787" s="15">
        <f t="shared" si="21"/>
        <v>1</v>
      </c>
      <c r="Y3787" s="15">
        <f t="shared" si="21"/>
        <v>6</v>
      </c>
    </row>
    <row r="3788" spans="2:27" x14ac:dyDescent="0.25">
      <c r="I3788" s="19">
        <v>44910</v>
      </c>
      <c r="J3788" s="15">
        <v>0</v>
      </c>
      <c r="K3788" s="15">
        <v>4</v>
      </c>
      <c r="L3788" s="15">
        <v>0</v>
      </c>
      <c r="M3788" s="15">
        <f t="shared" ref="M3788:M3800" si="22">SUMIF($B$2927:$B$3403, $I3788,M$2927:M$3403)</f>
        <v>0</v>
      </c>
      <c r="N3788" s="15">
        <f t="shared" si="21"/>
        <v>2</v>
      </c>
      <c r="O3788" s="15">
        <f t="shared" si="21"/>
        <v>1</v>
      </c>
      <c r="P3788" s="15">
        <f t="shared" si="21"/>
        <v>1</v>
      </c>
      <c r="Q3788" s="15">
        <f t="shared" si="21"/>
        <v>2</v>
      </c>
      <c r="R3788" s="15">
        <f t="shared" si="21"/>
        <v>1</v>
      </c>
      <c r="S3788" s="15">
        <f t="shared" si="21"/>
        <v>5</v>
      </c>
      <c r="T3788" s="15">
        <f t="shared" si="21"/>
        <v>3</v>
      </c>
      <c r="U3788" s="15">
        <f t="shared" si="21"/>
        <v>0</v>
      </c>
      <c r="V3788" s="15">
        <f t="shared" si="21"/>
        <v>0</v>
      </c>
      <c r="W3788" s="15">
        <f t="shared" si="21"/>
        <v>1</v>
      </c>
      <c r="X3788" s="15">
        <f t="shared" si="21"/>
        <v>0</v>
      </c>
      <c r="Y3788" s="15">
        <f t="shared" si="21"/>
        <v>1</v>
      </c>
    </row>
    <row r="3789" spans="2:27" x14ac:dyDescent="0.25">
      <c r="I3789" s="19">
        <v>44911</v>
      </c>
      <c r="J3789" s="15">
        <v>2</v>
      </c>
      <c r="K3789" s="15">
        <v>0</v>
      </c>
      <c r="L3789" s="15">
        <v>1</v>
      </c>
      <c r="M3789" s="15">
        <f t="shared" si="22"/>
        <v>1</v>
      </c>
      <c r="N3789" s="15">
        <f t="shared" si="21"/>
        <v>3</v>
      </c>
      <c r="O3789" s="15">
        <f t="shared" si="21"/>
        <v>8</v>
      </c>
      <c r="P3789" s="15">
        <f t="shared" si="21"/>
        <v>0</v>
      </c>
      <c r="Q3789" s="15">
        <f t="shared" si="21"/>
        <v>7</v>
      </c>
      <c r="R3789" s="15">
        <f t="shared" si="21"/>
        <v>2</v>
      </c>
      <c r="S3789" s="15">
        <f t="shared" si="21"/>
        <v>13</v>
      </c>
      <c r="T3789" s="15">
        <f t="shared" si="21"/>
        <v>6</v>
      </c>
      <c r="U3789" s="15">
        <f t="shared" si="21"/>
        <v>0</v>
      </c>
      <c r="V3789" s="15">
        <f t="shared" si="21"/>
        <v>7</v>
      </c>
      <c r="W3789" s="15">
        <f t="shared" si="21"/>
        <v>4</v>
      </c>
      <c r="X3789" s="15">
        <f t="shared" si="21"/>
        <v>4</v>
      </c>
      <c r="Y3789" s="15">
        <f t="shared" si="21"/>
        <v>7</v>
      </c>
    </row>
    <row r="3790" spans="2:27" x14ac:dyDescent="0.25">
      <c r="I3790" s="19">
        <v>44912</v>
      </c>
      <c r="J3790" s="15">
        <v>0</v>
      </c>
      <c r="K3790" s="15">
        <v>3</v>
      </c>
      <c r="L3790" s="15">
        <v>4</v>
      </c>
      <c r="M3790" s="15">
        <f t="shared" si="22"/>
        <v>0</v>
      </c>
      <c r="N3790" s="15">
        <f t="shared" si="21"/>
        <v>6</v>
      </c>
      <c r="O3790" s="15">
        <f t="shared" si="21"/>
        <v>6</v>
      </c>
      <c r="P3790" s="15">
        <f t="shared" si="21"/>
        <v>7</v>
      </c>
      <c r="Q3790" s="15">
        <f t="shared" si="21"/>
        <v>10</v>
      </c>
      <c r="R3790" s="15">
        <f t="shared" si="21"/>
        <v>2</v>
      </c>
      <c r="S3790" s="15">
        <f t="shared" si="21"/>
        <v>18</v>
      </c>
      <c r="T3790" s="15">
        <f t="shared" si="21"/>
        <v>9</v>
      </c>
      <c r="U3790" s="15">
        <f t="shared" si="21"/>
        <v>0</v>
      </c>
      <c r="V3790" s="15">
        <f t="shared" si="21"/>
        <v>5</v>
      </c>
      <c r="W3790" s="15">
        <f t="shared" si="21"/>
        <v>4</v>
      </c>
      <c r="X3790" s="15">
        <f t="shared" si="21"/>
        <v>1</v>
      </c>
      <c r="Y3790" s="15">
        <f t="shared" si="21"/>
        <v>4</v>
      </c>
    </row>
    <row r="3791" spans="2:27" x14ac:dyDescent="0.25">
      <c r="I3791" s="19">
        <v>44913</v>
      </c>
      <c r="J3791" s="15">
        <v>2</v>
      </c>
      <c r="K3791" s="15">
        <v>2</v>
      </c>
      <c r="L3791" s="15">
        <v>1</v>
      </c>
      <c r="M3791" s="15">
        <f t="shared" si="22"/>
        <v>0</v>
      </c>
      <c r="N3791" s="15">
        <f t="shared" si="21"/>
        <v>1</v>
      </c>
      <c r="O3791" s="15">
        <f t="shared" si="21"/>
        <v>2</v>
      </c>
      <c r="P3791" s="15">
        <f t="shared" si="21"/>
        <v>4</v>
      </c>
      <c r="Q3791" s="15">
        <f t="shared" si="21"/>
        <v>5</v>
      </c>
      <c r="R3791" s="15">
        <f t="shared" si="21"/>
        <v>3</v>
      </c>
      <c r="S3791" s="15">
        <f t="shared" si="21"/>
        <v>5</v>
      </c>
      <c r="T3791" s="15">
        <f t="shared" si="21"/>
        <v>3</v>
      </c>
      <c r="U3791" s="15">
        <f t="shared" si="21"/>
        <v>0</v>
      </c>
      <c r="V3791" s="15">
        <f t="shared" si="21"/>
        <v>5</v>
      </c>
      <c r="W3791" s="15">
        <f t="shared" si="21"/>
        <v>5</v>
      </c>
      <c r="X3791" s="15">
        <f t="shared" si="21"/>
        <v>1</v>
      </c>
      <c r="Y3791" s="15">
        <f t="shared" si="21"/>
        <v>2</v>
      </c>
    </row>
    <row r="3792" spans="2:27" x14ac:dyDescent="0.25">
      <c r="I3792" s="19">
        <v>44914</v>
      </c>
      <c r="J3792" s="15">
        <v>0</v>
      </c>
      <c r="K3792" s="15">
        <v>1</v>
      </c>
      <c r="L3792" s="15">
        <v>0</v>
      </c>
      <c r="M3792" s="15">
        <f t="shared" si="22"/>
        <v>0</v>
      </c>
      <c r="N3792" s="15">
        <f t="shared" si="21"/>
        <v>2</v>
      </c>
      <c r="O3792" s="15">
        <f t="shared" si="21"/>
        <v>0</v>
      </c>
      <c r="P3792" s="15">
        <f t="shared" si="21"/>
        <v>2</v>
      </c>
      <c r="Q3792" s="15">
        <f t="shared" si="21"/>
        <v>3</v>
      </c>
      <c r="R3792" s="15">
        <f t="shared" si="21"/>
        <v>0</v>
      </c>
      <c r="S3792" s="15">
        <f t="shared" si="21"/>
        <v>2</v>
      </c>
      <c r="T3792" s="15">
        <f t="shared" si="21"/>
        <v>2</v>
      </c>
      <c r="U3792" s="15">
        <f t="shared" si="21"/>
        <v>0</v>
      </c>
      <c r="V3792" s="15">
        <f t="shared" si="21"/>
        <v>2</v>
      </c>
      <c r="W3792" s="15">
        <f t="shared" si="21"/>
        <v>1</v>
      </c>
      <c r="X3792" s="15">
        <f t="shared" si="21"/>
        <v>0</v>
      </c>
      <c r="Y3792" s="15">
        <f t="shared" si="21"/>
        <v>1</v>
      </c>
    </row>
    <row r="3793" spans="9:25" x14ac:dyDescent="0.25">
      <c r="I3793" s="19">
        <v>44915</v>
      </c>
      <c r="J3793" s="15">
        <v>3</v>
      </c>
      <c r="K3793" s="15">
        <v>2</v>
      </c>
      <c r="L3793" s="15">
        <v>5</v>
      </c>
      <c r="M3793" s="15">
        <f t="shared" si="22"/>
        <v>0</v>
      </c>
      <c r="N3793" s="15">
        <f t="shared" si="21"/>
        <v>0</v>
      </c>
      <c r="O3793" s="15">
        <f t="shared" si="21"/>
        <v>6</v>
      </c>
      <c r="P3793" s="15">
        <f t="shared" si="21"/>
        <v>4</v>
      </c>
      <c r="Q3793" s="15">
        <f t="shared" si="21"/>
        <v>7</v>
      </c>
      <c r="R3793" s="15">
        <f t="shared" si="21"/>
        <v>2</v>
      </c>
      <c r="S3793" s="15">
        <f t="shared" si="21"/>
        <v>13</v>
      </c>
      <c r="T3793" s="15">
        <f t="shared" si="21"/>
        <v>4</v>
      </c>
      <c r="U3793" s="15">
        <f t="shared" si="21"/>
        <v>0</v>
      </c>
      <c r="V3793" s="15">
        <f t="shared" si="21"/>
        <v>3</v>
      </c>
      <c r="W3793" s="15">
        <f t="shared" si="21"/>
        <v>3</v>
      </c>
      <c r="X3793" s="15">
        <f t="shared" si="21"/>
        <v>1</v>
      </c>
      <c r="Y3793" s="15">
        <f t="shared" si="21"/>
        <v>8</v>
      </c>
    </row>
    <row r="3794" spans="9:25" x14ac:dyDescent="0.25">
      <c r="I3794" s="19">
        <v>44916</v>
      </c>
      <c r="J3794" s="15">
        <v>1</v>
      </c>
      <c r="K3794" s="15">
        <v>4</v>
      </c>
      <c r="L3794" s="15">
        <v>4</v>
      </c>
      <c r="M3794" s="15">
        <f t="shared" si="22"/>
        <v>1</v>
      </c>
      <c r="N3794" s="15">
        <f t="shared" si="21"/>
        <v>2</v>
      </c>
      <c r="O3794" s="15">
        <f t="shared" si="21"/>
        <v>5</v>
      </c>
      <c r="P3794" s="15">
        <f t="shared" si="21"/>
        <v>5</v>
      </c>
      <c r="Q3794" s="15">
        <f t="shared" si="21"/>
        <v>7</v>
      </c>
      <c r="R3794" s="15">
        <f t="shared" si="21"/>
        <v>3</v>
      </c>
      <c r="S3794" s="15">
        <f t="shared" si="21"/>
        <v>13</v>
      </c>
      <c r="T3794" s="15">
        <f t="shared" si="21"/>
        <v>10</v>
      </c>
      <c r="U3794" s="15">
        <f t="shared" si="21"/>
        <v>0</v>
      </c>
      <c r="V3794" s="15">
        <f t="shared" si="21"/>
        <v>2</v>
      </c>
      <c r="W3794" s="15">
        <f t="shared" si="21"/>
        <v>6</v>
      </c>
      <c r="X3794" s="15">
        <f t="shared" si="21"/>
        <v>1</v>
      </c>
      <c r="Y3794" s="15">
        <f t="shared" si="21"/>
        <v>4</v>
      </c>
    </row>
    <row r="3795" spans="9:25" x14ac:dyDescent="0.25">
      <c r="I3795" s="19">
        <v>44917</v>
      </c>
      <c r="J3795" s="15">
        <v>0</v>
      </c>
      <c r="K3795" s="15">
        <v>1</v>
      </c>
      <c r="L3795" s="15">
        <v>1</v>
      </c>
      <c r="M3795" s="15">
        <f t="shared" si="22"/>
        <v>0</v>
      </c>
      <c r="N3795" s="15">
        <f t="shared" si="21"/>
        <v>0</v>
      </c>
      <c r="O3795" s="15">
        <f t="shared" si="21"/>
        <v>4</v>
      </c>
      <c r="P3795" s="15">
        <f t="shared" si="21"/>
        <v>3</v>
      </c>
      <c r="Q3795" s="15">
        <f t="shared" si="21"/>
        <v>1</v>
      </c>
      <c r="R3795" s="15">
        <f t="shared" si="21"/>
        <v>3</v>
      </c>
      <c r="S3795" s="15">
        <f t="shared" si="21"/>
        <v>11</v>
      </c>
      <c r="T3795" s="15">
        <f t="shared" si="21"/>
        <v>3</v>
      </c>
      <c r="U3795" s="15">
        <f t="shared" si="21"/>
        <v>0</v>
      </c>
      <c r="V3795" s="15">
        <f t="shared" si="21"/>
        <v>1</v>
      </c>
      <c r="W3795" s="15">
        <f t="shared" si="21"/>
        <v>2</v>
      </c>
      <c r="X3795" s="15">
        <f t="shared" si="21"/>
        <v>2</v>
      </c>
      <c r="Y3795" s="15">
        <f t="shared" si="21"/>
        <v>3</v>
      </c>
    </row>
    <row r="3796" spans="9:25" x14ac:dyDescent="0.25">
      <c r="I3796" s="19">
        <v>44918</v>
      </c>
      <c r="J3796" s="15">
        <v>0</v>
      </c>
      <c r="K3796" s="15">
        <v>1</v>
      </c>
      <c r="L3796" s="15">
        <v>2</v>
      </c>
      <c r="M3796" s="15">
        <f t="shared" si="22"/>
        <v>0</v>
      </c>
      <c r="N3796" s="15">
        <f t="shared" si="21"/>
        <v>2</v>
      </c>
      <c r="O3796" s="15">
        <f t="shared" si="21"/>
        <v>13</v>
      </c>
      <c r="P3796" s="15">
        <f t="shared" si="21"/>
        <v>5</v>
      </c>
      <c r="Q3796" s="15">
        <f t="shared" si="21"/>
        <v>3</v>
      </c>
      <c r="R3796" s="15">
        <f t="shared" si="21"/>
        <v>2</v>
      </c>
      <c r="S3796" s="15">
        <f t="shared" si="21"/>
        <v>21</v>
      </c>
      <c r="T3796" s="15">
        <f t="shared" si="21"/>
        <v>8</v>
      </c>
      <c r="U3796" s="15">
        <f t="shared" si="21"/>
        <v>0</v>
      </c>
      <c r="V3796" s="15">
        <f t="shared" si="21"/>
        <v>1</v>
      </c>
      <c r="W3796" s="15">
        <f t="shared" si="21"/>
        <v>6</v>
      </c>
      <c r="X3796" s="15">
        <f t="shared" si="21"/>
        <v>5</v>
      </c>
      <c r="Y3796" s="15">
        <f t="shared" si="21"/>
        <v>4</v>
      </c>
    </row>
    <row r="3797" spans="9:25" x14ac:dyDescent="0.25">
      <c r="I3797" s="19">
        <v>44919</v>
      </c>
      <c r="J3797" s="15">
        <v>0</v>
      </c>
      <c r="K3797" s="15">
        <v>3</v>
      </c>
      <c r="L3797" s="15">
        <v>0</v>
      </c>
      <c r="M3797" s="15">
        <f t="shared" si="22"/>
        <v>0</v>
      </c>
      <c r="N3797" s="15">
        <f t="shared" si="21"/>
        <v>2</v>
      </c>
      <c r="O3797" s="15">
        <f t="shared" si="21"/>
        <v>4</v>
      </c>
      <c r="P3797" s="15">
        <f t="shared" si="21"/>
        <v>2</v>
      </c>
      <c r="Q3797" s="15">
        <f t="shared" si="21"/>
        <v>8</v>
      </c>
      <c r="R3797" s="15">
        <f t="shared" si="21"/>
        <v>2</v>
      </c>
      <c r="S3797" s="15">
        <f t="shared" si="21"/>
        <v>6</v>
      </c>
      <c r="T3797" s="15">
        <f t="shared" si="21"/>
        <v>3</v>
      </c>
      <c r="U3797" s="15">
        <f t="shared" si="21"/>
        <v>0</v>
      </c>
      <c r="V3797" s="15">
        <f t="shared" si="21"/>
        <v>2</v>
      </c>
      <c r="W3797" s="15">
        <f t="shared" si="21"/>
        <v>6</v>
      </c>
      <c r="X3797" s="15">
        <f t="shared" si="21"/>
        <v>3</v>
      </c>
      <c r="Y3797" s="15">
        <f t="shared" si="21"/>
        <v>4</v>
      </c>
    </row>
    <row r="3798" spans="9:25" x14ac:dyDescent="0.25">
      <c r="I3798" s="19">
        <v>44920</v>
      </c>
      <c r="J3798" s="15">
        <v>0</v>
      </c>
      <c r="K3798" s="15">
        <v>3</v>
      </c>
      <c r="L3798" s="15">
        <v>0</v>
      </c>
      <c r="M3798" s="15">
        <f t="shared" si="22"/>
        <v>0</v>
      </c>
      <c r="N3798" s="15">
        <f t="shared" si="21"/>
        <v>0</v>
      </c>
      <c r="O3798" s="15">
        <f t="shared" si="21"/>
        <v>3</v>
      </c>
      <c r="P3798" s="15">
        <f t="shared" si="21"/>
        <v>1</v>
      </c>
      <c r="Q3798" s="15">
        <f t="shared" si="21"/>
        <v>1</v>
      </c>
      <c r="R3798" s="15">
        <f t="shared" si="21"/>
        <v>0</v>
      </c>
      <c r="S3798" s="15">
        <f t="shared" si="21"/>
        <v>4</v>
      </c>
      <c r="T3798" s="15">
        <f t="shared" si="21"/>
        <v>0</v>
      </c>
      <c r="U3798" s="15">
        <f t="shared" si="21"/>
        <v>0</v>
      </c>
      <c r="V3798" s="15">
        <f t="shared" si="21"/>
        <v>0</v>
      </c>
      <c r="W3798" s="15">
        <f t="shared" si="21"/>
        <v>0</v>
      </c>
      <c r="X3798" s="15">
        <f t="shared" si="21"/>
        <v>0</v>
      </c>
      <c r="Y3798" s="15">
        <f t="shared" si="21"/>
        <v>0</v>
      </c>
    </row>
    <row r="3799" spans="9:25" x14ac:dyDescent="0.25">
      <c r="I3799" s="19">
        <v>44921</v>
      </c>
      <c r="J3799" s="15">
        <v>0</v>
      </c>
      <c r="K3799" s="15">
        <v>0</v>
      </c>
      <c r="L3799" s="15">
        <v>0</v>
      </c>
      <c r="M3799" s="15">
        <f t="shared" si="22"/>
        <v>0</v>
      </c>
      <c r="N3799" s="15">
        <f t="shared" si="21"/>
        <v>0</v>
      </c>
      <c r="O3799" s="15">
        <f t="shared" si="21"/>
        <v>3</v>
      </c>
      <c r="P3799" s="15">
        <f t="shared" si="21"/>
        <v>1</v>
      </c>
      <c r="Q3799" s="15">
        <f t="shared" si="21"/>
        <v>2</v>
      </c>
      <c r="R3799" s="15">
        <f t="shared" si="21"/>
        <v>1</v>
      </c>
      <c r="S3799" s="15">
        <f t="shared" si="21"/>
        <v>3</v>
      </c>
      <c r="T3799" s="15">
        <f t="shared" si="21"/>
        <v>1</v>
      </c>
      <c r="U3799" s="15">
        <f t="shared" si="21"/>
        <v>0</v>
      </c>
      <c r="V3799" s="15">
        <f t="shared" si="21"/>
        <v>1</v>
      </c>
      <c r="W3799" s="15">
        <f t="shared" si="21"/>
        <v>2</v>
      </c>
      <c r="X3799" s="15">
        <f t="shared" si="21"/>
        <v>0</v>
      </c>
      <c r="Y3799" s="15">
        <f t="shared" si="21"/>
        <v>0</v>
      </c>
    </row>
    <row r="3800" spans="9:25" x14ac:dyDescent="0.25">
      <c r="I3800" s="19">
        <v>44922</v>
      </c>
      <c r="J3800" s="15">
        <v>1</v>
      </c>
      <c r="K3800" s="15">
        <v>9</v>
      </c>
      <c r="L3800" s="15">
        <v>2</v>
      </c>
      <c r="M3800" s="15">
        <f t="shared" si="22"/>
        <v>0</v>
      </c>
      <c r="N3800" s="15">
        <f t="shared" si="21"/>
        <v>0</v>
      </c>
      <c r="O3800" s="15">
        <f t="shared" si="21"/>
        <v>2</v>
      </c>
      <c r="P3800" s="15">
        <f t="shared" si="21"/>
        <v>1</v>
      </c>
      <c r="Q3800" s="15">
        <f t="shared" si="21"/>
        <v>4</v>
      </c>
      <c r="R3800" s="15">
        <f t="shared" si="21"/>
        <v>0</v>
      </c>
      <c r="S3800" s="15">
        <f t="shared" si="21"/>
        <v>6</v>
      </c>
      <c r="T3800" s="15">
        <f t="shared" si="21"/>
        <v>1</v>
      </c>
      <c r="U3800" s="15">
        <f t="shared" si="21"/>
        <v>0</v>
      </c>
      <c r="V3800" s="15">
        <f t="shared" si="21"/>
        <v>1</v>
      </c>
      <c r="W3800" s="15">
        <f t="shared" si="21"/>
        <v>2</v>
      </c>
      <c r="X3800" s="15">
        <f t="shared" si="21"/>
        <v>0</v>
      </c>
      <c r="Y3800" s="15">
        <f t="shared" si="21"/>
        <v>3</v>
      </c>
    </row>
    <row r="1048573" ht="15" customHeight="1" x14ac:dyDescent="0.25"/>
  </sheetData>
  <autoFilter ref="A1:K627" xr:uid="{00000000-0001-0000-0000-000000000000}">
    <filterColumn colId="9">
      <filters>
        <filter val="PCI"/>
      </filters>
    </filterColumn>
  </autoFilter>
  <sortState xmlns:xlrd2="http://schemas.microsoft.com/office/spreadsheetml/2017/richdata2" ref="A2:J116">
    <sortCondition ref="H2:H116"/>
  </sortState>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8A7697C7-1C85-4BD9-998A-F5D65B6EAE71}">
          <x14:formula1>
            <xm:f>Tags!$A:$A</xm:f>
          </x14:formula1>
          <xm:sqref>J2:J112 J242:J2976 J2995:J3403 J3424:J3784 J3801:J1048576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14"/>
  <sheetViews>
    <sheetView workbookViewId="0">
      <selection activeCell="A11" sqref="A11"/>
    </sheetView>
  </sheetViews>
  <sheetFormatPr defaultRowHeight="15" x14ac:dyDescent="0.25"/>
  <cols>
    <col min="1" max="1" width="35.42578125" customWidth="1"/>
    <col min="2" max="2" width="39.28515625" customWidth="1"/>
    <col min="5" max="5" width="100.7109375" style="1" customWidth="1"/>
  </cols>
  <sheetData>
    <row r="1" spans="1:5" x14ac:dyDescent="0.25">
      <c r="A1" s="8" t="s">
        <v>1880</v>
      </c>
      <c r="B1" s="3"/>
      <c r="C1" s="3"/>
      <c r="D1" s="3"/>
      <c r="E1" s="2"/>
    </row>
    <row r="2" spans="1:5" x14ac:dyDescent="0.25">
      <c r="A2" s="8" t="s">
        <v>697</v>
      </c>
      <c r="B2" s="4"/>
      <c r="C2" s="4"/>
      <c r="D2" s="4"/>
      <c r="E2" s="7"/>
    </row>
    <row r="3" spans="1:5" x14ac:dyDescent="0.25">
      <c r="A3" s="8" t="s">
        <v>14</v>
      </c>
      <c r="B3" s="4"/>
      <c r="C3" s="4"/>
      <c r="D3" s="4"/>
      <c r="E3" s="7"/>
    </row>
    <row r="4" spans="1:5" x14ac:dyDescent="0.25">
      <c r="A4" s="8" t="s">
        <v>15</v>
      </c>
      <c r="B4" s="4"/>
      <c r="C4" s="4"/>
      <c r="D4" s="4"/>
      <c r="E4" s="7"/>
    </row>
    <row r="5" spans="1:5" x14ac:dyDescent="0.25">
      <c r="A5" s="9" t="s">
        <v>16</v>
      </c>
    </row>
    <row r="6" spans="1:5" x14ac:dyDescent="0.25">
      <c r="A6" s="9" t="s">
        <v>17</v>
      </c>
    </row>
    <row r="7" spans="1:5" x14ac:dyDescent="0.25">
      <c r="A7" s="9" t="s">
        <v>426</v>
      </c>
    </row>
    <row r="8" spans="1:5" x14ac:dyDescent="0.25">
      <c r="A8" s="9" t="s">
        <v>436</v>
      </c>
    </row>
    <row r="9" spans="1:5" x14ac:dyDescent="0.25">
      <c r="A9" s="9" t="s">
        <v>20</v>
      </c>
    </row>
    <row r="10" spans="1:5" x14ac:dyDescent="0.25">
      <c r="A10" s="9" t="s">
        <v>21</v>
      </c>
    </row>
    <row r="11" spans="1:5" x14ac:dyDescent="0.25">
      <c r="A11" s="5" t="s">
        <v>481</v>
      </c>
    </row>
    <row r="12" spans="1:5" x14ac:dyDescent="0.25">
      <c r="A12" s="5" t="s">
        <v>104</v>
      </c>
    </row>
    <row r="13" spans="1:5" x14ac:dyDescent="0.25">
      <c r="A13" s="5" t="s">
        <v>1165</v>
      </c>
    </row>
    <row r="14" spans="1:5" x14ac:dyDescent="0.25">
      <c r="A14" s="5" t="s">
        <v>2217</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792BD-4A28-4EDF-8505-CD44145CEC64}">
  <sheetPr codeName="Sheet3"/>
  <dimension ref="A1:A14"/>
  <sheetViews>
    <sheetView workbookViewId="0">
      <selection activeCell="I10" sqref="I10"/>
    </sheetView>
  </sheetViews>
  <sheetFormatPr defaultRowHeight="15" x14ac:dyDescent="0.25"/>
  <cols>
    <col min="1" max="1" width="33.5703125" customWidth="1"/>
  </cols>
  <sheetData>
    <row r="1" spans="1:1" x14ac:dyDescent="0.25">
      <c r="A1" s="11" t="s">
        <v>5232</v>
      </c>
    </row>
    <row r="2" spans="1:1" x14ac:dyDescent="0.25">
      <c r="A2" s="11" t="s">
        <v>5233</v>
      </c>
    </row>
    <row r="3" spans="1:1" x14ac:dyDescent="0.25">
      <c r="A3" s="11" t="s">
        <v>5234</v>
      </c>
    </row>
    <row r="4" spans="1:1" x14ac:dyDescent="0.25">
      <c r="A4" s="11" t="s">
        <v>243</v>
      </c>
    </row>
    <row r="5" spans="1:1" x14ac:dyDescent="0.25">
      <c r="A5" s="11" t="s">
        <v>5235</v>
      </c>
    </row>
    <row r="6" spans="1:1" x14ac:dyDescent="0.25">
      <c r="A6" s="11" t="s">
        <v>5236</v>
      </c>
    </row>
    <row r="7" spans="1:1" x14ac:dyDescent="0.25">
      <c r="A7" s="11"/>
    </row>
    <row r="8" spans="1:1" x14ac:dyDescent="0.25">
      <c r="A8" s="11"/>
    </row>
    <row r="9" spans="1:1" x14ac:dyDescent="0.25">
      <c r="A9" s="11"/>
    </row>
    <row r="10" spans="1:1" x14ac:dyDescent="0.25">
      <c r="A10" s="11"/>
    </row>
    <row r="11" spans="1:1" x14ac:dyDescent="0.25">
      <c r="A11" s="11"/>
    </row>
    <row r="12" spans="1:1" x14ac:dyDescent="0.25">
      <c r="A12" s="11"/>
    </row>
    <row r="13" spans="1:1" x14ac:dyDescent="0.25">
      <c r="A13" s="11"/>
    </row>
    <row r="14" spans="1:1" x14ac:dyDescent="0.25">
      <c r="A14" s="11"/>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D029C-8815-47FB-A7C6-F63ECBAA61F4}">
  <sheetPr codeName="Sheet4"/>
  <dimension ref="A1:B2"/>
  <sheetViews>
    <sheetView workbookViewId="0">
      <selection activeCell="F35" sqref="F35"/>
    </sheetView>
  </sheetViews>
  <sheetFormatPr defaultRowHeight="15" x14ac:dyDescent="0.25"/>
  <cols>
    <col min="1" max="1" width="13.28515625" style="14" customWidth="1"/>
    <col min="2" max="2" width="25.28515625" customWidth="1"/>
  </cols>
  <sheetData>
    <row r="1" spans="1:2" x14ac:dyDescent="0.25">
      <c r="A1" s="14">
        <v>1</v>
      </c>
      <c r="B1" t="s">
        <v>5237</v>
      </c>
    </row>
    <row r="2" spans="1:2" x14ac:dyDescent="0.25">
      <c r="A2" s="14">
        <v>2</v>
      </c>
      <c r="B2" t="s">
        <v>5238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72AE62-F522-46FF-BDB7-2FBA37BAF720}">
  <sheetPr codeName="Sheet5"/>
  <dimension ref="A2"/>
  <sheetViews>
    <sheetView topLeftCell="B1" zoomScale="200" zoomScaleNormal="200" workbookViewId="0">
      <selection activeCell="X41" sqref="X41"/>
    </sheetView>
  </sheetViews>
  <sheetFormatPr defaultRowHeight="15" x14ac:dyDescent="0.25"/>
  <cols>
    <col min="1" max="1" width="74.7109375" customWidth="1"/>
  </cols>
  <sheetData>
    <row r="2" spans="1:1" x14ac:dyDescent="0.25">
      <c r="A2" t="s">
        <v>5239</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019A2E-F119-4DF0-8337-D032D513C8EA}">
  <sheetPr codeName="Sheet6"/>
  <dimension ref="A2:X83"/>
  <sheetViews>
    <sheetView zoomScaleNormal="100" workbookViewId="0">
      <selection activeCell="A3" sqref="A3"/>
    </sheetView>
  </sheetViews>
  <sheetFormatPr defaultRowHeight="15" x14ac:dyDescent="0.25"/>
  <cols>
    <col min="1" max="1" width="74.7109375" customWidth="1"/>
  </cols>
  <sheetData>
    <row r="2" spans="1:14" ht="75" x14ac:dyDescent="0.25">
      <c r="A2" s="1"/>
      <c r="B2" s="15" t="s">
        <v>5240</v>
      </c>
      <c r="C2" s="15" t="s">
        <v>5241</v>
      </c>
      <c r="D2" s="21" t="s">
        <v>5242</v>
      </c>
      <c r="E2" s="22" t="s">
        <v>5243</v>
      </c>
      <c r="F2" s="22" t="s">
        <v>5244</v>
      </c>
      <c r="G2" s="22" t="s">
        <v>5245</v>
      </c>
      <c r="H2" s="22" t="s">
        <v>5246</v>
      </c>
      <c r="I2" s="22" t="s">
        <v>5247</v>
      </c>
      <c r="J2" s="22" t="s">
        <v>5248</v>
      </c>
      <c r="K2" s="22" t="s">
        <v>5249</v>
      </c>
      <c r="L2" s="22" t="s">
        <v>22</v>
      </c>
      <c r="M2" s="22" t="s">
        <v>5250</v>
      </c>
      <c r="N2" s="22" t="s">
        <v>5251</v>
      </c>
    </row>
    <row r="3" spans="1:14" x14ac:dyDescent="0.25">
      <c r="A3" s="1" t="s">
        <v>3896</v>
      </c>
      <c r="B3" s="23">
        <v>2.1786492374727668</v>
      </c>
      <c r="C3" s="23">
        <v>9.1503267973856204</v>
      </c>
      <c r="D3" s="23">
        <v>6.318082788671024</v>
      </c>
      <c r="E3" s="23">
        <v>12.854030501089325</v>
      </c>
      <c r="F3" s="23">
        <v>20.043572984749456</v>
      </c>
      <c r="G3" s="23">
        <v>5.0108932461873641</v>
      </c>
      <c r="H3" s="23">
        <v>32.461873638344223</v>
      </c>
      <c r="I3" s="23">
        <v>9.5860566448801734</v>
      </c>
      <c r="J3" s="23">
        <v>0</v>
      </c>
      <c r="K3" s="23">
        <v>9.8039215686274517</v>
      </c>
      <c r="L3" s="23">
        <v>20.915032679738562</v>
      </c>
      <c r="M3" s="23">
        <v>4.3572984749455337</v>
      </c>
      <c r="N3" s="23">
        <v>12.418300653594772</v>
      </c>
    </row>
    <row r="4" spans="1:14" x14ac:dyDescent="0.25">
      <c r="A4" s="1" t="s">
        <v>4430</v>
      </c>
      <c r="B4" s="23">
        <v>1.2605042016806722</v>
      </c>
      <c r="C4" s="23">
        <v>9.4537815126050422</v>
      </c>
      <c r="D4" s="23">
        <v>6.3025210084033612</v>
      </c>
      <c r="E4" s="23">
        <v>13.445378151260504</v>
      </c>
      <c r="F4" s="23">
        <v>16.596638655462183</v>
      </c>
      <c r="G4" s="23">
        <v>4.2016806722689077</v>
      </c>
      <c r="H4" s="23">
        <v>38.02521008403361</v>
      </c>
      <c r="I4" s="23">
        <v>11.344537815126051</v>
      </c>
      <c r="J4" s="23">
        <v>0.21008403361344538</v>
      </c>
      <c r="K4" s="23">
        <v>8.1932773109243691</v>
      </c>
      <c r="L4" s="23">
        <v>21.428571428571427</v>
      </c>
      <c r="M4" s="23">
        <v>3.3613445378151261</v>
      </c>
      <c r="N4" s="23">
        <v>6.9327731092436977</v>
      </c>
    </row>
    <row r="5" spans="1:14" x14ac:dyDescent="0.25">
      <c r="A5" s="1"/>
      <c r="B5" s="15"/>
      <c r="C5" s="15"/>
      <c r="D5" s="15"/>
      <c r="E5" s="15"/>
      <c r="F5" s="15"/>
      <c r="G5" s="15"/>
      <c r="H5" s="15"/>
      <c r="I5" s="15"/>
      <c r="J5" s="15"/>
      <c r="K5" s="15"/>
      <c r="L5" s="15"/>
      <c r="M5" s="15"/>
      <c r="N5" s="15"/>
    </row>
    <row r="6" spans="1:14" x14ac:dyDescent="0.25">
      <c r="A6" s="1"/>
      <c r="B6" s="15"/>
      <c r="C6" s="15"/>
      <c r="D6" s="15"/>
      <c r="E6" s="15"/>
      <c r="F6" s="15"/>
      <c r="G6" s="15"/>
      <c r="H6" s="15"/>
      <c r="I6" s="15"/>
      <c r="J6" s="15"/>
      <c r="K6" s="15"/>
      <c r="L6" s="15"/>
      <c r="M6" s="15"/>
      <c r="N6" s="15"/>
    </row>
    <row r="41" spans="24:24" x14ac:dyDescent="0.25">
      <c r="X41" s="20"/>
    </row>
    <row r="81" spans="1:14" ht="75" x14ac:dyDescent="0.25">
      <c r="A81" s="1"/>
      <c r="B81" s="15" t="s">
        <v>5240</v>
      </c>
      <c r="C81" s="15" t="s">
        <v>5241</v>
      </c>
      <c r="D81" s="21" t="s">
        <v>5242</v>
      </c>
      <c r="E81" s="22" t="s">
        <v>5243</v>
      </c>
      <c r="F81" s="22" t="s">
        <v>5244</v>
      </c>
      <c r="G81" s="22" t="s">
        <v>5245</v>
      </c>
      <c r="H81" s="22" t="s">
        <v>5246</v>
      </c>
      <c r="I81" s="22" t="s">
        <v>5247</v>
      </c>
      <c r="J81" s="22" t="s">
        <v>5248</v>
      </c>
      <c r="K81" s="22" t="s">
        <v>5249</v>
      </c>
      <c r="L81" s="22" t="s">
        <v>22</v>
      </c>
      <c r="M81" s="22" t="s">
        <v>5250</v>
      </c>
      <c r="N81" s="22" t="s">
        <v>5251</v>
      </c>
    </row>
    <row r="82" spans="1:14" x14ac:dyDescent="0.25">
      <c r="A82" s="1" t="s">
        <v>4430</v>
      </c>
      <c r="B82" s="23">
        <v>1.2605042016806722</v>
      </c>
      <c r="C82" s="23">
        <v>9.4537815126050422</v>
      </c>
      <c r="D82" s="23">
        <v>6.3025210084033612</v>
      </c>
      <c r="E82" s="23">
        <v>13.445378151260504</v>
      </c>
      <c r="F82" s="23">
        <v>16.596638655462183</v>
      </c>
      <c r="G82" s="23">
        <v>4.2016806722689077</v>
      </c>
      <c r="H82" s="23">
        <v>38.02521008403361</v>
      </c>
      <c r="I82" s="23">
        <v>11.344537815126051</v>
      </c>
      <c r="J82" s="23">
        <v>0.21008403361344538</v>
      </c>
      <c r="K82" s="23">
        <v>8.1932773109243691</v>
      </c>
      <c r="L82" s="23">
        <v>21.428571428571427</v>
      </c>
      <c r="M82" s="23">
        <v>3.3613445378151261</v>
      </c>
      <c r="N82" s="23">
        <v>6.9327731092436977</v>
      </c>
    </row>
    <row r="83" spans="1:14" x14ac:dyDescent="0.25">
      <c r="B83">
        <v>2</v>
      </c>
      <c r="C83">
        <v>24</v>
      </c>
      <c r="D83">
        <v>59</v>
      </c>
      <c r="E83">
        <v>41</v>
      </c>
      <c r="F83">
        <v>65</v>
      </c>
      <c r="G83">
        <v>22</v>
      </c>
      <c r="H83">
        <v>131</v>
      </c>
      <c r="I83">
        <v>56</v>
      </c>
      <c r="J83">
        <v>0</v>
      </c>
      <c r="K83">
        <v>33</v>
      </c>
      <c r="L83">
        <v>47</v>
      </c>
      <c r="M83">
        <v>19</v>
      </c>
      <c r="N83">
        <v>47</v>
      </c>
    </row>
  </sheetData>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308E74-6E15-455A-BE9A-CB8B1363C714}">
  <sheetPr codeName="Sheet7"/>
  <dimension ref="A2:X82"/>
  <sheetViews>
    <sheetView zoomScaleNormal="100" workbookViewId="0">
      <selection activeCell="A5" sqref="A5"/>
    </sheetView>
  </sheetViews>
  <sheetFormatPr defaultRowHeight="15" x14ac:dyDescent="0.25"/>
  <cols>
    <col min="1" max="1" width="74.7109375" customWidth="1"/>
  </cols>
  <sheetData>
    <row r="2" spans="1:14" ht="75" x14ac:dyDescent="0.25">
      <c r="A2" s="1"/>
      <c r="B2" s="15" t="s">
        <v>5240</v>
      </c>
      <c r="C2" s="15" t="s">
        <v>5241</v>
      </c>
      <c r="D2" s="21" t="s">
        <v>5242</v>
      </c>
      <c r="E2" s="22" t="s">
        <v>5243</v>
      </c>
      <c r="F2" s="22" t="s">
        <v>5244</v>
      </c>
      <c r="G2" s="22" t="s">
        <v>5245</v>
      </c>
      <c r="H2" s="22" t="s">
        <v>5246</v>
      </c>
      <c r="I2" s="22" t="s">
        <v>5247</v>
      </c>
      <c r="J2" s="22" t="s">
        <v>5248</v>
      </c>
      <c r="K2" s="22" t="s">
        <v>5249</v>
      </c>
      <c r="L2" s="22" t="s">
        <v>22</v>
      </c>
      <c r="M2" s="22" t="s">
        <v>5250</v>
      </c>
      <c r="N2" s="22" t="s">
        <v>5251</v>
      </c>
    </row>
    <row r="3" spans="1:14" x14ac:dyDescent="0.25">
      <c r="A3" s="1" t="s">
        <v>4430</v>
      </c>
      <c r="B3" s="23">
        <v>1.2605042016806722</v>
      </c>
      <c r="C3" s="23">
        <v>9.4537815126050422</v>
      </c>
      <c r="D3" s="23">
        <v>6.3025210084033612</v>
      </c>
      <c r="E3" s="23">
        <v>13.445378151260504</v>
      </c>
      <c r="F3" s="23">
        <v>16.596638655462183</v>
      </c>
      <c r="G3" s="23">
        <v>4.2016806722689077</v>
      </c>
      <c r="H3" s="23">
        <v>38.02521008403361</v>
      </c>
      <c r="I3" s="23">
        <v>11.344537815126051</v>
      </c>
      <c r="J3" s="23">
        <v>0.21008403361344538</v>
      </c>
      <c r="K3" s="23">
        <v>8.1932773109243691</v>
      </c>
      <c r="L3" s="23">
        <v>21.428571428571427</v>
      </c>
      <c r="M3" s="23">
        <v>3.3613445378151261</v>
      </c>
      <c r="N3" s="23">
        <v>6.9327731092436977</v>
      </c>
    </row>
    <row r="4" spans="1:14" s="25" customFormat="1" x14ac:dyDescent="0.25">
      <c r="A4" s="24" t="s">
        <v>4849</v>
      </c>
      <c r="B4" s="23">
        <v>0.49504950495049505</v>
      </c>
      <c r="C4" s="23">
        <v>5.9405940594059405</v>
      </c>
      <c r="D4" s="23">
        <v>14.603960396039604</v>
      </c>
      <c r="E4" s="23">
        <v>10.14851485148515</v>
      </c>
      <c r="F4" s="23">
        <v>16.089108910891088</v>
      </c>
      <c r="G4" s="23">
        <v>5.4455445544554459</v>
      </c>
      <c r="H4" s="23">
        <v>32.425742574257427</v>
      </c>
      <c r="I4" s="23">
        <v>13.861386138613863</v>
      </c>
      <c r="J4" s="23">
        <v>0</v>
      </c>
      <c r="K4" s="23">
        <v>8.1683168316831694</v>
      </c>
      <c r="L4" s="23">
        <v>11.633663366336634</v>
      </c>
      <c r="M4" s="23">
        <v>4.7029702970297027</v>
      </c>
      <c r="N4" s="23">
        <v>11.633663366336634</v>
      </c>
    </row>
    <row r="5" spans="1:14" x14ac:dyDescent="0.25">
      <c r="A5" s="1"/>
      <c r="B5" s="15"/>
      <c r="C5" s="15"/>
      <c r="D5" s="15"/>
      <c r="E5" s="15"/>
      <c r="F5" s="15"/>
      <c r="G5" s="15"/>
      <c r="H5" s="15"/>
      <c r="I5" s="15"/>
      <c r="J5" s="15"/>
      <c r="K5" s="15"/>
      <c r="L5" s="15"/>
      <c r="M5" s="15"/>
      <c r="N5" s="15"/>
    </row>
    <row r="6" spans="1:14" x14ac:dyDescent="0.25">
      <c r="A6" s="1"/>
      <c r="B6" s="15"/>
      <c r="C6" s="15"/>
      <c r="D6" s="15"/>
      <c r="E6" s="15"/>
      <c r="F6" s="15"/>
      <c r="G6" s="15"/>
      <c r="H6" s="15"/>
      <c r="I6" s="15"/>
      <c r="J6" s="15"/>
      <c r="K6" s="15"/>
      <c r="L6" s="15"/>
      <c r="M6" s="15"/>
      <c r="N6" s="15"/>
    </row>
    <row r="41" spans="24:24" x14ac:dyDescent="0.25">
      <c r="X41" s="20"/>
    </row>
    <row r="81" spans="1:14" x14ac:dyDescent="0.25">
      <c r="A81" s="1"/>
      <c r="B81" s="15"/>
      <c r="C81" s="15"/>
      <c r="D81" s="21"/>
      <c r="E81" s="22"/>
      <c r="F81" s="22"/>
      <c r="G81" s="22"/>
      <c r="H81" s="22"/>
      <c r="I81" s="22"/>
      <c r="J81" s="22"/>
      <c r="K81" s="22"/>
      <c r="L81" s="22"/>
      <c r="M81" s="22"/>
      <c r="N81" s="22"/>
    </row>
    <row r="82" spans="1:14" x14ac:dyDescent="0.25">
      <c r="A82" s="1"/>
      <c r="B82" s="23"/>
      <c r="C82" s="23"/>
      <c r="D82" s="23"/>
      <c r="E82" s="23"/>
      <c r="F82" s="23"/>
      <c r="G82" s="23"/>
      <c r="H82" s="23"/>
      <c r="I82" s="23"/>
      <c r="J82" s="23"/>
      <c r="K82" s="23"/>
      <c r="L82" s="23"/>
      <c r="M82" s="23"/>
      <c r="N82" s="23"/>
    </row>
  </sheetData>
  <pageMargins left="0.7" right="0.7" top="0.75" bottom="0.75" header="0.3" footer="0.3"/>
  <pageSetup orientation="portrait"/>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C20D2-B41F-4AD5-93C7-BC7747427CCA}">
  <sheetPr codeName="Sheet8"/>
  <dimension ref="A2:X82"/>
  <sheetViews>
    <sheetView zoomScaleNormal="100" workbookViewId="0">
      <selection activeCell="K58" sqref="K58"/>
    </sheetView>
  </sheetViews>
  <sheetFormatPr defaultRowHeight="15" x14ac:dyDescent="0.25"/>
  <cols>
    <col min="1" max="1" width="74.7109375" customWidth="1"/>
  </cols>
  <sheetData>
    <row r="2" spans="1:14" ht="75" x14ac:dyDescent="0.25">
      <c r="A2" s="1"/>
      <c r="B2" s="15" t="s">
        <v>5240</v>
      </c>
      <c r="C2" s="15" t="s">
        <v>5241</v>
      </c>
      <c r="D2" s="21" t="s">
        <v>5242</v>
      </c>
      <c r="E2" s="22" t="s">
        <v>5243</v>
      </c>
      <c r="F2" s="22" t="s">
        <v>5244</v>
      </c>
      <c r="G2" s="22" t="s">
        <v>5245</v>
      </c>
      <c r="H2" s="22" t="s">
        <v>5246</v>
      </c>
      <c r="I2" s="22" t="s">
        <v>5247</v>
      </c>
      <c r="J2" s="22" t="s">
        <v>5248</v>
      </c>
      <c r="K2" s="22" t="s">
        <v>5249</v>
      </c>
      <c r="L2" s="22" t="s">
        <v>22</v>
      </c>
      <c r="M2" s="22" t="s">
        <v>5250</v>
      </c>
      <c r="N2" s="22" t="s">
        <v>5251</v>
      </c>
    </row>
    <row r="3" spans="1:14" x14ac:dyDescent="0.25">
      <c r="A3" s="1" t="s">
        <v>4430</v>
      </c>
      <c r="B3" s="23">
        <v>1.2605042016806722</v>
      </c>
      <c r="C3" s="23">
        <v>9.4537815126050422</v>
      </c>
      <c r="D3" s="23">
        <v>6.3025210084033612</v>
      </c>
      <c r="E3" s="23">
        <v>13.445378151260504</v>
      </c>
      <c r="F3" s="23">
        <v>16.596638655462183</v>
      </c>
      <c r="G3" s="23">
        <v>4.2016806722689077</v>
      </c>
      <c r="H3" s="23">
        <v>38.02521008403361</v>
      </c>
      <c r="I3" s="23">
        <v>11.344537815126051</v>
      </c>
      <c r="J3" s="23">
        <v>0.21008403361344538</v>
      </c>
      <c r="K3" s="23">
        <v>8.1932773109243691</v>
      </c>
      <c r="L3" s="23">
        <v>21.428571428571427</v>
      </c>
      <c r="M3" s="23">
        <v>3.3613445378151261</v>
      </c>
      <c r="N3" s="23">
        <v>6.9327731092436977</v>
      </c>
    </row>
    <row r="4" spans="1:14" s="25" customFormat="1" x14ac:dyDescent="0.25">
      <c r="A4" s="1" t="s">
        <v>4850</v>
      </c>
      <c r="B4" s="23">
        <v>0.46728971962616817</v>
      </c>
      <c r="C4" s="23">
        <v>8.4112149532710276</v>
      </c>
      <c r="D4" s="23">
        <v>11.682242990654206</v>
      </c>
      <c r="E4" s="23">
        <v>10.747663551401869</v>
      </c>
      <c r="F4" s="23">
        <v>18.22429906542056</v>
      </c>
      <c r="G4" s="23">
        <v>5.1401869158878499</v>
      </c>
      <c r="H4" s="23">
        <v>31.308411214953267</v>
      </c>
      <c r="I4" s="23">
        <v>14.018691588785046</v>
      </c>
      <c r="J4" s="23">
        <v>0</v>
      </c>
      <c r="K4" s="23">
        <v>11.682242990654206</v>
      </c>
      <c r="L4" s="23">
        <v>10.747663551401869</v>
      </c>
      <c r="M4" s="23">
        <v>3.7383177570093453</v>
      </c>
      <c r="N4" s="23">
        <v>13.551401869158877</v>
      </c>
    </row>
    <row r="5" spans="1:14" x14ac:dyDescent="0.25">
      <c r="A5" s="1" t="s">
        <v>4851</v>
      </c>
      <c r="B5" s="23">
        <v>0.52631578947368418</v>
      </c>
      <c r="C5" s="23">
        <v>3.1578947368421053</v>
      </c>
      <c r="D5" s="23">
        <v>17.894736842105264</v>
      </c>
      <c r="E5" s="23">
        <v>9.4736842105263168</v>
      </c>
      <c r="F5" s="23">
        <v>13.684210526315791</v>
      </c>
      <c r="G5" s="23">
        <v>5.7894736842105265</v>
      </c>
      <c r="H5" s="23">
        <v>33.684210526315788</v>
      </c>
      <c r="I5" s="23">
        <v>13.684210526315791</v>
      </c>
      <c r="J5" s="23">
        <v>0</v>
      </c>
      <c r="K5" s="23">
        <v>4.2105263157894735</v>
      </c>
      <c r="L5" s="23">
        <v>12.631578947368421</v>
      </c>
      <c r="M5" s="23">
        <v>5.7894736842105265</v>
      </c>
      <c r="N5" s="23">
        <v>9.4736842105263168</v>
      </c>
    </row>
    <row r="6" spans="1:14" x14ac:dyDescent="0.25">
      <c r="A6" s="1"/>
      <c r="B6" s="15"/>
      <c r="C6" s="15"/>
      <c r="D6" s="15"/>
      <c r="E6" s="15"/>
      <c r="F6" s="15"/>
      <c r="G6" s="15"/>
      <c r="H6" s="15"/>
      <c r="I6" s="15"/>
      <c r="J6" s="15"/>
      <c r="K6" s="15"/>
      <c r="L6" s="15"/>
      <c r="M6" s="15"/>
      <c r="N6" s="15"/>
    </row>
    <row r="41" spans="24:24" x14ac:dyDescent="0.25">
      <c r="X41" s="20"/>
    </row>
    <row r="81" spans="1:14" x14ac:dyDescent="0.25">
      <c r="A81" s="1"/>
      <c r="B81" s="15"/>
      <c r="C81" s="15"/>
      <c r="D81" s="21"/>
      <c r="E81" s="22"/>
      <c r="F81" s="22"/>
      <c r="G81" s="22"/>
      <c r="H81" s="22"/>
      <c r="I81" s="22"/>
      <c r="J81" s="22"/>
      <c r="K81" s="22"/>
      <c r="L81" s="22"/>
      <c r="M81" s="22"/>
      <c r="N81" s="22"/>
    </row>
    <row r="82" spans="1:14" x14ac:dyDescent="0.25">
      <c r="A82" s="1"/>
      <c r="B82" s="23"/>
      <c r="C82" s="23"/>
      <c r="D82" s="23"/>
      <c r="E82" s="23"/>
      <c r="F82" s="23"/>
      <c r="G82" s="23"/>
      <c r="H82" s="23"/>
      <c r="I82" s="23"/>
      <c r="J82" s="23"/>
      <c r="K82" s="23"/>
      <c r="L82" s="23"/>
      <c r="M82" s="23"/>
      <c r="N82" s="23"/>
    </row>
  </sheetData>
  <pageMargins left="0.7" right="0.7" top="0.75" bottom="0.75" header="0.3" footer="0.3"/>
  <pageSetup orientation="portrait"/>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708400-C058-4CCB-85A6-021E1FC68E17}">
  <sheetPr codeName="Sheet9"/>
  <dimension ref="A2:X83"/>
  <sheetViews>
    <sheetView topLeftCell="A19" zoomScaleNormal="100" workbookViewId="0">
      <selection activeCell="F2" sqref="F2:N6"/>
    </sheetView>
  </sheetViews>
  <sheetFormatPr defaultRowHeight="15" x14ac:dyDescent="0.25"/>
  <cols>
    <col min="1" max="1" width="74.7109375" customWidth="1"/>
  </cols>
  <sheetData>
    <row r="2" spans="1:14" ht="75" x14ac:dyDescent="0.25">
      <c r="A2" s="1"/>
      <c r="B2" s="15" t="s">
        <v>5240</v>
      </c>
      <c r="C2" s="15" t="s">
        <v>5241</v>
      </c>
      <c r="D2" s="21" t="s">
        <v>5242</v>
      </c>
      <c r="E2" s="22" t="s">
        <v>5243</v>
      </c>
      <c r="F2" s="22" t="s">
        <v>5244</v>
      </c>
      <c r="G2" s="22" t="s">
        <v>5245</v>
      </c>
      <c r="H2" s="22" t="s">
        <v>5246</v>
      </c>
      <c r="I2" s="22" t="s">
        <v>5247</v>
      </c>
      <c r="J2" s="22" t="s">
        <v>5248</v>
      </c>
      <c r="K2" s="22" t="s">
        <v>5249</v>
      </c>
      <c r="L2" s="22" t="s">
        <v>22</v>
      </c>
      <c r="M2" s="22" t="s">
        <v>5250</v>
      </c>
      <c r="N2" s="22" t="s">
        <v>5251</v>
      </c>
    </row>
    <row r="3" spans="1:14" x14ac:dyDescent="0.25">
      <c r="A3" s="1" t="s">
        <v>3896</v>
      </c>
      <c r="B3" s="23">
        <v>2.1786492374727668</v>
      </c>
      <c r="C3" s="23">
        <v>9.1503267973856204</v>
      </c>
      <c r="D3" s="23">
        <v>6.318082788671024</v>
      </c>
      <c r="E3" s="23">
        <v>12.854030501089325</v>
      </c>
      <c r="F3" s="23">
        <v>20.043572984749456</v>
      </c>
      <c r="G3" s="23">
        <v>5.0108932461873641</v>
      </c>
      <c r="H3" s="23">
        <v>32.461873638344223</v>
      </c>
      <c r="I3" s="23">
        <v>9.5860566448801734</v>
      </c>
      <c r="J3" s="23">
        <v>0</v>
      </c>
      <c r="K3" s="23">
        <v>9.8039215686274517</v>
      </c>
      <c r="L3" s="23">
        <v>20.915032679738562</v>
      </c>
      <c r="M3" s="23">
        <v>4.3572984749455337</v>
      </c>
      <c r="N3" s="23">
        <v>12.418300653594772</v>
      </c>
    </row>
    <row r="4" spans="1:14" x14ac:dyDescent="0.25">
      <c r="A4" s="1" t="s">
        <v>4430</v>
      </c>
      <c r="B4" s="23">
        <v>1.2605042016806722</v>
      </c>
      <c r="C4" s="23">
        <v>9.4537815126050422</v>
      </c>
      <c r="D4" s="23">
        <v>6.3025210084033612</v>
      </c>
      <c r="E4" s="23">
        <v>13.445378151260504</v>
      </c>
      <c r="F4" s="23">
        <v>16.596638655462183</v>
      </c>
      <c r="G4" s="23">
        <v>4.2016806722689077</v>
      </c>
      <c r="H4" s="23">
        <v>38.02521008403361</v>
      </c>
      <c r="I4" s="23">
        <v>11.344537815126051</v>
      </c>
      <c r="J4" s="23">
        <v>0.21008403361344538</v>
      </c>
      <c r="K4" s="23">
        <v>8.1932773109243691</v>
      </c>
      <c r="L4" s="23">
        <v>21.428571428571427</v>
      </c>
      <c r="M4" s="23">
        <v>3.3613445378151261</v>
      </c>
      <c r="N4" s="23">
        <v>6.9327731092436977</v>
      </c>
    </row>
    <row r="5" spans="1:14" s="25" customFormat="1" x14ac:dyDescent="0.25">
      <c r="A5" s="24" t="s">
        <v>4849</v>
      </c>
      <c r="B5" s="23">
        <v>0.49504950495049505</v>
      </c>
      <c r="C5" s="23">
        <v>5.9405940594059405</v>
      </c>
      <c r="D5" s="23">
        <v>14.603960396039604</v>
      </c>
      <c r="E5" s="23">
        <v>10.14851485148515</v>
      </c>
      <c r="F5" s="23">
        <v>16.089108910891088</v>
      </c>
      <c r="G5" s="23">
        <v>5.4455445544554459</v>
      </c>
      <c r="H5" s="23">
        <v>32.425742574257427</v>
      </c>
      <c r="I5" s="23">
        <v>13.861386138613863</v>
      </c>
      <c r="J5" s="23">
        <v>0</v>
      </c>
      <c r="K5" s="23">
        <v>8.1683168316831694</v>
      </c>
      <c r="L5" s="23">
        <v>11.633663366336634</v>
      </c>
      <c r="M5" s="23">
        <v>4.7029702970297027</v>
      </c>
      <c r="N5" s="23">
        <v>11.633663366336634</v>
      </c>
    </row>
    <row r="6" spans="1:14" x14ac:dyDescent="0.25">
      <c r="A6" s="19" t="s">
        <v>5252</v>
      </c>
      <c r="B6" s="23">
        <v>0.55555555555555558</v>
      </c>
      <c r="C6" s="23">
        <v>6.666666666666667</v>
      </c>
      <c r="D6" s="23">
        <v>16.388888888888889</v>
      </c>
      <c r="E6" s="23">
        <v>11.388888888888889</v>
      </c>
      <c r="F6" s="23">
        <v>11.944444444444445</v>
      </c>
      <c r="G6" s="23">
        <v>2.7777777777777777</v>
      </c>
      <c r="H6" s="23">
        <v>37.5</v>
      </c>
      <c r="I6" s="23">
        <v>14.166666666666666</v>
      </c>
      <c r="J6" s="23">
        <v>0</v>
      </c>
      <c r="K6" s="23">
        <v>8.3333333333333321</v>
      </c>
      <c r="L6" s="23">
        <v>15.277777777777779</v>
      </c>
      <c r="M6" s="23">
        <v>6.3888888888888884</v>
      </c>
      <c r="N6" s="23">
        <v>15</v>
      </c>
    </row>
    <row r="7" spans="1:14" x14ac:dyDescent="0.25">
      <c r="A7" s="1"/>
      <c r="B7" s="15"/>
      <c r="C7" s="15"/>
      <c r="D7" s="15"/>
      <c r="E7" s="15"/>
      <c r="F7" s="15"/>
      <c r="G7" s="15"/>
      <c r="H7" s="15"/>
      <c r="I7" s="15"/>
      <c r="J7" s="15"/>
      <c r="K7" s="15"/>
      <c r="L7" s="15"/>
      <c r="M7" s="15"/>
      <c r="N7" s="15"/>
    </row>
    <row r="42" spans="24:24" x14ac:dyDescent="0.25">
      <c r="X42" s="20"/>
    </row>
    <row r="82" spans="1:14" x14ac:dyDescent="0.25">
      <c r="A82" s="1"/>
      <c r="B82" s="15"/>
      <c r="C82" s="15"/>
      <c r="D82" s="21"/>
      <c r="E82" s="22"/>
      <c r="F82" s="22"/>
      <c r="G82" s="22"/>
      <c r="H82" s="22"/>
      <c r="I82" s="22"/>
      <c r="J82" s="22"/>
      <c r="K82" s="22"/>
      <c r="L82" s="22"/>
      <c r="M82" s="22"/>
      <c r="N82" s="22"/>
    </row>
    <row r="83" spans="1:14" x14ac:dyDescent="0.25">
      <c r="A83" s="1"/>
      <c r="B83" s="23"/>
      <c r="C83" s="23"/>
      <c r="D83" s="23"/>
      <c r="E83" s="23"/>
      <c r="F83" s="23"/>
      <c r="G83" s="23"/>
      <c r="H83" s="23"/>
      <c r="I83" s="23"/>
      <c r="J83" s="23"/>
      <c r="K83" s="23"/>
      <c r="L83" s="23"/>
      <c r="M83" s="23"/>
      <c r="N83" s="23"/>
    </row>
  </sheetData>
  <pageMargins left="0.7" right="0.7" top="0.75" bottom="0.75" header="0.3" footer="0.3"/>
  <pageSetup orientation="portrait"/>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C83E7F-9F07-4A94-8968-5B519DC03CDA}">
  <sheetPr codeName="Sheet10"/>
  <dimension ref="A2:X110"/>
  <sheetViews>
    <sheetView tabSelected="1" topLeftCell="A27" zoomScale="115" zoomScaleNormal="115" workbookViewId="0">
      <selection activeCell="E43" sqref="E43"/>
    </sheetView>
  </sheetViews>
  <sheetFormatPr defaultRowHeight="15" x14ac:dyDescent="0.25"/>
  <cols>
    <col min="1" max="1" width="60.5703125" customWidth="1"/>
    <col min="2" max="5" width="14.140625" customWidth="1"/>
  </cols>
  <sheetData>
    <row r="2" spans="1:14" ht="30" x14ac:dyDescent="0.25">
      <c r="A2" s="1"/>
      <c r="B2" s="30" t="s">
        <v>5240</v>
      </c>
      <c r="C2" s="30" t="s">
        <v>5241</v>
      </c>
      <c r="D2" s="21" t="s">
        <v>5242</v>
      </c>
      <c r="E2" s="22" t="s">
        <v>5243</v>
      </c>
      <c r="F2" s="22"/>
      <c r="G2" s="22"/>
      <c r="H2" s="22"/>
      <c r="I2" s="22"/>
      <c r="J2" s="22"/>
      <c r="K2" s="22"/>
      <c r="L2" s="22"/>
      <c r="M2" s="22"/>
      <c r="N2" s="22"/>
    </row>
    <row r="3" spans="1:14" x14ac:dyDescent="0.25">
      <c r="A3" s="1" t="s">
        <v>4430</v>
      </c>
      <c r="B3" s="23">
        <v>1.2605042016806722</v>
      </c>
      <c r="C3" s="23">
        <v>9.4537815126050422</v>
      </c>
      <c r="D3" s="23">
        <v>6.3025210084033612</v>
      </c>
      <c r="E3" s="23">
        <v>13.445378151260504</v>
      </c>
      <c r="F3" s="23"/>
      <c r="G3" s="23"/>
      <c r="H3" s="23"/>
      <c r="I3" s="23"/>
      <c r="J3" s="23"/>
      <c r="K3" s="23"/>
      <c r="L3" s="23"/>
      <c r="M3" s="23"/>
      <c r="N3" s="23"/>
    </row>
    <row r="4" spans="1:14" s="25" customFormat="1" x14ac:dyDescent="0.25">
      <c r="A4" s="24" t="s">
        <v>4849</v>
      </c>
      <c r="B4" s="23">
        <v>0.49504950495049505</v>
      </c>
      <c r="C4" s="23">
        <v>5.9405940594059405</v>
      </c>
      <c r="D4" s="23">
        <v>14.603960396039604</v>
      </c>
      <c r="E4" s="23">
        <v>10.14851485148515</v>
      </c>
      <c r="F4" s="23"/>
      <c r="G4" s="23"/>
      <c r="H4" s="23"/>
      <c r="I4" s="23"/>
      <c r="J4" s="23"/>
      <c r="K4" s="23"/>
      <c r="L4" s="23"/>
      <c r="M4" s="23"/>
      <c r="N4" s="23"/>
    </row>
    <row r="5" spans="1:14" x14ac:dyDescent="0.25">
      <c r="A5" s="19" t="s">
        <v>5252</v>
      </c>
      <c r="B5" s="23">
        <v>0.55555555555555558</v>
      </c>
      <c r="C5" s="23">
        <v>6.666666666666667</v>
      </c>
      <c r="D5" s="23">
        <v>16.388888888888889</v>
      </c>
      <c r="E5" s="23">
        <v>11.388888888888889</v>
      </c>
      <c r="F5" s="23"/>
      <c r="G5" s="23"/>
      <c r="H5" s="23"/>
      <c r="I5" s="23"/>
      <c r="J5" s="23"/>
      <c r="K5" s="23"/>
      <c r="M5" s="23"/>
      <c r="N5" s="23"/>
    </row>
    <row r="6" spans="1:14" x14ac:dyDescent="0.25">
      <c r="A6" s="1" t="s">
        <v>5253</v>
      </c>
      <c r="B6" s="23">
        <v>1.19</v>
      </c>
      <c r="C6" s="23">
        <v>5.94</v>
      </c>
      <c r="D6" s="23">
        <v>31.83</v>
      </c>
      <c r="E6" s="23">
        <v>17.579999999999998</v>
      </c>
      <c r="F6" s="15"/>
      <c r="G6" s="15"/>
      <c r="H6" s="15"/>
      <c r="I6" s="15"/>
      <c r="J6" s="15"/>
      <c r="K6" s="15"/>
      <c r="L6" s="15"/>
      <c r="M6" s="15"/>
      <c r="N6" s="15"/>
    </row>
    <row r="7" spans="1:14" x14ac:dyDescent="0.25">
      <c r="A7" s="1" t="s">
        <v>5254</v>
      </c>
      <c r="B7" s="23">
        <v>0.2</v>
      </c>
      <c r="C7" s="23">
        <v>5.48</v>
      </c>
      <c r="D7" s="23">
        <v>28.38</v>
      </c>
      <c r="E7" s="23">
        <v>11.94</v>
      </c>
    </row>
    <row r="8" spans="1:14" x14ac:dyDescent="0.25">
      <c r="A8" t="s">
        <v>5255</v>
      </c>
      <c r="B8" s="23">
        <v>0.17</v>
      </c>
      <c r="C8">
        <v>5.67</v>
      </c>
      <c r="D8">
        <v>14.08</v>
      </c>
      <c r="E8">
        <v>18.38</v>
      </c>
    </row>
    <row r="9" spans="1:14" x14ac:dyDescent="0.25">
      <c r="A9" t="s">
        <v>5256</v>
      </c>
      <c r="B9">
        <v>0.98</v>
      </c>
      <c r="C9">
        <v>7.57</v>
      </c>
      <c r="D9">
        <v>29.31</v>
      </c>
      <c r="E9">
        <v>22.3</v>
      </c>
    </row>
    <row r="10" spans="1:14" x14ac:dyDescent="0.25">
      <c r="A10" t="s">
        <v>5257</v>
      </c>
      <c r="B10" s="25">
        <v>0.67796610169491522</v>
      </c>
      <c r="C10" s="25">
        <v>8.1355932203389827</v>
      </c>
      <c r="D10" s="25">
        <v>36.610169491525426</v>
      </c>
      <c r="E10" s="25">
        <v>33.220338983050844</v>
      </c>
    </row>
    <row r="11" spans="1:14" x14ac:dyDescent="0.25">
      <c r="A11" t="s">
        <v>5258</v>
      </c>
      <c r="B11">
        <v>2.5299999999999998</v>
      </c>
      <c r="C11">
        <v>3.7</v>
      </c>
      <c r="D11">
        <v>37.229999999999997</v>
      </c>
      <c r="E11">
        <v>24.95</v>
      </c>
    </row>
    <row r="12" spans="1:14" x14ac:dyDescent="0.25">
      <c r="A12" t="s">
        <v>5259</v>
      </c>
      <c r="B12">
        <v>0.48</v>
      </c>
      <c r="C12">
        <v>4.41</v>
      </c>
      <c r="D12">
        <v>38.729999999999997</v>
      </c>
      <c r="E12">
        <v>22.8</v>
      </c>
    </row>
    <row r="13" spans="1:14" x14ac:dyDescent="0.25">
      <c r="A13" t="s">
        <v>5260</v>
      </c>
      <c r="B13">
        <v>1.3</v>
      </c>
      <c r="C13">
        <v>5.91</v>
      </c>
      <c r="D13">
        <v>31.18</v>
      </c>
      <c r="E13">
        <v>26.34</v>
      </c>
    </row>
    <row r="14" spans="1:14" x14ac:dyDescent="0.25">
      <c r="A14" t="s">
        <v>5261</v>
      </c>
      <c r="B14">
        <v>1.66</v>
      </c>
      <c r="C14">
        <v>4.08</v>
      </c>
      <c r="D14">
        <v>11.63</v>
      </c>
      <c r="E14">
        <v>5.28</v>
      </c>
    </row>
    <row r="15" spans="1:14" x14ac:dyDescent="0.25">
      <c r="A15" t="s">
        <v>5262</v>
      </c>
      <c r="B15">
        <v>0.45</v>
      </c>
      <c r="C15">
        <v>1.96</v>
      </c>
      <c r="D15">
        <v>10.57</v>
      </c>
      <c r="E15">
        <v>5.74</v>
      </c>
    </row>
    <row r="16" spans="1:14" x14ac:dyDescent="0.25">
      <c r="A16" t="s">
        <v>5263</v>
      </c>
      <c r="B16">
        <v>2.04</v>
      </c>
      <c r="C16">
        <v>3.06</v>
      </c>
      <c r="D16">
        <v>6.99</v>
      </c>
      <c r="E16">
        <v>4.66</v>
      </c>
    </row>
    <row r="17" spans="1:5" x14ac:dyDescent="0.25">
      <c r="A17" t="s">
        <v>5264</v>
      </c>
      <c r="B17" s="15">
        <v>1.34</v>
      </c>
      <c r="C17">
        <v>3.26</v>
      </c>
      <c r="D17">
        <v>8.83</v>
      </c>
      <c r="E17">
        <v>4.99</v>
      </c>
    </row>
    <row r="18" spans="1:5" x14ac:dyDescent="0.25">
      <c r="A18" t="s">
        <v>5265</v>
      </c>
      <c r="B18">
        <v>0.6</v>
      </c>
      <c r="C18">
        <v>1</v>
      </c>
      <c r="D18">
        <v>6</v>
      </c>
      <c r="E18">
        <v>2.4</v>
      </c>
    </row>
    <row r="19" spans="1:5" x14ac:dyDescent="0.25">
      <c r="A19" t="s">
        <v>5266</v>
      </c>
      <c r="B19">
        <v>1.57</v>
      </c>
      <c r="C19">
        <v>2.42</v>
      </c>
      <c r="D19">
        <v>8.74</v>
      </c>
      <c r="E19">
        <v>9.19</v>
      </c>
    </row>
    <row r="20" spans="1:5" x14ac:dyDescent="0.25">
      <c r="A20" t="s">
        <v>5267</v>
      </c>
      <c r="B20">
        <v>2.46</v>
      </c>
      <c r="C20">
        <v>3.45</v>
      </c>
      <c r="D20">
        <v>8.8699999999999992</v>
      </c>
      <c r="E20">
        <v>10.84</v>
      </c>
    </row>
    <row r="21" spans="1:5" x14ac:dyDescent="0.25">
      <c r="A21" t="s">
        <v>5268</v>
      </c>
      <c r="B21">
        <v>2.73</v>
      </c>
      <c r="C21">
        <v>7.1</v>
      </c>
      <c r="D21">
        <v>34.42</v>
      </c>
      <c r="E21">
        <v>19.12</v>
      </c>
    </row>
    <row r="22" spans="1:5" x14ac:dyDescent="0.25">
      <c r="A22" t="s">
        <v>5269</v>
      </c>
      <c r="B22">
        <v>3.49</v>
      </c>
      <c r="C22">
        <v>5.24</v>
      </c>
      <c r="D22">
        <v>29.69</v>
      </c>
      <c r="E22">
        <v>20.09</v>
      </c>
    </row>
    <row r="23" spans="1:5" x14ac:dyDescent="0.25">
      <c r="A23" t="s">
        <v>5270</v>
      </c>
      <c r="B23">
        <v>4.53</v>
      </c>
      <c r="C23">
        <v>3.73</v>
      </c>
      <c r="D23">
        <v>14.93</v>
      </c>
      <c r="E23">
        <v>13.07</v>
      </c>
    </row>
    <row r="24" spans="1:5" x14ac:dyDescent="0.25">
      <c r="A24" t="s">
        <v>5271</v>
      </c>
      <c r="B24">
        <v>4.9000000000000004</v>
      </c>
      <c r="C24">
        <v>4.2300000000000004</v>
      </c>
      <c r="D24">
        <v>23.39</v>
      </c>
      <c r="E24">
        <v>12.69</v>
      </c>
    </row>
    <row r="25" spans="1:5" x14ac:dyDescent="0.25">
      <c r="A25" t="s">
        <v>5272</v>
      </c>
      <c r="B25">
        <v>3.56</v>
      </c>
      <c r="C25">
        <v>2.14</v>
      </c>
      <c r="D25">
        <v>19.93</v>
      </c>
      <c r="E25">
        <v>13.17</v>
      </c>
    </row>
    <row r="26" spans="1:5" x14ac:dyDescent="0.25">
      <c r="A26" t="s">
        <v>5273</v>
      </c>
      <c r="B26" s="25">
        <v>3.9513677811550152</v>
      </c>
      <c r="C26" s="25">
        <v>4.5592705167173255</v>
      </c>
      <c r="D26" s="25">
        <v>49.848024316109424</v>
      </c>
      <c r="E26" s="25">
        <v>24.012158054711247</v>
      </c>
    </row>
    <row r="27" spans="1:5" x14ac:dyDescent="0.25">
      <c r="A27" t="s">
        <v>5274</v>
      </c>
      <c r="B27">
        <v>3.73</v>
      </c>
      <c r="C27">
        <v>4.5599999999999996</v>
      </c>
      <c r="D27">
        <v>22.82</v>
      </c>
      <c r="E27">
        <v>15.35</v>
      </c>
    </row>
    <row r="28" spans="1:5" x14ac:dyDescent="0.25">
      <c r="A28" t="s">
        <v>5275</v>
      </c>
      <c r="B28">
        <v>4.03</v>
      </c>
      <c r="C28">
        <v>3.23</v>
      </c>
      <c r="D28">
        <v>8.06</v>
      </c>
      <c r="E28">
        <v>14.52</v>
      </c>
    </row>
    <row r="29" spans="1:5" x14ac:dyDescent="0.25">
      <c r="A29" t="s">
        <v>5276</v>
      </c>
      <c r="B29" s="25">
        <v>3.2640949554896146</v>
      </c>
      <c r="C29" s="25">
        <v>2.0771513353115725</v>
      </c>
      <c r="D29" s="25">
        <v>18.100890207715135</v>
      </c>
      <c r="E29" s="25">
        <v>7.1216617210682491</v>
      </c>
    </row>
    <row r="30" spans="1:5" x14ac:dyDescent="0.25">
      <c r="A30" t="s">
        <v>5277</v>
      </c>
      <c r="B30" s="25">
        <v>3.4615384615384617</v>
      </c>
      <c r="C30" s="25">
        <v>1.153846153846154</v>
      </c>
      <c r="D30" s="25">
        <v>15.769230769230768</v>
      </c>
      <c r="E30" s="25">
        <v>10</v>
      </c>
    </row>
    <row r="31" spans="1:5" x14ac:dyDescent="0.25">
      <c r="A31" t="s">
        <v>5278</v>
      </c>
      <c r="B31" s="23">
        <f>(B30/178)*100</f>
        <v>1.9446845289541919</v>
      </c>
      <c r="C31" s="23">
        <f t="shared" ref="C31:E31" si="0">(C30/178)*100</f>
        <v>0.64822817631806406</v>
      </c>
      <c r="D31" s="23">
        <f t="shared" si="0"/>
        <v>8.8591184096802067</v>
      </c>
      <c r="E31" s="23">
        <f t="shared" si="0"/>
        <v>5.6179775280898872</v>
      </c>
    </row>
    <row r="32" spans="1:5" x14ac:dyDescent="0.25">
      <c r="A32" s="32" t="s">
        <v>5279</v>
      </c>
      <c r="B32" s="25">
        <v>3.9800995024875623</v>
      </c>
      <c r="C32" s="25">
        <v>0.99502487562189057</v>
      </c>
      <c r="D32" s="25">
        <v>17.412935323383085</v>
      </c>
      <c r="E32" s="25">
        <v>7.9601990049751246</v>
      </c>
    </row>
    <row r="33" spans="1:5" x14ac:dyDescent="0.25">
      <c r="A33" s="32" t="s">
        <v>5280</v>
      </c>
      <c r="B33" s="25">
        <v>0.05</v>
      </c>
      <c r="C33" s="25">
        <v>0</v>
      </c>
      <c r="D33" s="25">
        <v>0.155</v>
      </c>
      <c r="E33" s="25">
        <v>5.5E-2</v>
      </c>
    </row>
    <row r="34" spans="1:5" x14ac:dyDescent="0.25">
      <c r="A34" s="32" t="s">
        <v>5281</v>
      </c>
      <c r="B34" s="25">
        <v>9.0016366612111296E-3</v>
      </c>
      <c r="C34" s="25">
        <v>5.7283142389525366E-3</v>
      </c>
      <c r="D34" s="25">
        <v>4.2553191489361701E-2</v>
      </c>
      <c r="E34" s="25">
        <v>1.2274959083469721E-2</v>
      </c>
    </row>
    <row r="35" spans="1:5" x14ac:dyDescent="0.25">
      <c r="A35" s="32" t="s">
        <v>5282</v>
      </c>
      <c r="B35" s="25">
        <v>0.72</v>
      </c>
      <c r="C35" s="25">
        <v>0</v>
      </c>
      <c r="D35" s="25">
        <v>6.75</v>
      </c>
      <c r="E35" s="25">
        <v>0.48</v>
      </c>
    </row>
    <row r="36" spans="1:5" x14ac:dyDescent="0.25">
      <c r="A36" s="32" t="s">
        <v>5283</v>
      </c>
      <c r="B36" s="25">
        <v>0.2</v>
      </c>
      <c r="C36" s="25">
        <v>0.2</v>
      </c>
      <c r="D36" s="25">
        <v>5.65</v>
      </c>
      <c r="E36" s="25">
        <v>2.02</v>
      </c>
    </row>
    <row r="37" spans="1:5" x14ac:dyDescent="0.25">
      <c r="A37" s="32" t="s">
        <v>5284</v>
      </c>
      <c r="B37" s="25">
        <v>0.27548209366391185</v>
      </c>
      <c r="C37" s="25">
        <v>0.55096418732782371</v>
      </c>
      <c r="D37" s="25">
        <v>6.887052341597796</v>
      </c>
      <c r="E37" s="25">
        <v>1.9283746556473829</v>
      </c>
    </row>
    <row r="38" spans="1:5" x14ac:dyDescent="0.25">
      <c r="A38" s="32" t="s">
        <v>5285</v>
      </c>
      <c r="B38" s="31">
        <v>0.01</v>
      </c>
      <c r="C38" s="31">
        <v>0.02</v>
      </c>
      <c r="D38" s="31">
        <v>0.08</v>
      </c>
      <c r="E38" s="31">
        <v>0.03</v>
      </c>
    </row>
    <row r="39" spans="1:5" x14ac:dyDescent="0.25">
      <c r="A39" s="32" t="s">
        <v>5286</v>
      </c>
      <c r="B39" s="24">
        <v>1.6203703703703703E-2</v>
      </c>
      <c r="C39" s="24">
        <v>6.9444444444444441E-3</v>
      </c>
      <c r="D39" s="24">
        <v>6.25E-2</v>
      </c>
      <c r="E39" s="24">
        <v>6.9444444444444441E-3</v>
      </c>
    </row>
    <row r="40" spans="1:5" x14ac:dyDescent="0.25">
      <c r="A40" s="32" t="s">
        <v>5287</v>
      </c>
      <c r="B40" s="24">
        <v>1.1655011655011656E-2</v>
      </c>
      <c r="C40" s="24">
        <v>0</v>
      </c>
      <c r="D40" s="24">
        <v>4.6620046620046623E-2</v>
      </c>
      <c r="E40" s="24">
        <v>3.4965034965034965E-3</v>
      </c>
    </row>
    <row r="41" spans="1:5" x14ac:dyDescent="0.25">
      <c r="A41" s="32" t="s">
        <v>5288</v>
      </c>
      <c r="B41" s="33">
        <v>0.01</v>
      </c>
      <c r="C41" s="33">
        <v>0</v>
      </c>
      <c r="D41" s="33">
        <v>0.01</v>
      </c>
      <c r="E41" s="33">
        <v>0.03</v>
      </c>
    </row>
    <row r="42" spans="1:5" x14ac:dyDescent="0.25">
      <c r="A42" s="32" t="s">
        <v>5290</v>
      </c>
      <c r="B42" s="34">
        <v>2.3094688221709007E-3</v>
      </c>
      <c r="C42" s="34">
        <v>0</v>
      </c>
      <c r="D42" s="34">
        <v>1.3856812933025405E-2</v>
      </c>
      <c r="E42" s="34">
        <v>6.9284064665127024E-3</v>
      </c>
    </row>
    <row r="43" spans="1:5" x14ac:dyDescent="0.25">
      <c r="A43" s="32" t="s">
        <v>5289</v>
      </c>
      <c r="B43" s="35">
        <f>+B42/968*100</f>
        <v>2.3858148989368809E-4</v>
      </c>
      <c r="C43" s="35">
        <f t="shared" ref="C43:E43" si="1">+C42/968*100</f>
        <v>0</v>
      </c>
      <c r="D43" s="35">
        <f t="shared" si="1"/>
        <v>1.4314889393621287E-3</v>
      </c>
      <c r="E43" s="35">
        <f t="shared" si="1"/>
        <v>7.1574446968106437E-4</v>
      </c>
    </row>
    <row r="69" spans="24:24" x14ac:dyDescent="0.25">
      <c r="X69" s="20"/>
    </row>
    <row r="109" spans="1:14" x14ac:dyDescent="0.25">
      <c r="A109" s="1"/>
      <c r="B109" s="15"/>
      <c r="C109" s="15"/>
      <c r="D109" s="21"/>
      <c r="E109" s="22"/>
      <c r="F109" s="22"/>
      <c r="G109" s="22"/>
      <c r="H109" s="22"/>
      <c r="I109" s="22"/>
      <c r="J109" s="22"/>
      <c r="K109" s="22"/>
      <c r="L109" s="22"/>
      <c r="M109" s="22"/>
      <c r="N109" s="22"/>
    </row>
    <row r="110" spans="1:14" x14ac:dyDescent="0.25">
      <c r="A110" s="1"/>
      <c r="B110" s="23"/>
      <c r="C110" s="23"/>
      <c r="D110" s="23"/>
      <c r="E110" s="23"/>
      <c r="F110" s="23"/>
      <c r="G110" s="23"/>
      <c r="H110" s="23"/>
      <c r="I110" s="23"/>
      <c r="J110" s="23"/>
      <c r="K110" s="23"/>
      <c r="L110" s="23"/>
      <c r="M110" s="23"/>
      <c r="N110" s="23"/>
    </row>
  </sheetData>
  <pageMargins left="0.7" right="0.7" top="0.75" bottom="0.75" header="0.3" footer="0.3"/>
  <pageSetup orientation="portrait"/>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A37543A2B825844ACD137C89069AB04" ma:contentTypeVersion="5" ma:contentTypeDescription="Create a new document." ma:contentTypeScope="" ma:versionID="5725073f5a4849850a60e928e69fee0e">
  <xsd:schema xmlns:xsd="http://www.w3.org/2001/XMLSchema" xmlns:xs="http://www.w3.org/2001/XMLSchema" xmlns:p="http://schemas.microsoft.com/office/2006/metadata/properties" xmlns:ns3="81e73cfc-1ce2-4e41-a243-844dd7243c4e" xmlns:ns4="ca1eb5b5-6fa3-4822-b162-9a26542d699a" targetNamespace="http://schemas.microsoft.com/office/2006/metadata/properties" ma:root="true" ma:fieldsID="84710d9282ceb5ccf03c4fd7f4a3f12e" ns3:_="" ns4:_="">
    <xsd:import namespace="81e73cfc-1ce2-4e41-a243-844dd7243c4e"/>
    <xsd:import namespace="ca1eb5b5-6fa3-4822-b162-9a26542d699a"/>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1e73cfc-1ce2-4e41-a243-844dd7243c4e"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a1eb5b5-6fa3-4822-b162-9a26542d699a"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D07E61DB-7492-424E-BA3B-B4A1FA7163BA}">
  <ds:schemaRefs>
    <ds:schemaRef ds:uri="http://schemas.microsoft.com/sharepoint/v3/contenttype/forms"/>
  </ds:schemaRefs>
</ds:datastoreItem>
</file>

<file path=customXml/itemProps2.xml><?xml version="1.0" encoding="utf-8"?>
<ds:datastoreItem xmlns:ds="http://schemas.openxmlformats.org/officeDocument/2006/customXml" ds:itemID="{BD6EA87D-B85C-491E-AA3D-7B08CC5E277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1e73cfc-1ce2-4e41-a243-844dd7243c4e"/>
    <ds:schemaRef ds:uri="ca1eb5b5-6fa3-4822-b162-9a26542d699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74CF750-B1D4-4733-B66A-E2D73CA16F06}">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vt:i4>
      </vt:variant>
    </vt:vector>
  </HeadingPairs>
  <TitlesOfParts>
    <vt:vector size="13" baseType="lpstr">
      <vt:lpstr>Outpatient (Old)</vt:lpstr>
      <vt:lpstr>Tags</vt:lpstr>
      <vt:lpstr>Categories</vt:lpstr>
      <vt:lpstr>Feedback</vt:lpstr>
      <vt:lpstr>12-13-2022Trends</vt:lpstr>
      <vt:lpstr>12-23-2022Trends</vt:lpstr>
      <vt:lpstr>12-27-2022Trends</vt:lpstr>
      <vt:lpstr>12-27-2022Trends Weekly</vt:lpstr>
      <vt:lpstr>1-16-2023 Trends Weekly</vt:lpstr>
      <vt:lpstr>Mobile-General Trends Weekly</vt:lpstr>
      <vt:lpstr>I2478M2977</vt:lpstr>
      <vt:lpstr>I24M78M2977</vt:lpstr>
      <vt:lpstr>Z2483M2997</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Blaine, Mahdi A. (booz Allen Hamilton Inc.)</dc:creator>
  <cp:keywords/>
  <dc:description/>
  <cp:lastModifiedBy>PUSEY, LORI (AGILE SIX APPLICATIONS, INC.)</cp:lastModifiedBy>
  <cp:revision/>
  <dcterms:created xsi:type="dcterms:W3CDTF">2022-09-19T15:30:57Z</dcterms:created>
  <dcterms:modified xsi:type="dcterms:W3CDTF">2024-12-20T17:21:44Z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0x010100DA37543A2B825844ACD137C89069AB04</vt:lpwstr>
  </property>
</Properties>
</file>