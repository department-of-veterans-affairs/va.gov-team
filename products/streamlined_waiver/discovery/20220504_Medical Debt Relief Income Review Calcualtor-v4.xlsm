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U:\0001-SEM Projects\MedDebtWaiver\j. Other Project Documents\"/>
    </mc:Choice>
  </mc:AlternateContent>
  <xr:revisionPtr revIDLastSave="0" documentId="13_ncr:1_{09827DE4-CAD7-4E2A-BDBF-6833A75B2029}" xr6:coauthVersionLast="47" xr6:coauthVersionMax="47" xr10:uidLastSave="{00000000-0000-0000-0000-000000000000}"/>
  <bookViews>
    <workbookView xWindow="28680" yWindow="-120" windowWidth="21840" windowHeight="13140" firstSheet="1" activeTab="1" xr2:uid="{D0BF2AF2-F310-49D5-BC70-8CCD27A0B158}"/>
  </bookViews>
  <sheets>
    <sheet name="Debt Waiver Decision Tool (1)" sheetId="1" state="hidden" r:id="rId1"/>
    <sheet name="Debt Waiver Decision Tool" sheetId="2" r:id="rId2"/>
    <sheet name="Sheet1" sheetId="3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3" i="2" l="1"/>
  <c r="B13" i="2" l="1"/>
  <c r="B21" i="2"/>
  <c r="F8" i="1"/>
  <c r="F11" i="1" s="1"/>
  <c r="F10" i="2" l="1"/>
  <c r="F14" i="1"/>
  <c r="F16" i="2" l="1"/>
  <c r="F13" i="2"/>
</calcChain>
</file>

<file path=xl/sharedStrings.xml><?xml version="1.0" encoding="utf-8"?>
<sst xmlns="http://schemas.openxmlformats.org/spreadsheetml/2006/main" count="18" uniqueCount="17">
  <si>
    <t>Veteran Income</t>
  </si>
  <si>
    <t>GMT Based on Zip Code and Dependents</t>
  </si>
  <si>
    <t>Decision</t>
  </si>
  <si>
    <t>Veteran's Liquid Asset</t>
  </si>
  <si>
    <t>Veteran's Discretionary Income</t>
  </si>
  <si>
    <t>Income Annual</t>
  </si>
  <si>
    <t>Annually</t>
  </si>
  <si>
    <t>Monthly</t>
  </si>
  <si>
    <t>Step 1. Facility #, Veteran Last Name, Veteran Last 4</t>
  </si>
  <si>
    <t>Step 3. 5655 Income Reported Annually or Monthly (Section 2)</t>
  </si>
  <si>
    <t>Step 4. 5655 Self &amp; Spouse Household Income (Section 2, #17)</t>
  </si>
  <si>
    <t>Step 2. GMT Threshold Income from VA Website (Income Total Derived from Veteran Zip Code &amp; 5655 Reported Dependents (Section 1, #10))</t>
  </si>
  <si>
    <t>Step 5. 5655 Report Available in Hand/Bank Cash (Section 5, #25, &amp; 26)</t>
  </si>
  <si>
    <t>Step 6. 5655 Monthly Expenses (Sections 3 &amp; 6)</t>
  </si>
  <si>
    <t>Total 5655 Reported Monthly Expenses</t>
  </si>
  <si>
    <t xml:space="preserve">NOTE: If debt being waived is over $5,000, follow manual </t>
  </si>
  <si>
    <t>review DOA approval.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</si>
</sst>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3"/>
      <color theme="0"/>
      <name val="Calibri"/>
      <family val="2"/>
      <scheme val="minor"/>
    </font>
    <font>
      <b/>
      <sz val="13"/>
      <color theme="8" tint="-0.249977111117893"/>
      <name val="Calibri"/>
      <family val="2"/>
      <scheme val="minor"/>
    </font>
    <font>
      <b/>
      <sz val="13"/>
      <name val="Calibri"/>
      <family val="2"/>
      <scheme val="minor"/>
    </font>
    <font>
      <b/>
      <sz val="13"/>
      <color theme="0"/>
      <name val="Calibri"/>
      <family val="2"/>
      <scheme val="minor"/>
    </font>
    <font>
      <b/>
      <sz val="12"/>
      <color theme="8" tint="-0.249977111117893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1">
    <xf numFmtId="0" fontId="0" fillId="0" borderId="0" xfId="0"/>
    <xf numFmtId="0" fontId="2" fillId="0" borderId="0" xfId="0" applyFont="1"/>
    <xf numFmtId="0" fontId="3" fillId="0" borderId="0" xfId="0" applyFont="1" applyAlignment="1">
      <alignment horizontal="center"/>
    </xf>
    <xf numFmtId="44" fontId="2" fillId="0" borderId="0" xfId="0" applyNumberFormat="1" applyFont="1"/>
    <xf numFmtId="44" fontId="2" fillId="2" borderId="1" xfId="1" applyFont="1" applyFill="1" applyBorder="1" applyProtection="1">
      <protection locked="0"/>
    </xf>
    <xf numFmtId="44" fontId="4" fillId="3" borderId="1" xfId="1" applyFont="1" applyFill="1" applyBorder="1" applyProtection="1">
      <protection locked="0"/>
    </xf>
    <xf numFmtId="0" fontId="5" fillId="0" borderId="0" xfId="0" applyFont="1" applyAlignment="1">
      <alignment horizontal="center"/>
    </xf>
    <xf numFmtId="0" fontId="3" fillId="0" borderId="0" xfId="0" applyFont="1" applyBorder="1" applyAlignment="1">
      <alignment horizontal="center"/>
    </xf>
    <xf numFmtId="0" fontId="3" fillId="0" borderId="0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44" fontId="3" fillId="4" borderId="1" xfId="1" applyFont="1" applyFill="1" applyBorder="1" applyAlignment="1" applyProtection="1">
      <alignment horizontal="center"/>
    </xf>
    <xf numFmtId="44" fontId="3" fillId="2" borderId="1" xfId="1" applyFont="1" applyFill="1" applyBorder="1" applyAlignment="1" applyProtection="1">
      <alignment horizontal="center"/>
      <protection locked="0"/>
    </xf>
    <xf numFmtId="44" fontId="2" fillId="0" borderId="0" xfId="1" applyFont="1" applyFill="1" applyBorder="1" applyProtection="1">
      <protection locked="0"/>
    </xf>
    <xf numFmtId="44" fontId="3" fillId="5" borderId="1" xfId="1" applyFont="1" applyFill="1" applyBorder="1" applyProtection="1"/>
    <xf numFmtId="44" fontId="7" fillId="3" borderId="1" xfId="1" applyFont="1" applyFill="1" applyBorder="1" applyProtection="1">
      <protection locked="0"/>
    </xf>
    <xf numFmtId="44" fontId="3" fillId="5" borderId="1" xfId="1" applyFont="1" applyFill="1" applyBorder="1" applyAlignment="1" applyProtection="1">
      <alignment horizontal="center"/>
    </xf>
    <xf numFmtId="44" fontId="6" fillId="0" borderId="0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1" fontId="2" fillId="2" borderId="1" xfId="1" applyNumberFormat="1" applyFont="1" applyFill="1" applyBorder="1" applyProtection="1">
      <protection locked="0"/>
    </xf>
  </cellXfs>
  <cellStyles count="2">
    <cellStyle name="Currency" xfId="1" builtinId="4"/>
    <cellStyle name="Normal" xfId="0" builtinId="0"/>
  </cellStyles>
  <dxfs count="21">
    <dxf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7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7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7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7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7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7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7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</dxfs>
  <tableStyles count="0" defaultTableStyle="TableStyleMedium2" defaultPivotStyle="PivotStyleLight16"/>
  <colors>
    <mruColors>
      <color rgb="FF9F0564"/>
      <color rgb="FFFB89D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6" Type="http://schemas.openxmlformats.org/officeDocument/2006/relationships/image" Target="../media/image10.svg"/><Relationship Id="rId5" Type="http://schemas.openxmlformats.org/officeDocument/2006/relationships/image" Target="../media/image9.png"/><Relationship Id="rId4" Type="http://schemas.openxmlformats.org/officeDocument/2006/relationships/image" Target="../media/image8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345719</xdr:colOff>
      <xdr:row>3</xdr:row>
      <xdr:rowOff>197557</xdr:rowOff>
    </xdr:from>
    <xdr:to>
      <xdr:col>5</xdr:col>
      <xdr:colOff>1904997</xdr:colOff>
      <xdr:row>5</xdr:row>
      <xdr:rowOff>105836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32CEDB91-F634-46E3-83EF-2719C865D7A8}"/>
            </a:ext>
          </a:extLst>
        </xdr:cNvPr>
        <xdr:cNvSpPr txBox="1"/>
      </xdr:nvSpPr>
      <xdr:spPr>
        <a:xfrm>
          <a:off x="9080497" y="853724"/>
          <a:ext cx="1559278" cy="3457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1">
              <a:solidFill>
                <a:schemeClr val="accent5">
                  <a:lumMod val="75000"/>
                </a:schemeClr>
              </a:solidFill>
            </a:rPr>
            <a:t>Erase Information</a:t>
          </a:r>
        </a:p>
      </xdr:txBody>
    </xdr:sp>
    <xdr:clientData/>
  </xdr:twoCellAnchor>
  <xdr:twoCellAnchor>
    <xdr:from>
      <xdr:col>3</xdr:col>
      <xdr:colOff>956705</xdr:colOff>
      <xdr:row>3</xdr:row>
      <xdr:rowOff>187669</xdr:rowOff>
    </xdr:from>
    <xdr:to>
      <xdr:col>3</xdr:col>
      <xdr:colOff>2688166</xdr:colOff>
      <xdr:row>5</xdr:row>
      <xdr:rowOff>95948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19F78D68-E578-443C-AE78-D666002EDD75}"/>
            </a:ext>
          </a:extLst>
        </xdr:cNvPr>
        <xdr:cNvSpPr txBox="1"/>
      </xdr:nvSpPr>
      <xdr:spPr>
        <a:xfrm>
          <a:off x="5415816" y="843836"/>
          <a:ext cx="1731461" cy="3457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1">
              <a:solidFill>
                <a:schemeClr val="accent5">
                  <a:lumMod val="75000"/>
                </a:schemeClr>
              </a:solidFill>
            </a:rPr>
            <a:t>VA Annual Income Limit</a:t>
          </a:r>
        </a:p>
      </xdr:txBody>
    </xdr:sp>
    <xdr:clientData/>
  </xdr:twoCellAnchor>
  <xdr:twoCellAnchor editAs="oneCell">
    <xdr:from>
      <xdr:col>5</xdr:col>
      <xdr:colOff>684387</xdr:colOff>
      <xdr:row>0</xdr:row>
      <xdr:rowOff>141107</xdr:rowOff>
    </xdr:from>
    <xdr:to>
      <xdr:col>5</xdr:col>
      <xdr:colOff>1598787</xdr:colOff>
      <xdr:row>4</xdr:row>
      <xdr:rowOff>180618</xdr:rowOff>
    </xdr:to>
    <xdr:pic macro="[0]!_xludf.Clean">
      <xdr:nvPicPr>
        <xdr:cNvPr id="5" name="Graphic 4" descr="Eraser with solid fill">
          <a:extLst>
            <a:ext uri="{FF2B5EF4-FFF2-40B4-BE49-F238E27FC236}">
              <a16:creationId xmlns:a16="http://schemas.microsoft.com/office/drawing/2014/main" id="{63962178-2A88-44EC-8544-0EAEE4714A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419165" y="141107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3</xdr:col>
      <xdr:colOff>1368778</xdr:colOff>
      <xdr:row>0</xdr:row>
      <xdr:rowOff>176389</xdr:rowOff>
    </xdr:from>
    <xdr:to>
      <xdr:col>3</xdr:col>
      <xdr:colOff>2283178</xdr:colOff>
      <xdr:row>4</xdr:row>
      <xdr:rowOff>215900</xdr:rowOff>
    </xdr:to>
    <xdr:pic macro="[0]!Link">
      <xdr:nvPicPr>
        <xdr:cNvPr id="8" name="Graphic 7" descr="Money outline">
          <a:extLst>
            <a:ext uri="{FF2B5EF4-FFF2-40B4-BE49-F238E27FC236}">
              <a16:creationId xmlns:a16="http://schemas.microsoft.com/office/drawing/2014/main" id="{23FDAF73-DD0C-4382-A8D9-9FF1D81CC2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827889" y="176389"/>
          <a:ext cx="914400" cy="914400"/>
        </a:xfrm>
        <a:prstGeom prst="rect">
          <a:avLst/>
        </a:prstGeom>
      </xdr:spPr>
    </xdr:pic>
    <xdr:clientData/>
  </xdr:twoCellAnchor>
  <xdr:oneCellAnchor>
    <xdr:from>
      <xdr:col>0</xdr:col>
      <xdr:colOff>68737</xdr:colOff>
      <xdr:row>0</xdr:row>
      <xdr:rowOff>95624</xdr:rowOff>
    </xdr:from>
    <xdr:ext cx="5013039" cy="640240"/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1A11AB44-58DE-4F45-ADE9-E0A6BBF55085}"/>
            </a:ext>
          </a:extLst>
        </xdr:cNvPr>
        <xdr:cNvSpPr/>
      </xdr:nvSpPr>
      <xdr:spPr>
        <a:xfrm>
          <a:off x="68737" y="95624"/>
          <a:ext cx="5013039" cy="640240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3500" b="0" cap="none" spc="0">
              <a:ln w="0"/>
              <a:gradFill flip="none" rotWithShape="1">
                <a:gsLst>
                  <a:gs pos="0">
                    <a:schemeClr val="accent5">
                      <a:lumMod val="40000"/>
                      <a:lumOff val="60000"/>
                    </a:schemeClr>
                  </a:gs>
                  <a:gs pos="46000">
                    <a:schemeClr val="accent5">
                      <a:lumMod val="95000"/>
                      <a:lumOff val="5000"/>
                    </a:schemeClr>
                  </a:gs>
                  <a:gs pos="100000">
                    <a:schemeClr val="accent5">
                      <a:lumMod val="60000"/>
                    </a:schemeClr>
                  </a:gs>
                </a:gsLst>
                <a:path path="circle">
                  <a:fillToRect l="50000" t="130000" r="50000" b="-30000"/>
                </a:path>
                <a:tileRect/>
              </a:gradFill>
              <a:effectLst/>
            </a:rPr>
            <a:t>Debt Waiver Decision Tool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345719</xdr:colOff>
      <xdr:row>3</xdr:row>
      <xdr:rowOff>71353</xdr:rowOff>
    </xdr:from>
    <xdr:to>
      <xdr:col>5</xdr:col>
      <xdr:colOff>1904997</xdr:colOff>
      <xdr:row>4</xdr:row>
      <xdr:rowOff>203470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D44A4A35-1D62-4A34-86E9-B948067201A0}"/>
            </a:ext>
          </a:extLst>
        </xdr:cNvPr>
        <xdr:cNvSpPr txBox="1"/>
      </xdr:nvSpPr>
      <xdr:spPr>
        <a:xfrm>
          <a:off x="9073000" y="714291"/>
          <a:ext cx="1559278" cy="34642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1">
              <a:solidFill>
                <a:srgbClr val="9F0564"/>
              </a:solidFill>
            </a:rPr>
            <a:t>Erase Information</a:t>
          </a:r>
        </a:p>
      </xdr:txBody>
    </xdr:sp>
    <xdr:clientData/>
  </xdr:twoCellAnchor>
  <xdr:twoCellAnchor>
    <xdr:from>
      <xdr:col>3</xdr:col>
      <xdr:colOff>963055</xdr:colOff>
      <xdr:row>3</xdr:row>
      <xdr:rowOff>20980</xdr:rowOff>
    </xdr:from>
    <xdr:to>
      <xdr:col>3</xdr:col>
      <xdr:colOff>2688166</xdr:colOff>
      <xdr:row>4</xdr:row>
      <xdr:rowOff>137222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1C64B992-33ED-48DB-B3C7-FA28B57E25B7}"/>
            </a:ext>
          </a:extLst>
        </xdr:cNvPr>
        <xdr:cNvSpPr txBox="1"/>
      </xdr:nvSpPr>
      <xdr:spPr>
        <a:xfrm>
          <a:off x="5415993" y="663918"/>
          <a:ext cx="1725111" cy="33055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1">
              <a:solidFill>
                <a:schemeClr val="accent6">
                  <a:lumMod val="75000"/>
                </a:schemeClr>
              </a:solidFill>
            </a:rPr>
            <a:t>VA Income Website</a:t>
          </a:r>
        </a:p>
      </xdr:txBody>
    </xdr:sp>
    <xdr:clientData/>
  </xdr:twoCellAnchor>
  <xdr:twoCellAnchor editAs="oneCell">
    <xdr:from>
      <xdr:col>5</xdr:col>
      <xdr:colOff>684387</xdr:colOff>
      <xdr:row>0</xdr:row>
      <xdr:rowOff>0</xdr:rowOff>
    </xdr:from>
    <xdr:to>
      <xdr:col>5</xdr:col>
      <xdr:colOff>1598787</xdr:colOff>
      <xdr:row>4</xdr:row>
      <xdr:rowOff>49036</xdr:rowOff>
    </xdr:to>
    <xdr:pic macro="[0]!_xludf.Clean">
      <xdr:nvPicPr>
        <xdr:cNvPr id="4" name="Graphic 3" descr="Eraser with solid fill">
          <a:extLst>
            <a:ext uri="{FF2B5EF4-FFF2-40B4-BE49-F238E27FC236}">
              <a16:creationId xmlns:a16="http://schemas.microsoft.com/office/drawing/2014/main" id="{4040ACA2-B452-4A40-9906-6A18C10C7A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415637" y="141107"/>
          <a:ext cx="914400" cy="903111"/>
        </a:xfrm>
        <a:prstGeom prst="rect">
          <a:avLst/>
        </a:prstGeom>
      </xdr:spPr>
    </xdr:pic>
    <xdr:clientData/>
  </xdr:twoCellAnchor>
  <xdr:twoCellAnchor editAs="oneCell">
    <xdr:from>
      <xdr:col>3</xdr:col>
      <xdr:colOff>1368778</xdr:colOff>
      <xdr:row>0</xdr:row>
      <xdr:rowOff>0</xdr:rowOff>
    </xdr:from>
    <xdr:to>
      <xdr:col>3</xdr:col>
      <xdr:colOff>2283178</xdr:colOff>
      <xdr:row>4</xdr:row>
      <xdr:rowOff>37924</xdr:rowOff>
    </xdr:to>
    <xdr:pic macro="[0]!Link">
      <xdr:nvPicPr>
        <xdr:cNvPr id="5" name="Graphic 4" descr="Money outline">
          <a:extLst>
            <a:ext uri="{FF2B5EF4-FFF2-40B4-BE49-F238E27FC236}">
              <a16:creationId xmlns:a16="http://schemas.microsoft.com/office/drawing/2014/main" id="{255C9F83-4062-4ECE-BE03-C83129F147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826478" y="176389"/>
          <a:ext cx="914400" cy="903111"/>
        </a:xfrm>
        <a:prstGeom prst="rect">
          <a:avLst/>
        </a:prstGeom>
      </xdr:spPr>
    </xdr:pic>
    <xdr:clientData/>
  </xdr:twoCellAnchor>
  <xdr:oneCellAnchor>
    <xdr:from>
      <xdr:col>1</xdr:col>
      <xdr:colOff>68262</xdr:colOff>
      <xdr:row>0</xdr:row>
      <xdr:rowOff>65088</xdr:rowOff>
    </xdr:from>
    <xdr:ext cx="3848893" cy="1188146"/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2CA1286A-E782-40B3-A238-EA82E1714F12}"/>
            </a:ext>
          </a:extLst>
        </xdr:cNvPr>
        <xdr:cNvSpPr/>
      </xdr:nvSpPr>
      <xdr:spPr>
        <a:xfrm>
          <a:off x="250825" y="65088"/>
          <a:ext cx="3848893" cy="1188146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3500" b="0" cap="none" spc="0">
              <a:ln w="0"/>
              <a:gradFill flip="none" rotWithShape="1">
                <a:gsLst>
                  <a:gs pos="0">
                    <a:schemeClr val="accent5">
                      <a:lumMod val="40000"/>
                      <a:lumOff val="60000"/>
                    </a:schemeClr>
                  </a:gs>
                  <a:gs pos="46000">
                    <a:schemeClr val="accent5">
                      <a:lumMod val="95000"/>
                      <a:lumOff val="5000"/>
                    </a:schemeClr>
                  </a:gs>
                  <a:gs pos="100000">
                    <a:schemeClr val="accent5">
                      <a:lumMod val="60000"/>
                    </a:schemeClr>
                  </a:gs>
                </a:gsLst>
                <a:path path="circle">
                  <a:fillToRect l="50000" t="130000" r="50000" b="-30000"/>
                </a:path>
                <a:tileRect/>
              </a:gradFill>
              <a:effectLst/>
            </a:rPr>
            <a:t>Debt Relief Income Review Calculator </a:t>
          </a:r>
          <a:r>
            <a:rPr lang="en-US" sz="1000" b="0" cap="none" spc="0">
              <a:ln w="0"/>
              <a:gradFill flip="none" rotWithShape="1">
                <a:gsLst>
                  <a:gs pos="0">
                    <a:schemeClr val="accent5">
                      <a:lumMod val="40000"/>
                      <a:lumOff val="60000"/>
                    </a:schemeClr>
                  </a:gs>
                  <a:gs pos="46000">
                    <a:schemeClr val="accent5">
                      <a:lumMod val="95000"/>
                      <a:lumOff val="5000"/>
                    </a:schemeClr>
                  </a:gs>
                  <a:gs pos="100000">
                    <a:schemeClr val="accent5">
                      <a:lumMod val="60000"/>
                    </a:schemeClr>
                  </a:gs>
                </a:gsLst>
                <a:path path="circle">
                  <a:fillToRect l="50000" t="130000" r="50000" b="-30000"/>
                </a:path>
                <a:tileRect/>
              </a:gradFill>
              <a:effectLst/>
            </a:rPr>
            <a:t>v.4</a:t>
          </a:r>
        </a:p>
      </xdr:txBody>
    </xdr:sp>
    <xdr:clientData/>
  </xdr:oneCellAnchor>
  <xdr:twoCellAnchor editAs="oneCell">
    <xdr:from>
      <xdr:col>5</xdr:col>
      <xdr:colOff>2658269</xdr:colOff>
      <xdr:row>0</xdr:row>
      <xdr:rowOff>0</xdr:rowOff>
    </xdr:from>
    <xdr:to>
      <xdr:col>5</xdr:col>
      <xdr:colOff>3572669</xdr:colOff>
      <xdr:row>4</xdr:row>
      <xdr:rowOff>57150</xdr:rowOff>
    </xdr:to>
    <xdr:pic macro="[0]!SimplePrintToPDF">
      <xdr:nvPicPr>
        <xdr:cNvPr id="8" name="Graphic 7" descr="Fax with solid fill">
          <a:extLst>
            <a:ext uri="{FF2B5EF4-FFF2-40B4-BE49-F238E27FC236}">
              <a16:creationId xmlns:a16="http://schemas.microsoft.com/office/drawing/2014/main" id="{D188A14D-7CE4-4766-A40C-FDB668FEAF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1385550" y="0"/>
          <a:ext cx="911225" cy="914400"/>
        </a:xfrm>
        <a:prstGeom prst="rect">
          <a:avLst/>
        </a:prstGeom>
      </xdr:spPr>
    </xdr:pic>
    <xdr:clientData/>
  </xdr:twoCellAnchor>
  <xdr:twoCellAnchor>
    <xdr:from>
      <xdr:col>5</xdr:col>
      <xdr:colOff>2358670</xdr:colOff>
      <xdr:row>3</xdr:row>
      <xdr:rowOff>95959</xdr:rowOff>
    </xdr:from>
    <xdr:to>
      <xdr:col>5</xdr:col>
      <xdr:colOff>3917948</xdr:colOff>
      <xdr:row>5</xdr:row>
      <xdr:rowOff>10588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1FDFA500-997D-4771-A139-B58D54A3795F}"/>
            </a:ext>
          </a:extLst>
        </xdr:cNvPr>
        <xdr:cNvSpPr txBox="1"/>
      </xdr:nvSpPr>
      <xdr:spPr>
        <a:xfrm>
          <a:off x="11085951" y="738897"/>
          <a:ext cx="1559278" cy="34325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Print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7AA844-4681-4961-9413-0BBBFD2D293B}">
  <sheetPr codeName="Sheet1"/>
  <dimension ref="B2:F20"/>
  <sheetViews>
    <sheetView showGridLines="0" zoomScale="90" zoomScaleNormal="90" workbookViewId="0">
      <selection activeCell="B8" sqref="B8"/>
    </sheetView>
  </sheetViews>
  <sheetFormatPr defaultRowHeight="17" x14ac:dyDescent="0.4"/>
  <cols>
    <col min="1" max="1" width="2.6328125" style="1" customWidth="1"/>
    <col min="2" max="2" width="55.54296875" style="1" customWidth="1"/>
    <col min="3" max="3" width="5.6328125" style="1" customWidth="1"/>
    <col min="4" max="4" width="55.54296875" style="1" customWidth="1"/>
    <col min="5" max="5" width="5.6328125" style="1" customWidth="1"/>
    <col min="6" max="6" width="40.54296875" style="1" customWidth="1"/>
    <col min="7" max="16384" width="8.7265625" style="1"/>
  </cols>
  <sheetData>
    <row r="2" spans="2:6" x14ac:dyDescent="0.4">
      <c r="B2" s="6"/>
    </row>
    <row r="7" spans="2:6" ht="17.5" thickBot="1" x14ac:dyDescent="0.45">
      <c r="B7" s="6" t="s">
        <v>0</v>
      </c>
      <c r="D7" s="6" t="s">
        <v>1</v>
      </c>
      <c r="F7" s="6" t="s">
        <v>2</v>
      </c>
    </row>
    <row r="8" spans="2:6" ht="17.5" thickBot="1" x14ac:dyDescent="0.45">
      <c r="B8" s="4"/>
      <c r="D8" s="5"/>
      <c r="F8" s="7" t="str">
        <f>IF(OR($B$8="",$D$8="",$B$11=""),"Income, Assets, &amp; GMT Needed",IF(OR($B$8&lt;$D$8,$B$8=$D$8),IF(OR((3000)&gt;$B$11,(3000)=$B$11),"Approved", ""),IF($B$14="","Discretionary Income Needed","")))</f>
        <v>Income, Assets, &amp; GMT Needed</v>
      </c>
    </row>
    <row r="9" spans="2:6" ht="8" customHeight="1" x14ac:dyDescent="0.4"/>
    <row r="10" spans="2:6" ht="17.5" thickBot="1" x14ac:dyDescent="0.45">
      <c r="B10" s="6" t="s">
        <v>3</v>
      </c>
      <c r="D10" s="2"/>
    </row>
    <row r="11" spans="2:6" ht="17.5" thickBot="1" x14ac:dyDescent="0.45">
      <c r="B11" s="4"/>
      <c r="D11" s="2"/>
      <c r="F11" s="8" t="str">
        <f>IF(OR($F$8="Approved", $F$8="Income, Assets, &amp; GMT Needed"),"",IF(OR(($D$8*1.5)&gt;$B$8,($D$8*1.5)=$B$8),IF($B$14="","",""),""))</f>
        <v/>
      </c>
    </row>
    <row r="12" spans="2:6" ht="8" customHeight="1" x14ac:dyDescent="0.4"/>
    <row r="13" spans="2:6" ht="17.5" thickBot="1" x14ac:dyDescent="0.45">
      <c r="B13" s="6" t="s">
        <v>4</v>
      </c>
      <c r="D13" s="3"/>
    </row>
    <row r="14" spans="2:6" ht="17.5" thickBot="1" x14ac:dyDescent="0.45">
      <c r="B14" s="4"/>
      <c r="F14" s="8" t="str">
        <f>IF(OR($F$8="Approved", $F$8="Income, Assets, &amp; GMT Needed"),"",IF($B$14="","Please Put Discretionary Income Value",IF(OR(($D$8*1.5)&lt;$B$8,($D$8*1.5)=$B$8),"Approved",IF(OR((500)&gt;$B$14,(500)=$B$14),"Approved", "Not Approved"))))</f>
        <v/>
      </c>
    </row>
    <row r="15" spans="2:6" ht="8" customHeight="1" x14ac:dyDescent="0.4"/>
    <row r="16" spans="2:6" x14ac:dyDescent="0.4">
      <c r="D16" s="3"/>
    </row>
    <row r="18" spans="4:6" x14ac:dyDescent="0.4">
      <c r="F18" s="3"/>
    </row>
    <row r="20" spans="4:6" x14ac:dyDescent="0.4">
      <c r="D20" s="3"/>
    </row>
  </sheetData>
  <sheetProtection algorithmName="SHA-512" hashValue="yjv8LJdC/62geRUAFihZCNTpJNnIxQ1zQ55Im+5KWR3yu9q+d9ESS0FsTyTS7dnuuznXInqkQKZ19QqGLtouCA==" saltValue="rRP1XlpXMJAq20St7esO/g==" spinCount="100000" sheet="1" objects="1" scenarios="1" selectLockedCells="1"/>
  <conditionalFormatting sqref="F8">
    <cfRule type="cellIs" dxfId="20" priority="1" operator="equal">
      <formula>"Discretionary Income Needed"</formula>
    </cfRule>
    <cfRule type="cellIs" dxfId="19" priority="2" operator="equal">
      <formula>"Income, Assets, &amp; GMT Needed"</formula>
    </cfRule>
    <cfRule type="expression" priority="9" stopIfTrue="1">
      <formula>$B$8=""</formula>
    </cfRule>
    <cfRule type="cellIs" dxfId="18" priority="10" operator="equal">
      <formula>"Not Approved"</formula>
    </cfRule>
    <cfRule type="cellIs" dxfId="17" priority="11" operator="equal">
      <formula>"Approved"</formula>
    </cfRule>
  </conditionalFormatting>
  <conditionalFormatting sqref="F11">
    <cfRule type="expression" priority="6">
      <formula>$B$8=""</formula>
    </cfRule>
    <cfRule type="cellIs" dxfId="16" priority="7" operator="equal">
      <formula>"Not Approved"</formula>
    </cfRule>
    <cfRule type="cellIs" dxfId="15" priority="8" operator="equal">
      <formula>"Discretionary Income Needed"</formula>
    </cfRule>
  </conditionalFormatting>
  <conditionalFormatting sqref="F14">
    <cfRule type="cellIs" dxfId="14" priority="3" operator="equal">
      <formula>"Please put Discretionary Income Value"</formula>
    </cfRule>
    <cfRule type="cellIs" dxfId="13" priority="4" operator="equal">
      <formula>"Not Approved"</formula>
    </cfRule>
    <cfRule type="cellIs" dxfId="12" priority="5" operator="equal">
      <formula>"Approved"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BBAA5-89B8-4B08-B3CF-E74BD8CC0D2E}">
  <sheetPr codeName="Sheet2"/>
  <dimension ref="B1:F30"/>
  <sheetViews>
    <sheetView showGridLines="0" tabSelected="1" zoomScale="80" zoomScaleNormal="80" workbookViewId="0">
      <selection activeCell="B8" sqref="B8"/>
    </sheetView>
  </sheetViews>
  <sheetFormatPr defaultRowHeight="17" x14ac:dyDescent="0.4"/>
  <cols>
    <col min="1" max="1" width="2.6328125" style="1" customWidth="1"/>
    <col min="2" max="2" width="55.54296875" style="1" customWidth="1"/>
    <col min="3" max="3" width="5.6328125" style="1" customWidth="1"/>
    <col min="4" max="4" width="55.54296875" style="1" customWidth="1"/>
    <col min="5" max="5" width="5.6328125" style="1" customWidth="1"/>
    <col min="6" max="6" width="58.453125" style="1" bestFit="1" customWidth="1"/>
    <col min="7" max="16384" width="8.7265625" style="1"/>
  </cols>
  <sheetData>
    <row r="1" spans="2:6" x14ac:dyDescent="0.4">
      <c r="B1" s="6"/>
    </row>
    <row r="7" spans="2:6" ht="17.5" thickBot="1" x14ac:dyDescent="0.45">
      <c r="B7" s="18" t="s">
        <v>8</v>
      </c>
    </row>
    <row r="8" spans="2:6" ht="17.5" thickBot="1" x14ac:dyDescent="0.45">
      <c r="B8" s="20"/>
    </row>
    <row r="9" spans="2:6" ht="53.5" customHeight="1" thickBot="1" x14ac:dyDescent="0.45">
      <c r="B9" s="17" t="s">
        <v>9</v>
      </c>
      <c r="D9" s="19" t="s">
        <v>11</v>
      </c>
      <c r="F9" s="6" t="s">
        <v>2</v>
      </c>
    </row>
    <row r="10" spans="2:6" ht="17.5" thickBot="1" x14ac:dyDescent="0.45">
      <c r="B10" s="11"/>
      <c r="D10" s="14"/>
      <c r="F10" s="7" t="str">
        <f>IF(OR(B10="",$B$13="Place Veteran Income Below",$D$10="",$B$21="Place Veteran's Liquid Assets Below"),"Annual/Monthly Income, Income, Assets, &amp; GMT Needed",IF(OR($B$13&lt;$D$10,$B$13=$D$10),IF(OR(($D$10*0.065)&gt;$B$21,($D$10*0.065)=$B$21),"Approved", ""),IF($D$13="","","")))</f>
        <v>Annual/Monthly Income, Income, Assets, &amp; GMT Needed</v>
      </c>
    </row>
    <row r="11" spans="2:6" ht="17.5" customHeight="1" x14ac:dyDescent="0.4"/>
    <row r="12" spans="2:6" ht="17.5" thickBot="1" x14ac:dyDescent="0.45">
      <c r="B12" s="17" t="s">
        <v>10</v>
      </c>
      <c r="D12" s="17" t="s">
        <v>14</v>
      </c>
    </row>
    <row r="13" spans="2:6" ht="17.5" thickBot="1" x14ac:dyDescent="0.45">
      <c r="B13" s="10" t="str">
        <f>IF(OR(SUM($B$14:$B$18)="",(SUM($B$14:$B$18)=0)),"Place Veteran Income Below",IF(B10="","Place Yes or No in box above", IF($B$10="Annually",(SUM(B$14:$B$18)),12*(SUM($B$14:$B$18)))))</f>
        <v>Place Veteran Income Below</v>
      </c>
      <c r="D13" s="13" t="str">
        <f>IF(SUM(D16:D30)=0,"",(SUM(D16:D30)))</f>
        <v/>
      </c>
      <c r="F13" s="9" t="str">
        <f>IF(OR($F$10="Approved", $F$10="Income, Assets, &amp; GMT Needed"),"",IF(OR(($D$10*1.5)&gt;$B$13,($D$10*1.5)=$B$13),IF($D$13="","",""),""))</f>
        <v/>
      </c>
    </row>
    <row r="14" spans="2:6" ht="17.5" customHeight="1" thickBot="1" x14ac:dyDescent="0.45">
      <c r="B14" s="4"/>
    </row>
    <row r="15" spans="2:6" ht="17.5" customHeight="1" thickBot="1" x14ac:dyDescent="0.45">
      <c r="B15" s="4"/>
      <c r="D15" s="17" t="s">
        <v>13</v>
      </c>
    </row>
    <row r="16" spans="2:6" ht="17.5" customHeight="1" thickBot="1" x14ac:dyDescent="0.45">
      <c r="B16" s="4"/>
      <c r="D16" s="4"/>
      <c r="F16" s="9" t="str">
        <f>IF(OR($F$10="Approved", $F$10="Annual/Monthly Income, Income, Assets, &amp; GMT Needed"),"",IF($D$13="","Veteran Expenses Needed",IF(($D$10*1.5)&lt;$B$13,"Manual Review Needed",IF(OR(($D$10*0.0125)&lt;($D$13),($D$10*0.0125)=($D$13)),"Approved", "Manual Review Needed"))))</f>
        <v/>
      </c>
    </row>
    <row r="17" spans="2:6" ht="17.5" customHeight="1" thickBot="1" x14ac:dyDescent="0.45">
      <c r="B17" s="4"/>
      <c r="D17" s="4"/>
    </row>
    <row r="18" spans="2:6" ht="17.5" customHeight="1" thickBot="1" x14ac:dyDescent="0.45">
      <c r="B18" s="4"/>
      <c r="D18" s="4"/>
      <c r="F18" s="3"/>
    </row>
    <row r="19" spans="2:6" ht="17.5" customHeight="1" thickBot="1" x14ac:dyDescent="0.45">
      <c r="B19" s="12"/>
      <c r="D19" s="4"/>
      <c r="F19" s="3"/>
    </row>
    <row r="20" spans="2:6" ht="17.5" thickBot="1" x14ac:dyDescent="0.45">
      <c r="B20" s="18" t="s">
        <v>12</v>
      </c>
      <c r="D20" s="4"/>
      <c r="F20" s="3"/>
    </row>
    <row r="21" spans="2:6" ht="17.5" thickBot="1" x14ac:dyDescent="0.45">
      <c r="B21" s="15" t="str">
        <f>IF(OR(SUM($B$22:$B$26)="",(SUM($B$22:$B$26)=0)),"Place Veteran's Liquid Assets Below", SUM($B$22:$B$26))</f>
        <v>Place Veteran's Liquid Assets Below</v>
      </c>
      <c r="D21" s="4"/>
      <c r="F21" s="16"/>
    </row>
    <row r="22" spans="2:6" ht="17.5" customHeight="1" thickBot="1" x14ac:dyDescent="0.45">
      <c r="B22" s="4"/>
      <c r="D22" s="4"/>
      <c r="F22" s="3" t="s">
        <v>15</v>
      </c>
    </row>
    <row r="23" spans="2:6" ht="17.5" thickBot="1" x14ac:dyDescent="0.45">
      <c r="B23" s="4"/>
      <c r="D23" s="4"/>
      <c r="F23" s="3" t="s">
        <v>16</v>
      </c>
    </row>
    <row r="24" spans="2:6" ht="17.5" thickBot="1" x14ac:dyDescent="0.45">
      <c r="B24" s="4"/>
      <c r="D24" s="4"/>
    </row>
    <row r="25" spans="2:6" ht="17.5" thickBot="1" x14ac:dyDescent="0.45">
      <c r="B25" s="4"/>
      <c r="D25" s="4"/>
      <c r="F25" s="3"/>
    </row>
    <row r="26" spans="2:6" ht="17.5" thickBot="1" x14ac:dyDescent="0.45">
      <c r="B26" s="4"/>
      <c r="D26" s="4"/>
      <c r="F26" s="3"/>
    </row>
    <row r="27" spans="2:6" ht="17.5" thickBot="1" x14ac:dyDescent="0.45">
      <c r="D27" s="4"/>
    </row>
    <row r="28" spans="2:6" ht="17.5" thickBot="1" x14ac:dyDescent="0.45">
      <c r="D28" s="4"/>
    </row>
    <row r="29" spans="2:6" ht="17.5" thickBot="1" x14ac:dyDescent="0.45">
      <c r="D29" s="4"/>
    </row>
    <row r="30" spans="2:6" ht="17.5" thickBot="1" x14ac:dyDescent="0.45">
      <c r="D30" s="4"/>
    </row>
  </sheetData>
  <sheetProtection algorithmName="SHA-512" hashValue="9bf826zzsrE8LNFmn6y6cgAd4XlQE/36ZTMaZ4eJvNBM2taW4AIrdG6ulQnuYR4iSa5rNYBEAS7ZZow3I9i4kg==" saltValue="Rj2MneUNL4P+o0YJw8Gzfw==" spinCount="100000" sheet="1" objects="1" scenarios="1" selectLockedCells="1"/>
  <conditionalFormatting sqref="F10">
    <cfRule type="cellIs" dxfId="11" priority="4" operator="equal">
      <formula>"Discretionary Income Needed"</formula>
    </cfRule>
    <cfRule type="cellIs" dxfId="10" priority="5" operator="equal">
      <formula>"Annual/Monthly Income, Income, Assets, &amp; GMT Needed"</formula>
    </cfRule>
    <cfRule type="expression" priority="12" stopIfTrue="1">
      <formula>$B$13=""</formula>
    </cfRule>
    <cfRule type="cellIs" dxfId="9" priority="13" operator="equal">
      <formula>"Not Approved"</formula>
    </cfRule>
    <cfRule type="cellIs" dxfId="8" priority="14" operator="equal">
      <formula>"Approved"</formula>
    </cfRule>
  </conditionalFormatting>
  <conditionalFormatting sqref="F13">
    <cfRule type="expression" priority="9">
      <formula>$B$13=""</formula>
    </cfRule>
    <cfRule type="cellIs" dxfId="7" priority="10" operator="equal">
      <formula>"Not Approved"</formula>
    </cfRule>
    <cfRule type="cellIs" dxfId="6" priority="11" operator="equal">
      <formula>"Discretionary Income Needed"</formula>
    </cfRule>
  </conditionalFormatting>
  <conditionalFormatting sqref="F21">
    <cfRule type="cellIs" dxfId="5" priority="6" operator="equal">
      <formula>"Please put Discretionary Income Value"</formula>
    </cfRule>
    <cfRule type="cellIs" dxfId="4" priority="7" operator="equal">
      <formula>"Manual Review Needed"</formula>
    </cfRule>
    <cfRule type="cellIs" dxfId="3" priority="8" operator="equal">
      <formula>"Approved"</formula>
    </cfRule>
  </conditionalFormatting>
  <conditionalFormatting sqref="F16">
    <cfRule type="cellIs" dxfId="2" priority="1" operator="equal">
      <formula>"Veteran Expenses Needed"</formula>
    </cfRule>
    <cfRule type="cellIs" dxfId="1" priority="2" operator="equal">
      <formula>"Manual Review Needed"</formula>
    </cfRule>
    <cfRule type="cellIs" dxfId="0" priority="3" operator="equal">
      <formula>"Approved"</formula>
    </cfRule>
  </conditionalFormatting>
  <pageMargins left="0.7" right="0.7" top="0.75" bottom="0.75" header="0.3" footer="0.3"/>
  <pageSetup scale="49" orientation="portrait" horizontalDpi="1200" verticalDpi="12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13894D5-120F-4321-B05D-D69004961B02}">
          <x14:formula1>
            <xm:f>Sheet1!$B$4:$B$5</xm:f>
          </x14:formula1>
          <xm:sqref>B10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1A7967-C5D0-4FF4-A281-2BAB56ED07FE}">
  <sheetPr codeName="Sheet3"/>
  <dimension ref="B3:B5"/>
  <sheetViews>
    <sheetView workbookViewId="0">
      <selection activeCell="B6" sqref="B6"/>
    </sheetView>
  </sheetViews>
  <sheetFormatPr defaultRowHeight="14.5" x14ac:dyDescent="0.35"/>
  <sheetData>
    <row r="3" spans="2:2" x14ac:dyDescent="0.35">
      <c r="B3" t="s">
        <v>5</v>
      </c>
    </row>
    <row r="4" spans="2:2" x14ac:dyDescent="0.35">
      <c r="B4" t="s">
        <v>6</v>
      </c>
    </row>
    <row r="5" spans="2:2" x14ac:dyDescent="0.35">
      <c r="B5" t="s">
        <v>7</v>
      </c>
    </row>
  </sheetData>
  <sheetProtection algorithmName="SHA-512" hashValue="eXQxPb19//vSdZaZBTxjc0WsIJHGaZdHDSeSTQcV/x9Gl+nCdspd3qg4Zjj1j34TpGXONq2pC0jw5gprrX5pEQ==" saltValue="rJkDpP9FuFjAzd2oT5fy3g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Debt Waiver Decision Tool (1)</vt:lpstr>
      <vt:lpstr>Debt Waiver Decision Tool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Dewey, Michael J.</dc:creator>
  <cp:lastModifiedBy>Dewey, Michael J.</cp:lastModifiedBy>
  <cp:lastPrinted>2022-05-03T18:45:29Z</cp:lastPrinted>
  <dcterms:created xsi:type="dcterms:W3CDTF">2022-03-29T19:03:08Z</dcterms:created>
  <dcterms:modified xsi:type="dcterms:W3CDTF">2022-06-08T17:43:26Z</dcterms:modified>
</cp:coreProperties>
</file>