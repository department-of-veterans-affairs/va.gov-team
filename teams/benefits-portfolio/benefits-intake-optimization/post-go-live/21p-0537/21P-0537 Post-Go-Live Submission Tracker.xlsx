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465efd6b01b8bba/Documents/GingerHorizonsGroup_Projects/AgileSix/BIO/"/>
    </mc:Choice>
  </mc:AlternateContent>
  <xr:revisionPtr revIDLastSave="44" documentId="8_{63E74CCD-188C-4C71-8FF7-4E1CB0B64D1B}" xr6:coauthVersionLast="47" xr6:coauthVersionMax="47" xr10:uidLastSave="{3FE1EAC4-8664-4503-8FB1-2891D663AEB4}"/>
  <bookViews>
    <workbookView xWindow="28680" yWindow="-120" windowWidth="29040" windowHeight="15720" xr2:uid="{AF2C844A-C5C8-460C-A4FB-B4FB01059A32}"/>
  </bookViews>
  <sheets>
    <sheet name="21P-0537" sheetId="1" r:id="rId1"/>
  </sheets>
  <calcPr calcId="0"/>
</workbook>
</file>

<file path=xl/calcChain.xml><?xml version="1.0" encoding="utf-8"?>
<calcChain xmlns="http://schemas.openxmlformats.org/spreadsheetml/2006/main">
  <c r="C4" i="1" l="1"/>
  <c r="B5" i="1"/>
  <c r="B4" i="1"/>
</calcChain>
</file>

<file path=xl/sharedStrings.xml><?xml version="1.0" encoding="utf-8"?>
<sst xmlns="http://schemas.openxmlformats.org/spreadsheetml/2006/main" count="113" uniqueCount="48">
  <si>
    <t>UUID</t>
  </si>
  <si>
    <t>Lighthouse status</t>
  </si>
  <si>
    <t>Lighthouse updated at</t>
  </si>
  <si>
    <t>CMP status</t>
  </si>
  <si>
    <t>CMP updated at</t>
  </si>
  <si>
    <t>Packet ID</t>
  </si>
  <si>
    <t>63952765-abe0-4e77-8f70-d54afbdb0630</t>
  </si>
  <si>
    <t>success</t>
  </si>
  <si>
    <t>Complete</t>
  </si>
  <si>
    <t>9a1295fe-d5ec-4e6d-9e7b-767513697470</t>
  </si>
  <si>
    <t>28301946-78c5-4445-9948-1ac484c43df4</t>
  </si>
  <si>
    <t>vbms</t>
  </si>
  <si>
    <t>cbc6d056-bd18-40fc-8639-885186136fa7</t>
  </si>
  <si>
    <t>ef946b82-de0c-417a-895f-e8f02bfd08c8</t>
  </si>
  <si>
    <t>1fb59df2-46ac-41f7-9092-1fde1dcbbcb4</t>
  </si>
  <si>
    <t>e19d5f29-a06b-4bc6-8122-a1f22a20a8a9</t>
  </si>
  <si>
    <t>f2d98ac6-21cf-4d1f-8bcd-8ca6862e225a</t>
  </si>
  <si>
    <t>30a0aac8-2a34-461e-aa54-106800994135</t>
  </si>
  <si>
    <t>512f100a-b046-4f02-bb7d-ea5d37bf74a1</t>
  </si>
  <si>
    <t>a14b6a85-3084-407d-a8fe-b452688dc7a1</t>
  </si>
  <si>
    <t>22f74717-15e4-4dda-ae34-21706c4825fb</t>
  </si>
  <si>
    <t>27056012-6456-4ade-85fc-54bb851fd473</t>
  </si>
  <si>
    <t>e8b5df88-e43a-4392-90f9-78270f735281</t>
  </si>
  <si>
    <t>59e5c8ff-4505-4793-8353-cd8482a5f4bd</t>
  </si>
  <si>
    <t>a4b8b548-1a1e-4ed5-b388-bff0aa6d16ec</t>
  </si>
  <si>
    <t>36927837-c6fa-4473-84f8-2b50151bc38f</t>
  </si>
  <si>
    <t>7db22102-d795-44b7-b4c2-9e9491664e18</t>
  </si>
  <si>
    <t>f8f77649-970d-423d-a49d-4f53043c3cf9</t>
  </si>
  <si>
    <t>cb8b7b28-d8c0-4073-a09f-593fcd1faa7e</t>
  </si>
  <si>
    <t>ddee22fd-7236-4a36-a131-6cc3c7ddccc8</t>
  </si>
  <si>
    <t>75a09b9c-ec39-4c7a-9e5c-abf41246fb13</t>
  </si>
  <si>
    <t>8326271b-762a-45ce-be5a-4c6ea22f22f7</t>
  </si>
  <si>
    <t>864e8ac0-81e2-40b7-8cc3-d350b7c02b44</t>
  </si>
  <si>
    <t>19d39835-869a-416d-9bc3-874e766a87d6</t>
  </si>
  <si>
    <t>d166ab09-bcc6-48bd-84b9-4e6521aacf64</t>
  </si>
  <si>
    <t>e4aa208c-a836-461a-8a59-c58b62098977</t>
  </si>
  <si>
    <t>0d9abab8-edde-41a0-bb28-76e02bbb5258</t>
  </si>
  <si>
    <t>741ecbb4-96f9-4f4c-9ac7-1d815d12120a</t>
  </si>
  <si>
    <t>d15144da-a0d6-4bd0-98a6-36cd381155a4</t>
  </si>
  <si>
    <t>b53f03c7-7d1a-4886-9750-8b735ffbc18d</t>
  </si>
  <si>
    <t>a18ebd58-0990-4dd5-9c38-2fe7ccaa16ce</t>
  </si>
  <si>
    <t>9b85c7c7-f7ea-411f-abfa-9b5b9b62301f</t>
  </si>
  <si>
    <t>fe0e2e9b-48ee-4057-9216-5f3e5111208f</t>
  </si>
  <si>
    <t>21P-0537 Post-Go-Live Submission Tracker</t>
  </si>
  <si>
    <t>Expected annual submissions</t>
  </si>
  <si>
    <t>Total submissions</t>
  </si>
  <si>
    <t>Number of Incomplete/Errors</t>
  </si>
  <si>
    <t>Canary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</si>
</sst>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2" fillId="0" borderId="0" xfId="2"/>
    <xf numFmtId="0" fontId="5" fillId="0" borderId="3" xfId="5"/>
    <xf numFmtId="10" fontId="0" fillId="0" borderId="0" xfId="1" applyNumberFormat="1" applyFont="1"/>
    <xf numFmtId="0" fontId="0" fillId="0" borderId="0" xfId="0" applyAlignment="1">
      <alignment horizontal="right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FDA50-AF9A-4F34-A5D2-8EFB6209C293}">
  <dimension ref="A1:F41"/>
  <sheetViews>
    <sheetView tabSelected="1" workbookViewId="0">
      <selection activeCell="K10" sqref="K10"/>
    </sheetView>
  </sheetViews>
  <sheetFormatPr defaultRowHeight="15" x14ac:dyDescent="0.25"/>
  <cols>
    <col min="1" max="1" width="40.140625" customWidth="1"/>
    <col min="2" max="2" width="17.28515625" bestFit="1" customWidth="1"/>
    <col min="3" max="3" width="21.42578125" bestFit="1" customWidth="1"/>
    <col min="4" max="4" width="11.140625" bestFit="1" customWidth="1"/>
    <col min="5" max="5" width="15.28515625" bestFit="1" customWidth="1"/>
    <col min="6" max="6" width="9.42578125" bestFit="1" customWidth="1"/>
  </cols>
  <sheetData>
    <row r="1" spans="1:6" ht="24" x14ac:dyDescent="0.4">
      <c r="A1" s="2" t="s">
        <v>43</v>
      </c>
    </row>
    <row r="3" spans="1:6" x14ac:dyDescent="0.25">
      <c r="A3" t="s">
        <v>44</v>
      </c>
      <c r="B3">
        <v>1921</v>
      </c>
      <c r="C3" s="5" t="s">
        <v>47</v>
      </c>
    </row>
    <row r="4" spans="1:6" x14ac:dyDescent="0.25">
      <c r="A4" t="s">
        <v>45</v>
      </c>
      <c r="B4">
        <f>COUNTIF(A8:A100000,"&lt;&gt;")</f>
        <v>34</v>
      </c>
      <c r="C4" s="4">
        <f>B4/B3</f>
        <v>1.7699115044247787E-2</v>
      </c>
    </row>
    <row r="5" spans="1:6" x14ac:dyDescent="0.25">
      <c r="A5" t="s">
        <v>46</v>
      </c>
      <c r="B5">
        <f>COUNTIF(D8:D100000,"&lt;&gt;Complete")-COUNTIF(D8:D100000,"")</f>
        <v>0</v>
      </c>
    </row>
    <row r="7" spans="1:6" ht="15.75" thickBot="1" x14ac:dyDescent="0.3">
      <c r="A7" s="3" t="s">
        <v>0</v>
      </c>
      <c r="B7" s="3" t="s">
        <v>1</v>
      </c>
      <c r="C7" s="3" t="s">
        <v>2</v>
      </c>
      <c r="D7" s="3" t="s">
        <v>3</v>
      </c>
      <c r="E7" s="3" t="s">
        <v>4</v>
      </c>
      <c r="F7" s="3" t="s">
        <v>5</v>
      </c>
    </row>
    <row r="8" spans="1:6" x14ac:dyDescent="0.25">
      <c r="A8" t="s">
        <v>6</v>
      </c>
      <c r="B8" t="s">
        <v>7</v>
      </c>
      <c r="C8" s="1">
        <v>46043</v>
      </c>
      <c r="D8" t="s">
        <v>8</v>
      </c>
      <c r="E8" s="1">
        <v>46044</v>
      </c>
      <c r="F8">
        <v>68162160</v>
      </c>
    </row>
    <row r="9" spans="1:6" x14ac:dyDescent="0.25">
      <c r="A9" t="s">
        <v>9</v>
      </c>
      <c r="B9" t="s">
        <v>7</v>
      </c>
      <c r="C9" s="1">
        <v>46043</v>
      </c>
      <c r="D9" t="s">
        <v>8</v>
      </c>
      <c r="E9" s="1">
        <v>46044</v>
      </c>
      <c r="F9">
        <v>68161475</v>
      </c>
    </row>
    <row r="10" spans="1:6" x14ac:dyDescent="0.25">
      <c r="A10" t="s">
        <v>10</v>
      </c>
      <c r="B10" t="s">
        <v>11</v>
      </c>
      <c r="C10" s="1">
        <v>46043</v>
      </c>
      <c r="D10" t="s">
        <v>8</v>
      </c>
      <c r="E10" s="1">
        <v>46043</v>
      </c>
      <c r="F10">
        <v>68159581</v>
      </c>
    </row>
    <row r="11" spans="1:6" x14ac:dyDescent="0.25">
      <c r="A11" t="s">
        <v>12</v>
      </c>
      <c r="B11" t="s">
        <v>11</v>
      </c>
      <c r="C11" s="1">
        <v>46043</v>
      </c>
      <c r="D11" t="s">
        <v>8</v>
      </c>
      <c r="E11" s="1">
        <v>46043</v>
      </c>
      <c r="F11">
        <v>68096203</v>
      </c>
    </row>
    <row r="12" spans="1:6" x14ac:dyDescent="0.25">
      <c r="A12" t="s">
        <v>13</v>
      </c>
      <c r="B12" t="s">
        <v>11</v>
      </c>
      <c r="C12" s="1">
        <v>46043</v>
      </c>
      <c r="D12" t="s">
        <v>8</v>
      </c>
      <c r="E12" s="1">
        <v>46043</v>
      </c>
      <c r="F12">
        <v>68096037</v>
      </c>
    </row>
    <row r="13" spans="1:6" x14ac:dyDescent="0.25">
      <c r="A13" t="s">
        <v>14</v>
      </c>
      <c r="B13" t="s">
        <v>11</v>
      </c>
      <c r="C13" s="1">
        <v>46043</v>
      </c>
      <c r="D13" t="s">
        <v>8</v>
      </c>
      <c r="E13" s="1">
        <v>46043</v>
      </c>
      <c r="F13">
        <v>68093305</v>
      </c>
    </row>
    <row r="14" spans="1:6" x14ac:dyDescent="0.25">
      <c r="A14" t="s">
        <v>15</v>
      </c>
      <c r="B14" t="s">
        <v>11</v>
      </c>
      <c r="C14" s="1">
        <v>46039</v>
      </c>
      <c r="D14" t="s">
        <v>8</v>
      </c>
      <c r="E14" s="1">
        <v>46039</v>
      </c>
      <c r="F14">
        <v>68085270</v>
      </c>
    </row>
    <row r="15" spans="1:6" x14ac:dyDescent="0.25">
      <c r="A15" t="s">
        <v>16</v>
      </c>
      <c r="B15" t="s">
        <v>11</v>
      </c>
      <c r="C15" s="1">
        <v>46043</v>
      </c>
      <c r="D15" t="s">
        <v>8</v>
      </c>
      <c r="E15" s="1">
        <v>46043</v>
      </c>
      <c r="F15">
        <v>68064468</v>
      </c>
    </row>
    <row r="16" spans="1:6" x14ac:dyDescent="0.25">
      <c r="A16" t="s">
        <v>17</v>
      </c>
      <c r="B16" t="s">
        <v>11</v>
      </c>
      <c r="C16" s="1">
        <v>46042</v>
      </c>
      <c r="D16" t="s">
        <v>8</v>
      </c>
      <c r="E16" s="1">
        <v>46042</v>
      </c>
      <c r="F16">
        <v>68063299</v>
      </c>
    </row>
    <row r="17" spans="1:6" x14ac:dyDescent="0.25">
      <c r="A17" t="s">
        <v>18</v>
      </c>
      <c r="B17" t="s">
        <v>11</v>
      </c>
      <c r="C17" s="1">
        <v>46038</v>
      </c>
      <c r="D17" t="s">
        <v>8</v>
      </c>
      <c r="E17" s="1">
        <v>46038</v>
      </c>
      <c r="F17">
        <v>68055033</v>
      </c>
    </row>
    <row r="18" spans="1:6" x14ac:dyDescent="0.25">
      <c r="A18" t="s">
        <v>19</v>
      </c>
      <c r="B18" t="s">
        <v>11</v>
      </c>
      <c r="C18" s="1">
        <v>46039</v>
      </c>
      <c r="D18" t="s">
        <v>8</v>
      </c>
      <c r="E18" s="1">
        <v>46039</v>
      </c>
      <c r="F18">
        <v>68060190</v>
      </c>
    </row>
    <row r="19" spans="1:6" x14ac:dyDescent="0.25">
      <c r="A19" t="s">
        <v>20</v>
      </c>
      <c r="B19" t="s">
        <v>11</v>
      </c>
      <c r="C19" s="1">
        <v>46042</v>
      </c>
      <c r="D19" t="s">
        <v>8</v>
      </c>
      <c r="E19" s="1">
        <v>46042</v>
      </c>
      <c r="F19">
        <v>68054062</v>
      </c>
    </row>
    <row r="20" spans="1:6" x14ac:dyDescent="0.25">
      <c r="A20" t="s">
        <v>21</v>
      </c>
      <c r="B20" t="s">
        <v>11</v>
      </c>
      <c r="C20" s="1">
        <v>46038</v>
      </c>
      <c r="D20" t="s">
        <v>8</v>
      </c>
      <c r="E20" s="1">
        <v>46038</v>
      </c>
      <c r="F20">
        <v>68006210</v>
      </c>
    </row>
    <row r="21" spans="1:6" x14ac:dyDescent="0.25">
      <c r="A21" t="s">
        <v>22</v>
      </c>
      <c r="B21" t="s">
        <v>11</v>
      </c>
      <c r="C21" s="1">
        <v>46037</v>
      </c>
      <c r="D21" t="s">
        <v>8</v>
      </c>
      <c r="E21" s="1">
        <v>46037</v>
      </c>
      <c r="F21">
        <v>68004416</v>
      </c>
    </row>
    <row r="22" spans="1:6" x14ac:dyDescent="0.25">
      <c r="A22" t="s">
        <v>23</v>
      </c>
      <c r="B22" t="s">
        <v>11</v>
      </c>
      <c r="C22" s="1">
        <v>46036</v>
      </c>
      <c r="D22" t="s">
        <v>8</v>
      </c>
      <c r="E22" s="1">
        <v>46036</v>
      </c>
      <c r="F22">
        <v>67884884</v>
      </c>
    </row>
    <row r="23" spans="1:6" x14ac:dyDescent="0.25">
      <c r="A23" t="s">
        <v>24</v>
      </c>
      <c r="B23" t="s">
        <v>11</v>
      </c>
      <c r="C23" s="1">
        <v>46034</v>
      </c>
      <c r="D23" t="s">
        <v>8</v>
      </c>
      <c r="E23" s="1">
        <v>46034</v>
      </c>
      <c r="F23">
        <v>67859093</v>
      </c>
    </row>
    <row r="24" spans="1:6" x14ac:dyDescent="0.25">
      <c r="A24" t="s">
        <v>25</v>
      </c>
      <c r="B24" t="s">
        <v>11</v>
      </c>
      <c r="C24" s="1">
        <v>46032</v>
      </c>
      <c r="D24" t="s">
        <v>8</v>
      </c>
      <c r="E24" s="1">
        <v>46032</v>
      </c>
      <c r="F24">
        <v>67849285</v>
      </c>
    </row>
    <row r="25" spans="1:6" x14ac:dyDescent="0.25">
      <c r="A25" t="s">
        <v>26</v>
      </c>
      <c r="B25" t="s">
        <v>11</v>
      </c>
      <c r="C25" s="1">
        <v>46030</v>
      </c>
      <c r="D25" t="s">
        <v>8</v>
      </c>
      <c r="E25" s="1">
        <v>46030</v>
      </c>
      <c r="F25">
        <v>67762831</v>
      </c>
    </row>
    <row r="26" spans="1:6" x14ac:dyDescent="0.25">
      <c r="A26" t="s">
        <v>27</v>
      </c>
      <c r="B26" t="s">
        <v>11</v>
      </c>
      <c r="C26" s="1">
        <v>46031</v>
      </c>
      <c r="D26" t="s">
        <v>8</v>
      </c>
      <c r="E26" s="1">
        <v>46031</v>
      </c>
      <c r="F26">
        <v>67762628</v>
      </c>
    </row>
    <row r="27" spans="1:6" x14ac:dyDescent="0.25">
      <c r="A27" t="s">
        <v>28</v>
      </c>
      <c r="B27" t="s">
        <v>11</v>
      </c>
      <c r="C27" s="1">
        <v>46031</v>
      </c>
      <c r="D27" t="s">
        <v>8</v>
      </c>
      <c r="E27" s="1">
        <v>46031</v>
      </c>
      <c r="F27">
        <v>67759103</v>
      </c>
    </row>
    <row r="28" spans="1:6" x14ac:dyDescent="0.25">
      <c r="A28" t="s">
        <v>29</v>
      </c>
      <c r="B28" t="s">
        <v>11</v>
      </c>
      <c r="C28" s="1">
        <v>46029</v>
      </c>
      <c r="D28" t="s">
        <v>8</v>
      </c>
      <c r="E28" s="1">
        <v>46029</v>
      </c>
      <c r="F28">
        <v>67721974</v>
      </c>
    </row>
    <row r="29" spans="1:6" x14ac:dyDescent="0.25">
      <c r="A29" t="s">
        <v>30</v>
      </c>
      <c r="B29" t="s">
        <v>11</v>
      </c>
      <c r="C29" s="1">
        <v>46029</v>
      </c>
      <c r="D29" t="s">
        <v>8</v>
      </c>
      <c r="E29" s="1">
        <v>46029</v>
      </c>
      <c r="F29">
        <v>67715206</v>
      </c>
    </row>
    <row r="30" spans="1:6" x14ac:dyDescent="0.25">
      <c r="A30" t="s">
        <v>31</v>
      </c>
      <c r="B30" t="s">
        <v>11</v>
      </c>
      <c r="C30" s="1">
        <v>46029</v>
      </c>
      <c r="D30" t="s">
        <v>8</v>
      </c>
      <c r="E30" s="1">
        <v>46029</v>
      </c>
      <c r="F30">
        <v>67697497</v>
      </c>
    </row>
    <row r="31" spans="1:6" x14ac:dyDescent="0.25">
      <c r="A31" t="s">
        <v>32</v>
      </c>
      <c r="B31" t="s">
        <v>11</v>
      </c>
      <c r="C31" s="1">
        <v>46027</v>
      </c>
      <c r="D31" t="s">
        <v>8</v>
      </c>
      <c r="E31" s="1">
        <v>46027</v>
      </c>
      <c r="F31">
        <v>67625691</v>
      </c>
    </row>
    <row r="32" spans="1:6" x14ac:dyDescent="0.25">
      <c r="A32" t="s">
        <v>33</v>
      </c>
      <c r="B32" t="s">
        <v>11</v>
      </c>
      <c r="C32" s="1">
        <v>46027</v>
      </c>
      <c r="D32" t="s">
        <v>8</v>
      </c>
      <c r="E32" s="1">
        <v>46027</v>
      </c>
      <c r="F32">
        <v>67625263</v>
      </c>
    </row>
    <row r="33" spans="1:6" x14ac:dyDescent="0.25">
      <c r="A33" t="s">
        <v>34</v>
      </c>
      <c r="B33" t="s">
        <v>11</v>
      </c>
      <c r="C33" s="1">
        <v>46024</v>
      </c>
      <c r="D33" t="s">
        <v>8</v>
      </c>
      <c r="E33" s="1">
        <v>46024</v>
      </c>
      <c r="F33">
        <v>67585753</v>
      </c>
    </row>
    <row r="34" spans="1:6" x14ac:dyDescent="0.25">
      <c r="A34" t="s">
        <v>35</v>
      </c>
      <c r="B34" t="s">
        <v>11</v>
      </c>
      <c r="C34" s="1">
        <v>46022</v>
      </c>
      <c r="D34" t="s">
        <v>8</v>
      </c>
      <c r="E34" s="1">
        <v>46022</v>
      </c>
      <c r="F34">
        <v>67565928</v>
      </c>
    </row>
    <row r="35" spans="1:6" x14ac:dyDescent="0.25">
      <c r="A35" t="s">
        <v>36</v>
      </c>
      <c r="B35" t="s">
        <v>11</v>
      </c>
      <c r="C35" s="1">
        <v>46021</v>
      </c>
      <c r="D35" t="s">
        <v>8</v>
      </c>
      <c r="E35" s="1">
        <v>46021</v>
      </c>
      <c r="F35">
        <v>67517959</v>
      </c>
    </row>
    <row r="36" spans="1:6" x14ac:dyDescent="0.25">
      <c r="A36" t="s">
        <v>37</v>
      </c>
      <c r="B36" t="s">
        <v>11</v>
      </c>
      <c r="C36" s="1">
        <v>46021</v>
      </c>
      <c r="D36" t="s">
        <v>8</v>
      </c>
      <c r="E36" s="1">
        <v>46021</v>
      </c>
      <c r="F36">
        <v>67516265</v>
      </c>
    </row>
    <row r="37" spans="1:6" x14ac:dyDescent="0.25">
      <c r="A37" t="s">
        <v>38</v>
      </c>
      <c r="B37" t="s">
        <v>11</v>
      </c>
      <c r="C37" s="1">
        <v>46027</v>
      </c>
      <c r="D37" t="s">
        <v>8</v>
      </c>
      <c r="E37" s="1">
        <v>46027</v>
      </c>
      <c r="F37">
        <v>67517577</v>
      </c>
    </row>
    <row r="38" spans="1:6" x14ac:dyDescent="0.25">
      <c r="A38" t="s">
        <v>39</v>
      </c>
      <c r="B38" t="s">
        <v>11</v>
      </c>
      <c r="C38" s="1">
        <v>46021</v>
      </c>
      <c r="D38" t="s">
        <v>8</v>
      </c>
      <c r="E38" s="1">
        <v>46021</v>
      </c>
      <c r="F38">
        <v>67513322</v>
      </c>
    </row>
    <row r="39" spans="1:6" x14ac:dyDescent="0.25">
      <c r="A39" t="s">
        <v>40</v>
      </c>
      <c r="B39" t="s">
        <v>11</v>
      </c>
      <c r="C39" s="1">
        <v>46020</v>
      </c>
      <c r="D39" t="s">
        <v>8</v>
      </c>
      <c r="E39" s="1">
        <v>46020</v>
      </c>
      <c r="F39">
        <v>67471786</v>
      </c>
    </row>
    <row r="40" spans="1:6" x14ac:dyDescent="0.25">
      <c r="A40" t="s">
        <v>41</v>
      </c>
      <c r="B40" t="s">
        <v>11</v>
      </c>
      <c r="C40" s="1">
        <v>46017</v>
      </c>
      <c r="D40" t="s">
        <v>8</v>
      </c>
      <c r="E40" s="1">
        <v>46017</v>
      </c>
      <c r="F40">
        <v>67429778</v>
      </c>
    </row>
    <row r="41" spans="1:6" x14ac:dyDescent="0.25">
      <c r="A41" t="s">
        <v>42</v>
      </c>
      <c r="B41" t="s">
        <v>11</v>
      </c>
      <c r="C41" s="1">
        <v>46013</v>
      </c>
      <c r="D41" t="s">
        <v>8</v>
      </c>
      <c r="E41" s="1">
        <v>46013</v>
      </c>
      <c r="F41">
        <v>67346647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21P-0537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Nate Jones</cp:lastModifiedBy>
  <dcterms:created xsi:type="dcterms:W3CDTF">2026-01-22T17:07:39Z</dcterms:created>
  <dcterms:modified xsi:type="dcterms:W3CDTF">2026-01-22T17:45:11Z</dcterms:modified>
</cp:coreProperties>
</file>