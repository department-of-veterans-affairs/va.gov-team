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f465efd6b01b8bba/Documents/GingerHorizonsGroup_Projects/AgileSix/BIO/"/>
    </mc:Choice>
  </mc:AlternateContent>
  <xr:revisionPtr revIDLastSave="50" documentId="8_{63E74CCD-188C-4C71-8FF7-4E1CB0B64D1B}" xr6:coauthVersionLast="47" xr6:coauthVersionMax="47" xr10:uidLastSave="{463183D2-8010-4700-B11B-17012CCFE9D8}"/>
  <bookViews>
    <workbookView xWindow="28680" yWindow="-120" windowWidth="29040" windowHeight="15720" xr2:uid="{AF2C844A-C5C8-460C-A4FB-B4FB01059A32}"/>
  </bookViews>
  <sheets>
    <sheet name="21P-60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5" i="1" l="1"/>
  <c r="B4" i="1"/>
  <c r="C4" i="1" s="1"/>
</calcChain>
</file>

<file path=xl/sharedStrings.xml><?xml version="1.0" encoding="utf-8"?>
<sst xmlns="http://schemas.openxmlformats.org/spreadsheetml/2006/main" count="26" uniqueCount="18">
  <si>
    <t>UUID</t>
  </si>
  <si>
    <t>Lighthouse status</t>
  </si>
  <si>
    <t>Lighthouse updated at</t>
  </si>
  <si>
    <t>CMP status</t>
  </si>
  <si>
    <t>CMP updated at</t>
  </si>
  <si>
    <t>Packet ID</t>
  </si>
  <si>
    <t>Expected annual submissions</t>
  </si>
  <si>
    <t>Total submissions</t>
  </si>
  <si>
    <t>Number of Incomplete/Errors</t>
  </si>
  <si>
    <t>Canary</t>
  </si>
  <si>
    <t>21P-601 Post-Go-Live Submission Tracker</t>
  </si>
  <si>
    <t>d1563d68-e50e-4468-8815-fea45fe32e7f</t>
  </si>
  <si>
    <t>vbms</t>
  </si>
  <si>
    <t>Complete</t>
  </si>
  <si>
    <t>d16932cd-60f9-4e52-9caa-193c7c9028b5</t>
  </si>
  <si>
    <t>94dbe2ab-3dbb-43ae-9b11-5ee25c8fbc92</t>
  </si>
  <si>
    <t>9aa5fbad-1fe1-4487-a6e1-54c42bc5ad93</t>
  </si>
  <si>
    <t>8caa0ca1-4388-4659-8452-aaa88f528a64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</si>
</sst>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3">
    <xf numFmtId="0" fontId="0" fillId="0" borderId="0"/>
    <xf numFmtId="9" fontId="1" fillId="0" borderId="0" applyFont="0" applyFill="0" applyBorder="0" applyAlignment="0" applyProtection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6">
    <xf numFmtId="0" fontId="0" fillId="0" borderId="0" xfId="0"/>
    <xf numFmtId="14" fontId="0" fillId="0" borderId="0" xfId="0" applyNumberFormat="1"/>
    <xf numFmtId="0" fontId="2" fillId="0" borderId="0" xfId="2"/>
    <xf numFmtId="0" fontId="5" fillId="0" borderId="3" xfId="5"/>
    <xf numFmtId="10" fontId="0" fillId="0" borderId="0" xfId="1" applyNumberFormat="1" applyFont="1"/>
    <xf numFmtId="0" fontId="0" fillId="0" borderId="0" xfId="0" applyAlignment="1">
      <alignment horizontal="right"/>
    </xf>
  </cellXfs>
  <cellStyles count="43">
    <cellStyle name="20% - Accent1" xfId="20" builtinId="30" customBuiltin="1"/>
    <cellStyle name="20% - Accent2" xfId="24" builtinId="34" customBuiltin="1"/>
    <cellStyle name="20% - Accent3" xfId="28" builtinId="38" customBuiltin="1"/>
    <cellStyle name="20% - Accent4" xfId="32" builtinId="42" customBuiltin="1"/>
    <cellStyle name="20% - Accent5" xfId="36" builtinId="46" customBuiltin="1"/>
    <cellStyle name="20% - Accent6" xfId="40" builtinId="50" customBuiltin="1"/>
    <cellStyle name="40% - Accent1" xfId="21" builtinId="31" customBuiltin="1"/>
    <cellStyle name="40% - Accent2" xfId="25" builtinId="35" customBuiltin="1"/>
    <cellStyle name="40% - Accent3" xfId="29" builtinId="39" customBuiltin="1"/>
    <cellStyle name="40% - Accent4" xfId="33" builtinId="43" customBuiltin="1"/>
    <cellStyle name="40% - Accent5" xfId="37" builtinId="47" customBuiltin="1"/>
    <cellStyle name="40% - Accent6" xfId="41" builtinId="51" customBuiltin="1"/>
    <cellStyle name="60% - Accent1" xfId="22" builtinId="32" customBuiltin="1"/>
    <cellStyle name="60% - Accent2" xfId="26" builtinId="36" customBuiltin="1"/>
    <cellStyle name="60% - Accent3" xfId="30" builtinId="40" customBuiltin="1"/>
    <cellStyle name="60% - Accent4" xfId="34" builtinId="44" customBuiltin="1"/>
    <cellStyle name="60% - Accent5" xfId="38" builtinId="48" customBuiltin="1"/>
    <cellStyle name="60% - Accent6" xfId="42" builtinId="52" customBuiltin="1"/>
    <cellStyle name="Accent1" xfId="19" builtinId="29" customBuiltin="1"/>
    <cellStyle name="Accent2" xfId="23" builtinId="33" customBuiltin="1"/>
    <cellStyle name="Accent3" xfId="27" builtinId="37" customBuiltin="1"/>
    <cellStyle name="Accent4" xfId="31" builtinId="41" customBuiltin="1"/>
    <cellStyle name="Accent5" xfId="35" builtinId="45" customBuiltin="1"/>
    <cellStyle name="Accent6" xfId="39" builtinId="49" customBuiltin="1"/>
    <cellStyle name="Bad" xfId="8" builtinId="27" customBuiltin="1"/>
    <cellStyle name="Calculation" xfId="12" builtinId="22" customBuiltin="1"/>
    <cellStyle name="Check Cell" xfId="14" builtinId="23" customBuiltin="1"/>
    <cellStyle name="Explanatory Text" xfId="17" builtinId="53" customBuiltin="1"/>
    <cellStyle name="Good" xfId="7" builtinId="26" customBuiltin="1"/>
    <cellStyle name="Heading 1" xfId="3" builtinId="16" customBuiltin="1"/>
    <cellStyle name="Heading 2" xfId="4" builtinId="17" customBuiltin="1"/>
    <cellStyle name="Heading 3" xfId="5" builtinId="18" customBuiltin="1"/>
    <cellStyle name="Heading 4" xfId="6" builtinId="19" customBuiltin="1"/>
    <cellStyle name="Input" xfId="10" builtinId="20" customBuiltin="1"/>
    <cellStyle name="Linked Cell" xfId="13" builtinId="24" customBuiltin="1"/>
    <cellStyle name="Neutral" xfId="9" builtinId="28" customBuiltin="1"/>
    <cellStyle name="Normal" xfId="0" builtinId="0"/>
    <cellStyle name="Note" xfId="16" builtinId="10" customBuiltin="1"/>
    <cellStyle name="Output" xfId="11" builtinId="21" customBuiltin="1"/>
    <cellStyle name="Percent" xfId="1" builtinId="5"/>
    <cellStyle name="Title" xfId="2" builtinId="15" customBuiltin="1"/>
    <cellStyle name="Total" xfId="18" builtinId="25" customBuiltin="1"/>
    <cellStyle name="Warning Text" xfId="15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microsoft.com/office/2017/10/relationships/person" Target="persons/person.xml"/><Relationship Id="rId4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3FDA50-AF9A-4F34-A5D2-8EFB6209C293}">
  <dimension ref="A1:F41"/>
  <sheetViews>
    <sheetView tabSelected="1" workbookViewId="0">
      <selection activeCell="A16" sqref="A16"/>
    </sheetView>
  </sheetViews>
  <sheetFormatPr defaultRowHeight="15" x14ac:dyDescent="0.25"/>
  <cols>
    <col min="1" max="1" width="40.140625" customWidth="1"/>
    <col min="2" max="2" width="17.28515625" bestFit="1" customWidth="1"/>
    <col min="3" max="3" width="21.42578125" bestFit="1" customWidth="1"/>
    <col min="4" max="4" width="11.140625" bestFit="1" customWidth="1"/>
    <col min="5" max="5" width="15.28515625" bestFit="1" customWidth="1"/>
    <col min="6" max="6" width="9.42578125" bestFit="1" customWidth="1"/>
  </cols>
  <sheetData>
    <row r="1" spans="1:6" ht="24" x14ac:dyDescent="0.4">
      <c r="A1" s="2" t="s">
        <v>10</v>
      </c>
    </row>
    <row r="3" spans="1:6" x14ac:dyDescent="0.25">
      <c r="A3" t="s">
        <v>6</v>
      </c>
      <c r="B3">
        <v>3790</v>
      </c>
      <c r="C3" s="5" t="s">
        <v>9</v>
      </c>
    </row>
    <row r="4" spans="1:6" x14ac:dyDescent="0.25">
      <c r="A4" t="s">
        <v>7</v>
      </c>
      <c r="B4">
        <f>COUNTIF(A8:A100000,"&lt;&gt;")</f>
        <v>5</v>
      </c>
      <c r="C4" s="4">
        <f>B4/B3</f>
        <v>1.3192612137203166E-3</v>
      </c>
    </row>
    <row r="5" spans="1:6" x14ac:dyDescent="0.25">
      <c r="A5" t="s">
        <v>8</v>
      </c>
      <c r="B5">
        <f>COUNTIF(D8:D100000,"&lt;&gt;Complete")-COUNTIF(D8:D100000,"")</f>
        <v>0</v>
      </c>
    </row>
    <row r="7" spans="1:6" ht="15.75" thickBot="1" x14ac:dyDescent="0.3">
      <c r="A7" s="3" t="s">
        <v>0</v>
      </c>
      <c r="B7" s="3" t="s">
        <v>1</v>
      </c>
      <c r="C7" s="3" t="s">
        <v>2</v>
      </c>
      <c r="D7" s="3" t="s">
        <v>3</v>
      </c>
      <c r="E7" s="3" t="s">
        <v>4</v>
      </c>
      <c r="F7" s="3" t="s">
        <v>5</v>
      </c>
    </row>
    <row r="8" spans="1:6" x14ac:dyDescent="0.25">
      <c r="A8" t="s">
        <v>11</v>
      </c>
      <c r="B8" t="s">
        <v>12</v>
      </c>
      <c r="C8" s="1">
        <v>46043</v>
      </c>
      <c r="D8" t="s">
        <v>13</v>
      </c>
      <c r="E8" s="1">
        <v>46043</v>
      </c>
      <c r="F8">
        <v>68094025</v>
      </c>
    </row>
    <row r="9" spans="1:6" x14ac:dyDescent="0.25">
      <c r="A9" t="s">
        <v>14</v>
      </c>
      <c r="B9" t="s">
        <v>12</v>
      </c>
      <c r="C9" s="1">
        <v>46043</v>
      </c>
      <c r="D9" t="s">
        <v>13</v>
      </c>
      <c r="E9" s="1">
        <v>46043</v>
      </c>
      <c r="F9">
        <v>68093288</v>
      </c>
    </row>
    <row r="10" spans="1:6" x14ac:dyDescent="0.25">
      <c r="A10" t="s">
        <v>15</v>
      </c>
      <c r="B10" t="s">
        <v>12</v>
      </c>
      <c r="C10" s="1">
        <v>46038</v>
      </c>
      <c r="D10" t="s">
        <v>13</v>
      </c>
      <c r="E10" s="1">
        <v>46038</v>
      </c>
      <c r="F10">
        <v>68041488</v>
      </c>
    </row>
    <row r="11" spans="1:6" x14ac:dyDescent="0.25">
      <c r="A11" t="s">
        <v>16</v>
      </c>
      <c r="B11" t="s">
        <v>12</v>
      </c>
      <c r="C11" s="1">
        <v>46037</v>
      </c>
      <c r="D11" t="s">
        <v>13</v>
      </c>
      <c r="E11" s="1">
        <v>46037</v>
      </c>
      <c r="F11">
        <v>68001200</v>
      </c>
    </row>
    <row r="12" spans="1:6" x14ac:dyDescent="0.25">
      <c r="A12" t="s">
        <v>17</v>
      </c>
      <c r="B12" t="s">
        <v>12</v>
      </c>
      <c r="C12" s="1">
        <v>46035</v>
      </c>
      <c r="D12" t="s">
        <v>13</v>
      </c>
      <c r="E12" s="1">
        <v>46035</v>
      </c>
      <c r="F12">
        <v>67787787</v>
      </c>
    </row>
    <row r="13" spans="1:6" x14ac:dyDescent="0.25">
      <c r="C13" s="1"/>
      <c r="E13" s="1"/>
    </row>
    <row r="14" spans="1:6" x14ac:dyDescent="0.25">
      <c r="C14" s="1"/>
      <c r="E14" s="1"/>
    </row>
    <row r="15" spans="1:6" x14ac:dyDescent="0.25">
      <c r="C15" s="1"/>
      <c r="E15" s="1"/>
    </row>
    <row r="16" spans="1:6" x14ac:dyDescent="0.25">
      <c r="C16" s="1"/>
      <c r="E16" s="1"/>
    </row>
    <row r="17" spans="3:5" x14ac:dyDescent="0.25">
      <c r="C17" s="1"/>
      <c r="E17" s="1"/>
    </row>
    <row r="18" spans="3:5" x14ac:dyDescent="0.25">
      <c r="C18" s="1"/>
      <c r="E18" s="1"/>
    </row>
    <row r="19" spans="3:5" x14ac:dyDescent="0.25">
      <c r="C19" s="1"/>
      <c r="E19" s="1"/>
    </row>
    <row r="20" spans="3:5" x14ac:dyDescent="0.25">
      <c r="C20" s="1"/>
      <c r="E20" s="1"/>
    </row>
    <row r="21" spans="3:5" x14ac:dyDescent="0.25">
      <c r="C21" s="1"/>
      <c r="E21" s="1"/>
    </row>
    <row r="22" spans="3:5" x14ac:dyDescent="0.25">
      <c r="C22" s="1"/>
      <c r="E22" s="1"/>
    </row>
    <row r="23" spans="3:5" x14ac:dyDescent="0.25">
      <c r="C23" s="1"/>
      <c r="E23" s="1"/>
    </row>
    <row r="24" spans="3:5" x14ac:dyDescent="0.25">
      <c r="C24" s="1"/>
      <c r="E24" s="1"/>
    </row>
    <row r="25" spans="3:5" x14ac:dyDescent="0.25">
      <c r="C25" s="1"/>
      <c r="E25" s="1"/>
    </row>
    <row r="26" spans="3:5" x14ac:dyDescent="0.25">
      <c r="C26" s="1"/>
      <c r="E26" s="1"/>
    </row>
    <row r="27" spans="3:5" x14ac:dyDescent="0.25">
      <c r="C27" s="1"/>
      <c r="E27" s="1"/>
    </row>
    <row r="28" spans="3:5" x14ac:dyDescent="0.25">
      <c r="C28" s="1"/>
      <c r="E28" s="1"/>
    </row>
    <row r="29" spans="3:5" x14ac:dyDescent="0.25">
      <c r="C29" s="1"/>
      <c r="E29" s="1"/>
    </row>
    <row r="30" spans="3:5" x14ac:dyDescent="0.25">
      <c r="C30" s="1"/>
      <c r="E30" s="1"/>
    </row>
    <row r="31" spans="3:5" x14ac:dyDescent="0.25">
      <c r="C31" s="1"/>
      <c r="E31" s="1"/>
    </row>
    <row r="32" spans="3:5" x14ac:dyDescent="0.25">
      <c r="C32" s="1"/>
      <c r="E32" s="1"/>
    </row>
    <row r="33" spans="3:5" x14ac:dyDescent="0.25">
      <c r="C33" s="1"/>
      <c r="E33" s="1"/>
    </row>
    <row r="34" spans="3:5" x14ac:dyDescent="0.25">
      <c r="C34" s="1"/>
      <c r="E34" s="1"/>
    </row>
    <row r="35" spans="3:5" x14ac:dyDescent="0.25">
      <c r="C35" s="1"/>
      <c r="E35" s="1"/>
    </row>
    <row r="36" spans="3:5" x14ac:dyDescent="0.25">
      <c r="C36" s="1"/>
      <c r="E36" s="1"/>
    </row>
    <row r="37" spans="3:5" x14ac:dyDescent="0.25">
      <c r="C37" s="1"/>
      <c r="E37" s="1"/>
    </row>
    <row r="38" spans="3:5" x14ac:dyDescent="0.25">
      <c r="C38" s="1"/>
      <c r="E38" s="1"/>
    </row>
    <row r="39" spans="3:5" x14ac:dyDescent="0.25">
      <c r="C39" s="1"/>
      <c r="E39" s="1"/>
    </row>
    <row r="40" spans="3:5" x14ac:dyDescent="0.25">
      <c r="C40" s="1"/>
      <c r="E40" s="1"/>
    </row>
    <row r="41" spans="3:5" x14ac:dyDescent="0.25">
      <c r="C41" s="1"/>
      <c r="E41" s="1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21P-601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Nate Jones</cp:lastModifiedBy>
  <dcterms:created xsi:type="dcterms:W3CDTF">2026-01-22T17:07:39Z</dcterms:created>
  <dcterms:modified xsi:type="dcterms:W3CDTF">2026-01-22T19:57:15Z</dcterms:modified>
</cp:coreProperties>
</file>